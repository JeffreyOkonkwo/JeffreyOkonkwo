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Sprints" sheetId="3" state="visible" r:id="rId5"/>
    <sheet name="Flow" sheetId="4" state="visible" r:id="rId6"/>
    <sheet name="Capacity planner" sheetId="5" state="visible" r:id="rId7"/>
  </sheets>
  <definedNames>
    <definedName function="false" hidden="true" localSheetId="2" name="_xlnm._FilterDatabase" vbProcedure="false">Sprints!$A$1:$O$96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<sst xmlns="http://schemas.openxmlformats.org/spreadsheetml/2006/main" count="2622" uniqueCount="931">
  <si>
    <t xml:space="preserve">Delivery Health Model</t>
  </si>
  <si>
    <t xml:space="preserve">Three WiredTiger storage engine teams, two-week sprints, April 2025 to October 2026. Source: MongoDB public Jira, project WT.</t>
  </si>
  <si>
    <t xml:space="preserve">Sheets</t>
  </si>
  <si>
    <t xml:space="preserve">Summary: say-do ratio, scope added and carry-over by team, all live formulas over the Sprints sheet.</t>
  </si>
  <si>
    <t xml:space="preserve">Sprints: one row per sprint. Blue cells are data, black cells are formulas.</t>
  </si>
  <si>
    <t xml:space="preserve">Flow: one row per finished item, with cycle time split by status.</t>
  </si>
  <si>
    <t xml:space="preserve">Capacity planner: the formula from the Sprint Planning Field Guide. Change the blue inputs.</t>
  </si>
  <si>
    <t xml:space="preserve">Definitions</t>
  </si>
  <si>
    <t xml:space="preserve">Committed: in the sprint two hours after it started, rebuilt from each ticket history.</t>
  </si>
  <si>
    <t xml:space="preserve">Say-do ratio: committed items done by sprint end, divided by committed items.</t>
  </si>
  <si>
    <t xml:space="preserve">Scope added: items that joined the sprint after it started, divided by committed items.</t>
  </si>
  <si>
    <t xml:space="preserve">Built by Jeffrey Okonkwo.</t>
  </si>
  <si>
    <t xml:space="preserve">Delivery health by team</t>
  </si>
  <si>
    <t xml:space="preserve">Team</t>
  </si>
  <si>
    <t xml:space="preserve">Sprints</t>
  </si>
  <si>
    <t xml:space="preserve">Committed</t>
  </si>
  <si>
    <t xml:space="preserve">Committed done</t>
  </si>
  <si>
    <t xml:space="preserve">Say-do ratio</t>
  </si>
  <si>
    <t xml:space="preserve">Added</t>
  </si>
  <si>
    <t xml:space="preserve">Scope added %</t>
  </si>
  <si>
    <t xml:space="preserve">Carried over</t>
  </si>
  <si>
    <t xml:space="preserve">Sprints at 80%+</t>
  </si>
  <si>
    <t xml:space="preserve">SE Foundations</t>
  </si>
  <si>
    <t xml:space="preserve">SE Persistence</t>
  </si>
  <si>
    <t xml:space="preserve">SE Transactions</t>
  </si>
  <si>
    <t xml:space="preserve">Program</t>
  </si>
  <si>
    <t xml:space="preserve">Say-do ratio by half year</t>
  </si>
  <si>
    <t xml:space="preserve">Apr to Dec 2025</t>
  </si>
  <si>
    <t xml:space="preserve">Jan to Oct 2026</t>
  </si>
  <si>
    <t xml:space="preserve">Change</t>
  </si>
  <si>
    <t xml:space="preserve">Sprint</t>
  </si>
  <si>
    <t xml:space="preserve">Start</t>
  </si>
  <si>
    <t xml:space="preserve">End</t>
  </si>
  <si>
    <t xml:space="preserve">Half</t>
  </si>
  <si>
    <t xml:space="preserve">Added done</t>
  </si>
  <si>
    <t xml:space="preserve">Removed</t>
  </si>
  <si>
    <t xml:space="preserve">Carry-over %</t>
  </si>
  <si>
    <t xml:space="preserve">Hit 80%?</t>
  </si>
  <si>
    <t xml:space="preserve">SE Foundations - 2025-05-09</t>
  </si>
  <si>
    <t xml:space="preserve">2025-04-28</t>
  </si>
  <si>
    <t xml:space="preserve">2025-05-09</t>
  </si>
  <si>
    <t xml:space="preserve">SE Foundations - 2025-05-23</t>
  </si>
  <si>
    <t xml:space="preserve">2025-05-13</t>
  </si>
  <si>
    <t xml:space="preserve">2025-05-23</t>
  </si>
  <si>
    <t xml:space="preserve">SE Foundations - 2025-06-06</t>
  </si>
  <si>
    <t xml:space="preserve">2025-06-06</t>
  </si>
  <si>
    <t xml:space="preserve">SE Foundations - 2025-06-20</t>
  </si>
  <si>
    <t xml:space="preserve">2025-06-20</t>
  </si>
  <si>
    <t xml:space="preserve">SE Foundations - 2025-07-04</t>
  </si>
  <si>
    <t xml:space="preserve">2025-07-04</t>
  </si>
  <si>
    <t xml:space="preserve">SE Foundations - 2025-07-18</t>
  </si>
  <si>
    <t xml:space="preserve">2025-07-18</t>
  </si>
  <si>
    <t xml:space="preserve">SE Foundations - 2025-08-01</t>
  </si>
  <si>
    <t xml:space="preserve">2025-08-01</t>
  </si>
  <si>
    <t xml:space="preserve">SE Foundations - 2025-08-15</t>
  </si>
  <si>
    <t xml:space="preserve">2025-08-15</t>
  </si>
  <si>
    <t xml:space="preserve">SE Foundations - 2025-08-29</t>
  </si>
  <si>
    <t xml:space="preserve">2025-08-29</t>
  </si>
  <si>
    <t xml:space="preserve">SE Foundations - 2025-09-12</t>
  </si>
  <si>
    <t xml:space="preserve">2025-09-12</t>
  </si>
  <si>
    <t xml:space="preserve">SE Foundations - 2025-09-26</t>
  </si>
  <si>
    <t xml:space="preserve">2025-09-26</t>
  </si>
  <si>
    <t xml:space="preserve">SE Foundations - 2025-10-10</t>
  </si>
  <si>
    <t xml:space="preserve">2025-10-09</t>
  </si>
  <si>
    <t xml:space="preserve">SE Foundations - 2025-10-24</t>
  </si>
  <si>
    <t xml:space="preserve">2025-10-12</t>
  </si>
  <si>
    <t xml:space="preserve">2025-10-23</t>
  </si>
  <si>
    <t xml:space="preserve">SE Foundations - 2025-11-07</t>
  </si>
  <si>
    <t xml:space="preserve">2025-10-24</t>
  </si>
  <si>
    <t xml:space="preserve">2025-11-06</t>
  </si>
  <si>
    <t xml:space="preserve">SE Foundations - 2025-11-21</t>
  </si>
  <si>
    <t xml:space="preserve">2025-11-20</t>
  </si>
  <si>
    <t xml:space="preserve">SE Foundations - 2026-01-02</t>
  </si>
  <si>
    <t xml:space="preserve">2025-12-19</t>
  </si>
  <si>
    <t xml:space="preserve">2026-01-04</t>
  </si>
  <si>
    <t xml:space="preserve">SE Foundations - 2026-01-16</t>
  </si>
  <si>
    <t xml:space="preserve">2026-01-05</t>
  </si>
  <si>
    <t xml:space="preserve">2026-01-15</t>
  </si>
  <si>
    <t xml:space="preserve">SE Foundations - 2026-02-27</t>
  </si>
  <si>
    <t xml:space="preserve">2026-01-29</t>
  </si>
  <si>
    <t xml:space="preserve">2026-02-27</t>
  </si>
  <si>
    <t xml:space="preserve">SE Foundations - 2026-04-10</t>
  </si>
  <si>
    <t xml:space="preserve">2026-03-30</t>
  </si>
  <si>
    <t xml:space="preserve">2026-04-09</t>
  </si>
  <si>
    <t xml:space="preserve">SE Foundations - 2026-04-24</t>
  </si>
  <si>
    <t xml:space="preserve">2026-04-10</t>
  </si>
  <si>
    <t xml:space="preserve">2026-04-23</t>
  </si>
  <si>
    <t xml:space="preserve">SE Foundations - 2026-05-08</t>
  </si>
  <si>
    <t xml:space="preserve">2026-05-14</t>
  </si>
  <si>
    <t xml:space="preserve">SE Foundations - 2026-06-09</t>
  </si>
  <si>
    <t xml:space="preserve">2026-05-22</t>
  </si>
  <si>
    <t xml:space="preserve">2026-06-08</t>
  </si>
  <si>
    <t xml:space="preserve">SE Foundations - 2026-06-23</t>
  </si>
  <si>
    <t xml:space="preserve">2026-06-09</t>
  </si>
  <si>
    <t xml:space="preserve">2026-06-22</t>
  </si>
  <si>
    <t xml:space="preserve">SE Foundations - 2026-07-07</t>
  </si>
  <si>
    <t xml:space="preserve">2026-07-06</t>
  </si>
  <si>
    <t xml:space="preserve">SE Foundations - 2026-07-21</t>
  </si>
  <si>
    <t xml:space="preserve">2026-07-07</t>
  </si>
  <si>
    <t xml:space="preserve">2026-07-22</t>
  </si>
  <si>
    <t xml:space="preserve">SE Foundations - 2026-08-04</t>
  </si>
  <si>
    <t xml:space="preserve">2026-08-04</t>
  </si>
  <si>
    <t xml:space="preserve">SE Foundations - 2026-08-18</t>
  </si>
  <si>
    <t xml:space="preserve">2026-08-17</t>
  </si>
  <si>
    <t xml:space="preserve">SE Foundations - 2026-09-01</t>
  </si>
  <si>
    <t xml:space="preserve">2026-08-18</t>
  </si>
  <si>
    <t xml:space="preserve">2026-09-02</t>
  </si>
  <si>
    <t xml:space="preserve">SE Foundations - 2026-09-29</t>
  </si>
  <si>
    <t xml:space="preserve">2026-09-17</t>
  </si>
  <si>
    <t xml:space="preserve">2026-09-28</t>
  </si>
  <si>
    <t xml:space="preserve">SE Foundations - 2026-10-13</t>
  </si>
  <si>
    <t xml:space="preserve">2026-09-29</t>
  </si>
  <si>
    <t xml:space="preserve">2026-10-12</t>
  </si>
  <si>
    <t xml:space="preserve">SE Persistence - 2025-05-09</t>
  </si>
  <si>
    <t xml:space="preserve">2025-04-30</t>
  </si>
  <si>
    <t xml:space="preserve">SE Persistence - 2025-05-23</t>
  </si>
  <si>
    <t xml:space="preserve">2025-05-28</t>
  </si>
  <si>
    <t xml:space="preserve">SE Persistence - 2025-06-06</t>
  </si>
  <si>
    <t xml:space="preserve">SE Persistence - 2025-06-20</t>
  </si>
  <si>
    <t xml:space="preserve">SE Persistence - 2025-07-04</t>
  </si>
  <si>
    <t xml:space="preserve">2025-06-22</t>
  </si>
  <si>
    <t xml:space="preserve">2025-07-06</t>
  </si>
  <si>
    <t xml:space="preserve">SE Persistence - 04/07-21/07</t>
  </si>
  <si>
    <t xml:space="preserve">2025-07-22</t>
  </si>
  <si>
    <t xml:space="preserve">SE Persistence - 2025-08-01</t>
  </si>
  <si>
    <t xml:space="preserve">2025-07-31</t>
  </si>
  <si>
    <t xml:space="preserve">SE Persistence - 2025-08-15</t>
  </si>
  <si>
    <t xml:space="preserve">2025-08-14</t>
  </si>
  <si>
    <t xml:space="preserve">SE Persistence - 2025-08-29</t>
  </si>
  <si>
    <t xml:space="preserve">2025-08-28</t>
  </si>
  <si>
    <t xml:space="preserve">SE Persistence - 2025-09-12</t>
  </si>
  <si>
    <t xml:space="preserve">2025-09-01</t>
  </si>
  <si>
    <t xml:space="preserve">2025-09-11</t>
  </si>
  <si>
    <t xml:space="preserve">SE Persistence - 2025-09-26</t>
  </si>
  <si>
    <t xml:space="preserve">2025-09-25</t>
  </si>
  <si>
    <t xml:space="preserve">SE Persistence - 2025-10-10</t>
  </si>
  <si>
    <t xml:space="preserve">SE Persistence - 2025-10-24</t>
  </si>
  <si>
    <t xml:space="preserve">2025-10-13</t>
  </si>
  <si>
    <t xml:space="preserve">SE Persistence - 2025-11-07</t>
  </si>
  <si>
    <t xml:space="preserve">2025-11-07</t>
  </si>
  <si>
    <t xml:space="preserve">SE Persistence - 2025-11-21</t>
  </si>
  <si>
    <t xml:space="preserve">2025-11-21</t>
  </si>
  <si>
    <t xml:space="preserve">SE Persistence - 2025-12-05</t>
  </si>
  <si>
    <t xml:space="preserve">2025-12-05</t>
  </si>
  <si>
    <t xml:space="preserve">SE Persistence - 2025-12-19</t>
  </si>
  <si>
    <t xml:space="preserve">2025-12-07</t>
  </si>
  <si>
    <t xml:space="preserve">SE Persistence - 2026-01-02</t>
  </si>
  <si>
    <t xml:space="preserve">2026-01-02</t>
  </si>
  <si>
    <t xml:space="preserve">SE Persistence - 2026-01-16</t>
  </si>
  <si>
    <t xml:space="preserve">2026-01-01</t>
  </si>
  <si>
    <t xml:space="preserve">SE Persistence - 2026-01-30</t>
  </si>
  <si>
    <t xml:space="preserve">SE Persistence - 2026-02-13</t>
  </si>
  <si>
    <t xml:space="preserve">2026-02-12</t>
  </si>
  <si>
    <t xml:space="preserve">SE Persistence - 2026-02-27</t>
  </si>
  <si>
    <t xml:space="preserve">2026-02-13</t>
  </si>
  <si>
    <t xml:space="preserve">SE Persistence - 2026-03-13</t>
  </si>
  <si>
    <t xml:space="preserve">2026-03-13</t>
  </si>
  <si>
    <t xml:space="preserve">SE Persistence - 2026-03-27</t>
  </si>
  <si>
    <t xml:space="preserve">2026-03-27</t>
  </si>
  <si>
    <t xml:space="preserve">SE Persistence - 2026-05-08</t>
  </si>
  <si>
    <t xml:space="preserve">2026-04-24</t>
  </si>
  <si>
    <t xml:space="preserve">2026-05-08</t>
  </si>
  <si>
    <t xml:space="preserve">SE Persistence - 2026-05-22</t>
  </si>
  <si>
    <t xml:space="preserve">SE Persistence - 2026-06-05</t>
  </si>
  <si>
    <t xml:space="preserve">2026-06-05</t>
  </si>
  <si>
    <t xml:space="preserve">SE Persistence - 2026-06-19</t>
  </si>
  <si>
    <t xml:space="preserve">2026-06-19</t>
  </si>
  <si>
    <t xml:space="preserve">SE Transactions - 2025-05-09</t>
  </si>
  <si>
    <t xml:space="preserve">2025-04-27</t>
  </si>
  <si>
    <t xml:space="preserve">SE Transactions - 2025-06-06</t>
  </si>
  <si>
    <t xml:space="preserve">SE Transactions - 2025-06-20</t>
  </si>
  <si>
    <t xml:space="preserve">SE Transactions - 2025-07-04</t>
  </si>
  <si>
    <t xml:space="preserve">SE Transactions - 2025-07-18</t>
  </si>
  <si>
    <t xml:space="preserve">2025-07-09</t>
  </si>
  <si>
    <t xml:space="preserve">SE Transactions - 2025-08-01</t>
  </si>
  <si>
    <t xml:space="preserve">SE Transactions - 2025-08-15</t>
  </si>
  <si>
    <t xml:space="preserve">SE Transactions - 2025-08-29</t>
  </si>
  <si>
    <t xml:space="preserve">SE Transactions - 2025-09-12</t>
  </si>
  <si>
    <t xml:space="preserve">SE Transactions - 2025-09-26</t>
  </si>
  <si>
    <t xml:space="preserve">SE Transactions - 2025-10-10</t>
  </si>
  <si>
    <t xml:space="preserve">2025-10-10</t>
  </si>
  <si>
    <t xml:space="preserve">SE Transactions - 2025-10-24</t>
  </si>
  <si>
    <t xml:space="preserve">SE Transactions - 2025-11-07</t>
  </si>
  <si>
    <t xml:space="preserve">SE Transactions - 2025-11-21</t>
  </si>
  <si>
    <t xml:space="preserve">SE Transactions - 2025-12-05</t>
  </si>
  <si>
    <t xml:space="preserve">SE Transactions - 2025-12-19</t>
  </si>
  <si>
    <t xml:space="preserve">SE Transactions - 2026-01-02</t>
  </si>
  <si>
    <t xml:space="preserve">SE Transactions - 2026-01-16</t>
  </si>
  <si>
    <t xml:space="preserve">2026-01-16</t>
  </si>
  <si>
    <t xml:space="preserve">SE Transactions - 2026-01-30</t>
  </si>
  <si>
    <t xml:space="preserve">2026-01-30</t>
  </si>
  <si>
    <t xml:space="preserve">SE Transactions - 2026-02-13</t>
  </si>
  <si>
    <t xml:space="preserve">2026-02-03</t>
  </si>
  <si>
    <t xml:space="preserve">SE Transactions - 2026-02-27</t>
  </si>
  <si>
    <t xml:space="preserve">SE Transactions - 2026-03-13</t>
  </si>
  <si>
    <t xml:space="preserve">SE Transactions - 2026-03-27</t>
  </si>
  <si>
    <t xml:space="preserve">SE Transactions - 2026-04-10</t>
  </si>
  <si>
    <t xml:space="preserve">SE Transactions - 2026-04-24</t>
  </si>
  <si>
    <t xml:space="preserve">SE Transactions - 2026-05-08</t>
  </si>
  <si>
    <t xml:space="preserve">SE Transactions - 2026-05-22</t>
  </si>
  <si>
    <t xml:space="preserve">SE Transactions - 2026-06-05</t>
  </si>
  <si>
    <t xml:space="preserve">SE Transactions - 2026-06-19</t>
  </si>
  <si>
    <t xml:space="preserve">SE Transactions - 2026-07-03</t>
  </si>
  <si>
    <t xml:space="preserve">2026-07-03</t>
  </si>
  <si>
    <t xml:space="preserve">SE Transactions - 2026-07-17</t>
  </si>
  <si>
    <t xml:space="preserve">2026-07-17</t>
  </si>
  <si>
    <t xml:space="preserve">SE Transactions - 2026-07-31</t>
  </si>
  <si>
    <t xml:space="preserve">2026-07-31</t>
  </si>
  <si>
    <t xml:space="preserve">SE Transactions - 2026-08-14</t>
  </si>
  <si>
    <t xml:space="preserve">2026-08-14</t>
  </si>
  <si>
    <t xml:space="preserve">SE Transactions - 2026-08-28</t>
  </si>
  <si>
    <t xml:space="preserve">2026-08-28</t>
  </si>
  <si>
    <t xml:space="preserve">SE Transactions - 2026-09-11</t>
  </si>
  <si>
    <t xml:space="preserve">2026-09-11</t>
  </si>
  <si>
    <t xml:space="preserve">SE Transactions - 2026-09-25</t>
  </si>
  <si>
    <t xml:space="preserve">2026-09-25</t>
  </si>
  <si>
    <t xml:space="preserve">SE Transactions - 2026-10-09</t>
  </si>
  <si>
    <t xml:space="preserve">2026-10-09</t>
  </si>
  <si>
    <t xml:space="preserve">Item</t>
  </si>
  <si>
    <t xml:space="preserve">Type</t>
  </si>
  <si>
    <t xml:space="preserve">Started</t>
  </si>
  <si>
    <t xml:space="preserve">Done</t>
  </si>
  <si>
    <t xml:space="preserve">Cycle days</t>
  </si>
  <si>
    <t xml:space="preserve">Working days</t>
  </si>
  <si>
    <t xml:space="preserve">Code review days</t>
  </si>
  <si>
    <t xml:space="preserve">Blocked days</t>
  </si>
  <si>
    <t xml:space="preserve">Other waiting days</t>
  </si>
  <si>
    <t xml:space="preserve">Flow efficiency</t>
  </si>
  <si>
    <t xml:space="preserve">WT-10779</t>
  </si>
  <si>
    <t xml:space="preserve">Task</t>
  </si>
  <si>
    <t xml:space="preserve">2026-02-10</t>
  </si>
  <si>
    <t xml:space="preserve">2026-06-29</t>
  </si>
  <si>
    <t xml:space="preserve">WT-10792</t>
  </si>
  <si>
    <t xml:space="preserve">Bug</t>
  </si>
  <si>
    <t xml:space="preserve">2025-03-13</t>
  </si>
  <si>
    <t xml:space="preserve">2025-05-05</t>
  </si>
  <si>
    <t xml:space="preserve">WT-11177</t>
  </si>
  <si>
    <t xml:space="preserve">New Feature</t>
  </si>
  <si>
    <t xml:space="preserve">2025-07-24</t>
  </si>
  <si>
    <t xml:space="preserve">WT-12542</t>
  </si>
  <si>
    <t xml:space="preserve">2025-06-02</t>
  </si>
  <si>
    <t xml:space="preserve">2025-06-18</t>
  </si>
  <si>
    <t xml:space="preserve">WT-13368</t>
  </si>
  <si>
    <t xml:space="preserve">2025-05-07</t>
  </si>
  <si>
    <t xml:space="preserve">WT-13430</t>
  </si>
  <si>
    <t xml:space="preserve">2024-08-30</t>
  </si>
  <si>
    <t xml:space="preserve">2025-11-13</t>
  </si>
  <si>
    <t xml:space="preserve">WT-13454</t>
  </si>
  <si>
    <t xml:space="preserve">Improvement</t>
  </si>
  <si>
    <t xml:space="preserve">2025-09-19</t>
  </si>
  <si>
    <t xml:space="preserve">2025-10-17</t>
  </si>
  <si>
    <t xml:space="preserve">WT-13551</t>
  </si>
  <si>
    <t xml:space="preserve">Build Failure</t>
  </si>
  <si>
    <t xml:space="preserve">2025-05-22</t>
  </si>
  <si>
    <t xml:space="preserve">WT-13627</t>
  </si>
  <si>
    <t xml:space="preserve">2025-05-30</t>
  </si>
  <si>
    <t xml:space="preserve">2025-06-04</t>
  </si>
  <si>
    <t xml:space="preserve">WT-13703</t>
  </si>
  <si>
    <t xml:space="preserve">2025-03-03</t>
  </si>
  <si>
    <t xml:space="preserve">2025-05-26</t>
  </si>
  <si>
    <t xml:space="preserve">WT-13747</t>
  </si>
  <si>
    <t xml:space="preserve">2025-04-07</t>
  </si>
  <si>
    <t xml:space="preserve">2025-05-01</t>
  </si>
  <si>
    <t xml:space="preserve">WT-14091</t>
  </si>
  <si>
    <t xml:space="preserve">WT-14123</t>
  </si>
  <si>
    <t xml:space="preserve">2025-03-06</t>
  </si>
  <si>
    <t xml:space="preserve">2025-06-16</t>
  </si>
  <si>
    <t xml:space="preserve">WT-14127</t>
  </si>
  <si>
    <t xml:space="preserve">2025-04-03</t>
  </si>
  <si>
    <t xml:space="preserve">WT-14140</t>
  </si>
  <si>
    <t xml:space="preserve">2025-03-12</t>
  </si>
  <si>
    <t xml:space="preserve">WT-14204</t>
  </si>
  <si>
    <t xml:space="preserve">2025-06-11</t>
  </si>
  <si>
    <t xml:space="preserve">WT-14267</t>
  </si>
  <si>
    <t xml:space="preserve">WT-14270</t>
  </si>
  <si>
    <t xml:space="preserve">2025-04-08</t>
  </si>
  <si>
    <t xml:space="preserve">WT-14312</t>
  </si>
  <si>
    <t xml:space="preserve">2025-06-19</t>
  </si>
  <si>
    <t xml:space="preserve">WT-14323</t>
  </si>
  <si>
    <t xml:space="preserve">2025-04-16</t>
  </si>
  <si>
    <t xml:space="preserve">2025-05-18</t>
  </si>
  <si>
    <t xml:space="preserve">WT-14336</t>
  </si>
  <si>
    <t xml:space="preserve">2025-05-21</t>
  </si>
  <si>
    <t xml:space="preserve">WT-14343</t>
  </si>
  <si>
    <t xml:space="preserve">2025-05-12</t>
  </si>
  <si>
    <t xml:space="preserve">2025-05-14</t>
  </si>
  <si>
    <t xml:space="preserve">WT-14345</t>
  </si>
  <si>
    <t xml:space="preserve">2025-05-02</t>
  </si>
  <si>
    <t xml:space="preserve">WT-14355</t>
  </si>
  <si>
    <t xml:space="preserve">WT-14365</t>
  </si>
  <si>
    <t xml:space="preserve">2025-08-07</t>
  </si>
  <si>
    <t xml:space="preserve">2025-08-22</t>
  </si>
  <si>
    <t xml:space="preserve">WT-14391</t>
  </si>
  <si>
    <t xml:space="preserve">2025-04-14</t>
  </si>
  <si>
    <t xml:space="preserve">WT-14393</t>
  </si>
  <si>
    <t xml:space="preserve">2025-04-15</t>
  </si>
  <si>
    <t xml:space="preserve">2025-04-29</t>
  </si>
  <si>
    <t xml:space="preserve">WT-14449</t>
  </si>
  <si>
    <t xml:space="preserve">WT-14455</t>
  </si>
  <si>
    <t xml:space="preserve">WT-14461</t>
  </si>
  <si>
    <t xml:space="preserve">2025-05-29</t>
  </si>
  <si>
    <t xml:space="preserve">WT-14551</t>
  </si>
  <si>
    <t xml:space="preserve">2025-05-06</t>
  </si>
  <si>
    <t xml:space="preserve">WT-14557</t>
  </si>
  <si>
    <t xml:space="preserve">2025-05-03</t>
  </si>
  <si>
    <t xml:space="preserve">WT-14568</t>
  </si>
  <si>
    <t xml:space="preserve">2025-05-08</t>
  </si>
  <si>
    <t xml:space="preserve">WT-14570</t>
  </si>
  <si>
    <t xml:space="preserve">2025-05-20</t>
  </si>
  <si>
    <t xml:space="preserve">2025-06-17</t>
  </si>
  <si>
    <t xml:space="preserve">WT-14590</t>
  </si>
  <si>
    <t xml:space="preserve">2025-06-30</t>
  </si>
  <si>
    <t xml:space="preserve">2025-07-14</t>
  </si>
  <si>
    <t xml:space="preserve">WT-14606</t>
  </si>
  <si>
    <t xml:space="preserve">WT-14616</t>
  </si>
  <si>
    <t xml:space="preserve">2025-05-27</t>
  </si>
  <si>
    <t xml:space="preserve">2025-06-03</t>
  </si>
  <si>
    <t xml:space="preserve">WT-14622</t>
  </si>
  <si>
    <t xml:space="preserve">2026-08-21</t>
  </si>
  <si>
    <t xml:space="preserve">WT-14631</t>
  </si>
  <si>
    <t xml:space="preserve">WT-14633</t>
  </si>
  <si>
    <t xml:space="preserve">WT-14636</t>
  </si>
  <si>
    <t xml:space="preserve">2025-08-19</t>
  </si>
  <si>
    <t xml:space="preserve">2025-09-10</t>
  </si>
  <si>
    <t xml:space="preserve">WT-14640</t>
  </si>
  <si>
    <t xml:space="preserve">2026-03-31</t>
  </si>
  <si>
    <t xml:space="preserve">2026-10-07</t>
  </si>
  <si>
    <t xml:space="preserve">WT-14643</t>
  </si>
  <si>
    <t xml:space="preserve">WT-14647</t>
  </si>
  <si>
    <t xml:space="preserve">Documentation</t>
  </si>
  <si>
    <t xml:space="preserve">2026-07-16</t>
  </si>
  <si>
    <t xml:space="preserve">WT-14652</t>
  </si>
  <si>
    <t xml:space="preserve">Story</t>
  </si>
  <si>
    <t xml:space="preserve">2025-06-27</t>
  </si>
  <si>
    <t xml:space="preserve">2025-07-01</t>
  </si>
  <si>
    <t xml:space="preserve">WT-14654</t>
  </si>
  <si>
    <t xml:space="preserve">WT-14657</t>
  </si>
  <si>
    <t xml:space="preserve">WT-14690</t>
  </si>
  <si>
    <t xml:space="preserve">2025-07-15</t>
  </si>
  <si>
    <t xml:space="preserve">2025-07-17</t>
  </si>
  <si>
    <t xml:space="preserve">WT-14699</t>
  </si>
  <si>
    <t xml:space="preserve">2025-06-23</t>
  </si>
  <si>
    <t xml:space="preserve">WT-14715</t>
  </si>
  <si>
    <t xml:space="preserve">2025-07-28</t>
  </si>
  <si>
    <t xml:space="preserve">WT-14724</t>
  </si>
  <si>
    <t xml:space="preserve">2025-06-13</t>
  </si>
  <si>
    <t xml:space="preserve">WT-14726</t>
  </si>
  <si>
    <t xml:space="preserve">WT-14729</t>
  </si>
  <si>
    <t xml:space="preserve">WT-14730</t>
  </si>
  <si>
    <t xml:space="preserve">2026-07-30</t>
  </si>
  <si>
    <t xml:space="preserve">2026-08-11</t>
  </si>
  <si>
    <t xml:space="preserve">WT-14759</t>
  </si>
  <si>
    <t xml:space="preserve">2025-06-12</t>
  </si>
  <si>
    <t xml:space="preserve">WT-14760</t>
  </si>
  <si>
    <t xml:space="preserve">2025-08-12</t>
  </si>
  <si>
    <t xml:space="preserve">2025-08-25</t>
  </si>
  <si>
    <t xml:space="preserve">WT-14762</t>
  </si>
  <si>
    <t xml:space="preserve">WT-14776</t>
  </si>
  <si>
    <t xml:space="preserve">WT-14802</t>
  </si>
  <si>
    <t xml:space="preserve">2025-06-25</t>
  </si>
  <si>
    <t xml:space="preserve">WT-14804</t>
  </si>
  <si>
    <t xml:space="preserve">WT-14809</t>
  </si>
  <si>
    <t xml:space="preserve">WT-14816</t>
  </si>
  <si>
    <t xml:space="preserve">2025-06-24</t>
  </si>
  <si>
    <t xml:space="preserve">WT-14841</t>
  </si>
  <si>
    <t xml:space="preserve">WT-14843</t>
  </si>
  <si>
    <t xml:space="preserve">2025-06-26</t>
  </si>
  <si>
    <t xml:space="preserve">WT-14852</t>
  </si>
  <si>
    <t xml:space="preserve">2025-07-08</t>
  </si>
  <si>
    <t xml:space="preserve">WT-14879</t>
  </si>
  <si>
    <t xml:space="preserve">2026-05-29</t>
  </si>
  <si>
    <t xml:space="preserve">WT-14941</t>
  </si>
  <si>
    <t xml:space="preserve">WT-14988</t>
  </si>
  <si>
    <t xml:space="preserve">2025-07-11</t>
  </si>
  <si>
    <t xml:space="preserve">WT-14989</t>
  </si>
  <si>
    <t xml:space="preserve">2025-08-26</t>
  </si>
  <si>
    <t xml:space="preserve">WT-15011</t>
  </si>
  <si>
    <t xml:space="preserve">WT-15031</t>
  </si>
  <si>
    <t xml:space="preserve">2025-08-04</t>
  </si>
  <si>
    <t xml:space="preserve">WT-15065</t>
  </si>
  <si>
    <t xml:space="preserve">2025-07-27</t>
  </si>
  <si>
    <t xml:space="preserve">2025-07-30</t>
  </si>
  <si>
    <t xml:space="preserve">WT-15099</t>
  </si>
  <si>
    <t xml:space="preserve">2025-08-21</t>
  </si>
  <si>
    <t xml:space="preserve">WT-15108</t>
  </si>
  <si>
    <t xml:space="preserve">2025-08-13</t>
  </si>
  <si>
    <t xml:space="preserve">WT-15140</t>
  </si>
  <si>
    <t xml:space="preserve">2025-10-20</t>
  </si>
  <si>
    <t xml:space="preserve">WT-15147</t>
  </si>
  <si>
    <t xml:space="preserve">2025-08-18</t>
  </si>
  <si>
    <t xml:space="preserve">WT-15165</t>
  </si>
  <si>
    <t xml:space="preserve">WT-15168</t>
  </si>
  <si>
    <t xml:space="preserve">WT-15209</t>
  </si>
  <si>
    <t xml:space="preserve">WT-15270</t>
  </si>
  <si>
    <t xml:space="preserve">2025-09-09</t>
  </si>
  <si>
    <t xml:space="preserve">WT-15296</t>
  </si>
  <si>
    <t xml:space="preserve">2025-09-30</t>
  </si>
  <si>
    <t xml:space="preserve">2025-10-07</t>
  </si>
  <si>
    <t xml:space="preserve">WT-15302</t>
  </si>
  <si>
    <t xml:space="preserve">2025-09-02</t>
  </si>
  <si>
    <t xml:space="preserve">2025-09-05</t>
  </si>
  <si>
    <t xml:space="preserve">WT-15316</t>
  </si>
  <si>
    <t xml:space="preserve">WT-15346</t>
  </si>
  <si>
    <t xml:space="preserve">2025-09-04</t>
  </si>
  <si>
    <t xml:space="preserve">2025-09-23</t>
  </si>
  <si>
    <t xml:space="preserve">WT-15350</t>
  </si>
  <si>
    <t xml:space="preserve">2025-09-08</t>
  </si>
  <si>
    <t xml:space="preserve">WT-15375</t>
  </si>
  <si>
    <t xml:space="preserve">2025-09-22</t>
  </si>
  <si>
    <t xml:space="preserve">WT-15380</t>
  </si>
  <si>
    <t xml:space="preserve">2026-04-01</t>
  </si>
  <si>
    <t xml:space="preserve">2026-04-13</t>
  </si>
  <si>
    <t xml:space="preserve">WT-15390</t>
  </si>
  <si>
    <t xml:space="preserve">2025-11-16</t>
  </si>
  <si>
    <t xml:space="preserve">2025-11-18</t>
  </si>
  <si>
    <t xml:space="preserve">WT-15465</t>
  </si>
  <si>
    <t xml:space="preserve">2025-12-29</t>
  </si>
  <si>
    <t xml:space="preserve">WT-15477</t>
  </si>
  <si>
    <t xml:space="preserve">WT-15484</t>
  </si>
  <si>
    <t xml:space="preserve">2025-09-16</t>
  </si>
  <si>
    <t xml:space="preserve">2025-09-17</t>
  </si>
  <si>
    <t xml:space="preserve">WT-15485</t>
  </si>
  <si>
    <t xml:space="preserve">WT-15538</t>
  </si>
  <si>
    <t xml:space="preserve">2026-02-16</t>
  </si>
  <si>
    <t xml:space="preserve">WT-15558</t>
  </si>
  <si>
    <t xml:space="preserve">2026-04-21</t>
  </si>
  <si>
    <t xml:space="preserve">WT-15561</t>
  </si>
  <si>
    <t xml:space="preserve">WT-15567</t>
  </si>
  <si>
    <t xml:space="preserve">2025-09-24</t>
  </si>
  <si>
    <t xml:space="preserve">2025-11-19</t>
  </si>
  <si>
    <t xml:space="preserve">WT-15581</t>
  </si>
  <si>
    <t xml:space="preserve">WT-15617</t>
  </si>
  <si>
    <t xml:space="preserve">2025-10-06</t>
  </si>
  <si>
    <t xml:space="preserve">2025-10-30</t>
  </si>
  <si>
    <t xml:space="preserve">WT-15634</t>
  </si>
  <si>
    <t xml:space="preserve">2025-10-01</t>
  </si>
  <si>
    <t xml:space="preserve">WT-15651</t>
  </si>
  <si>
    <t xml:space="preserve">2025-10-22</t>
  </si>
  <si>
    <t xml:space="preserve">WT-15686</t>
  </si>
  <si>
    <t xml:space="preserve">2025-12-08</t>
  </si>
  <si>
    <t xml:space="preserve">WT-15729</t>
  </si>
  <si>
    <t xml:space="preserve">WT-15739</t>
  </si>
  <si>
    <t xml:space="preserve">2025-10-16</t>
  </si>
  <si>
    <t xml:space="preserve">WT-15757</t>
  </si>
  <si>
    <t xml:space="preserve">2025-10-15</t>
  </si>
  <si>
    <t xml:space="preserve">WT-15764</t>
  </si>
  <si>
    <t xml:space="preserve">WT-15798</t>
  </si>
  <si>
    <t xml:space="preserve">WT-15803</t>
  </si>
  <si>
    <t xml:space="preserve">WT-15830</t>
  </si>
  <si>
    <t xml:space="preserve">2025-10-28</t>
  </si>
  <si>
    <t xml:space="preserve">WT-15833</t>
  </si>
  <si>
    <t xml:space="preserve">2025-10-27</t>
  </si>
  <si>
    <t xml:space="preserve">2025-10-29</t>
  </si>
  <si>
    <t xml:space="preserve">WT-15840</t>
  </si>
  <si>
    <t xml:space="preserve">2026-02-17</t>
  </si>
  <si>
    <t xml:space="preserve">2026-02-18</t>
  </si>
  <si>
    <t xml:space="preserve">WT-15853</t>
  </si>
  <si>
    <t xml:space="preserve">2025-11-23</t>
  </si>
  <si>
    <t xml:space="preserve">WT-15866</t>
  </si>
  <si>
    <t xml:space="preserve">2025-11-05</t>
  </si>
  <si>
    <t xml:space="preserve">WT-15867</t>
  </si>
  <si>
    <t xml:space="preserve">WT-15869</t>
  </si>
  <si>
    <t xml:space="preserve">2025-11-01</t>
  </si>
  <si>
    <t xml:space="preserve">2025-11-25</t>
  </si>
  <si>
    <t xml:space="preserve">WT-15873</t>
  </si>
  <si>
    <t xml:space="preserve">WT-15874</t>
  </si>
  <si>
    <t xml:space="preserve">2025-10-31</t>
  </si>
  <si>
    <t xml:space="preserve">2025-11-03</t>
  </si>
  <si>
    <t xml:space="preserve">WT-15875</t>
  </si>
  <si>
    <t xml:space="preserve">WT-15876</t>
  </si>
  <si>
    <t xml:space="preserve">2025-11-24</t>
  </si>
  <si>
    <t xml:space="preserve">WT-15887</t>
  </si>
  <si>
    <t xml:space="preserve">2026-07-21</t>
  </si>
  <si>
    <t xml:space="preserve">WT-15912</t>
  </si>
  <si>
    <t xml:space="preserve">WT-15927</t>
  </si>
  <si>
    <t xml:space="preserve">2025-11-04</t>
  </si>
  <si>
    <t xml:space="preserve">WT-15952</t>
  </si>
  <si>
    <t xml:space="preserve">2025-11-11</t>
  </si>
  <si>
    <t xml:space="preserve">WT-15997</t>
  </si>
  <si>
    <t xml:space="preserve">2025-11-17</t>
  </si>
  <si>
    <t xml:space="preserve">WT-15998</t>
  </si>
  <si>
    <t xml:space="preserve">WT-16006</t>
  </si>
  <si>
    <t xml:space="preserve">2025-11-12</t>
  </si>
  <si>
    <t xml:space="preserve">WT-16008</t>
  </si>
  <si>
    <t xml:space="preserve">WT-16017</t>
  </si>
  <si>
    <t xml:space="preserve">2025-11-14</t>
  </si>
  <si>
    <t xml:space="preserve">WT-16023</t>
  </si>
  <si>
    <t xml:space="preserve">WT-16024</t>
  </si>
  <si>
    <t xml:space="preserve">WT-16043</t>
  </si>
  <si>
    <t xml:space="preserve">WT-16060</t>
  </si>
  <si>
    <t xml:space="preserve">WT-16061</t>
  </si>
  <si>
    <t xml:space="preserve">2025-12-03</t>
  </si>
  <si>
    <t xml:space="preserve">2025-12-10</t>
  </si>
  <si>
    <t xml:space="preserve">WT-16081</t>
  </si>
  <si>
    <t xml:space="preserve">2025-11-26</t>
  </si>
  <si>
    <t xml:space="preserve">WT-16103</t>
  </si>
  <si>
    <t xml:space="preserve">WT-16105</t>
  </si>
  <si>
    <t xml:space="preserve">WT-16108</t>
  </si>
  <si>
    <t xml:space="preserve">2025-11-27</t>
  </si>
  <si>
    <t xml:space="preserve">WT-16109</t>
  </si>
  <si>
    <t xml:space="preserve">2025-12-04</t>
  </si>
  <si>
    <t xml:space="preserve">WT-16115</t>
  </si>
  <si>
    <t xml:space="preserve">2025-12-01</t>
  </si>
  <si>
    <t xml:space="preserve">WT-16119</t>
  </si>
  <si>
    <t xml:space="preserve">2025-12-02</t>
  </si>
  <si>
    <t xml:space="preserve">WT-16120</t>
  </si>
  <si>
    <t xml:space="preserve">WT-16121</t>
  </si>
  <si>
    <t xml:space="preserve">WT-16143</t>
  </si>
  <si>
    <t xml:space="preserve">WT-16224</t>
  </si>
  <si>
    <t xml:space="preserve">2026-05-19</t>
  </si>
  <si>
    <t xml:space="preserve">2026-05-26</t>
  </si>
  <si>
    <t xml:space="preserve">WT-16230</t>
  </si>
  <si>
    <t xml:space="preserve">2025-12-11</t>
  </si>
  <si>
    <t xml:space="preserve">2025-12-12</t>
  </si>
  <si>
    <t xml:space="preserve">WT-16231</t>
  </si>
  <si>
    <t xml:space="preserve">2026-01-06</t>
  </si>
  <si>
    <t xml:space="preserve">2026-01-07</t>
  </si>
  <si>
    <t xml:space="preserve">WT-16239</t>
  </si>
  <si>
    <t xml:space="preserve">2026-06-01</t>
  </si>
  <si>
    <t xml:space="preserve">WT-16243</t>
  </si>
  <si>
    <t xml:space="preserve">WT-16320</t>
  </si>
  <si>
    <t xml:space="preserve">Epic</t>
  </si>
  <si>
    <t xml:space="preserve">2026-01-13</t>
  </si>
  <si>
    <t xml:space="preserve">WT-16321</t>
  </si>
  <si>
    <t xml:space="preserve">2026-01-08</t>
  </si>
  <si>
    <t xml:space="preserve">2026-01-12</t>
  </si>
  <si>
    <t xml:space="preserve">WT-16323</t>
  </si>
  <si>
    <t xml:space="preserve">2026-01-09</t>
  </si>
  <si>
    <t xml:space="preserve">WT-16325</t>
  </si>
  <si>
    <t xml:space="preserve">WT-16363</t>
  </si>
  <si>
    <t xml:space="preserve">2026-01-23</t>
  </si>
  <si>
    <t xml:space="preserve">2026-01-28</t>
  </si>
  <si>
    <t xml:space="preserve">WT-16379</t>
  </si>
  <si>
    <t xml:space="preserve">WT-16408</t>
  </si>
  <si>
    <t xml:space="preserve">WT-16410</t>
  </si>
  <si>
    <t xml:space="preserve">WT-16453</t>
  </si>
  <si>
    <t xml:space="preserve">2026-01-14</t>
  </si>
  <si>
    <t xml:space="preserve">WT-16456</t>
  </si>
  <si>
    <t xml:space="preserve">WT-16459</t>
  </si>
  <si>
    <t xml:space="preserve">2026-04-06</t>
  </si>
  <si>
    <t xml:space="preserve">2026-04-14</t>
  </si>
  <si>
    <t xml:space="preserve">WT-16498</t>
  </si>
  <si>
    <t xml:space="preserve">2026-05-20</t>
  </si>
  <si>
    <t xml:space="preserve">WT-16516</t>
  </si>
  <si>
    <t xml:space="preserve">2026-01-27</t>
  </si>
  <si>
    <t xml:space="preserve">WT-16522</t>
  </si>
  <si>
    <t xml:space="preserve">2026-02-23</t>
  </si>
  <si>
    <t xml:space="preserve">2026-02-26</t>
  </si>
  <si>
    <t xml:space="preserve">WT-16581</t>
  </si>
  <si>
    <t xml:space="preserve">2026-09-15</t>
  </si>
  <si>
    <t xml:space="preserve">2026-09-23</t>
  </si>
  <si>
    <t xml:space="preserve">WT-16588</t>
  </si>
  <si>
    <t xml:space="preserve">2026-02-02</t>
  </si>
  <si>
    <t xml:space="preserve">2026-02-05</t>
  </si>
  <si>
    <t xml:space="preserve">WT-16617</t>
  </si>
  <si>
    <t xml:space="preserve">WT-16702</t>
  </si>
  <si>
    <t xml:space="preserve">WT-16706</t>
  </si>
  <si>
    <t xml:space="preserve">2026-02-19</t>
  </si>
  <si>
    <t xml:space="preserve">WT-16716</t>
  </si>
  <si>
    <t xml:space="preserve">2026-04-16</t>
  </si>
  <si>
    <t xml:space="preserve">WT-16718</t>
  </si>
  <si>
    <t xml:space="preserve">2026-06-04</t>
  </si>
  <si>
    <t xml:space="preserve">WT-16724</t>
  </si>
  <si>
    <t xml:space="preserve">WT-16731</t>
  </si>
  <si>
    <t xml:space="preserve">2026-02-20</t>
  </si>
  <si>
    <t xml:space="preserve">2026-02-22</t>
  </si>
  <si>
    <t xml:space="preserve">WT-16742</t>
  </si>
  <si>
    <t xml:space="preserve">2026-03-09</t>
  </si>
  <si>
    <t xml:space="preserve">2026-03-16</t>
  </si>
  <si>
    <t xml:space="preserve">WT-16764</t>
  </si>
  <si>
    <t xml:space="preserve">2026-02-24</t>
  </si>
  <si>
    <t xml:space="preserve">2026-03-02</t>
  </si>
  <si>
    <t xml:space="preserve">WT-16788</t>
  </si>
  <si>
    <t xml:space="preserve">Sub-task</t>
  </si>
  <si>
    <t xml:space="preserve">2026-03-23</t>
  </si>
  <si>
    <t xml:space="preserve">WT-16789</t>
  </si>
  <si>
    <t xml:space="preserve">2026-05-04</t>
  </si>
  <si>
    <t xml:space="preserve">WT-16802</t>
  </si>
  <si>
    <t xml:space="preserve">WT-16812</t>
  </si>
  <si>
    <t xml:space="preserve">2026-05-05</t>
  </si>
  <si>
    <t xml:space="preserve">2026-05-25</t>
  </si>
  <si>
    <t xml:space="preserve">WT-16813</t>
  </si>
  <si>
    <t xml:space="preserve">2026-04-30</t>
  </si>
  <si>
    <t xml:space="preserve">2026-05-21</t>
  </si>
  <si>
    <t xml:space="preserve">WT-16814</t>
  </si>
  <si>
    <t xml:space="preserve">WT-16818</t>
  </si>
  <si>
    <t xml:space="preserve">2026-03-17</t>
  </si>
  <si>
    <t xml:space="preserve">2026-04-28</t>
  </si>
  <si>
    <t xml:space="preserve">WT-16820</t>
  </si>
  <si>
    <t xml:space="preserve">2026-03-03</t>
  </si>
  <si>
    <t xml:space="preserve">2026-03-04</t>
  </si>
  <si>
    <t xml:space="preserve">WT-16838</t>
  </si>
  <si>
    <t xml:space="preserve">2026-09-03</t>
  </si>
  <si>
    <t xml:space="preserve">2026-09-08</t>
  </si>
  <si>
    <t xml:space="preserve">WT-16842</t>
  </si>
  <si>
    <t xml:space="preserve">2026-04-15</t>
  </si>
  <si>
    <t xml:space="preserve">WT-16850</t>
  </si>
  <si>
    <t xml:space="preserve">2026-03-05</t>
  </si>
  <si>
    <t xml:space="preserve">2026-03-10</t>
  </si>
  <si>
    <t xml:space="preserve">WT-16906</t>
  </si>
  <si>
    <t xml:space="preserve">2026-03-12</t>
  </si>
  <si>
    <t xml:space="preserve">WT-16914</t>
  </si>
  <si>
    <t xml:space="preserve">2026-03-20</t>
  </si>
  <si>
    <t xml:space="preserve">WT-16942</t>
  </si>
  <si>
    <t xml:space="preserve">WT-16943</t>
  </si>
  <si>
    <t xml:space="preserve">2026-03-24</t>
  </si>
  <si>
    <t xml:space="preserve">WT-16944</t>
  </si>
  <si>
    <t xml:space="preserve">WT-16945</t>
  </si>
  <si>
    <t xml:space="preserve">2026-03-25</t>
  </si>
  <si>
    <t xml:space="preserve">WT-16946</t>
  </si>
  <si>
    <t xml:space="preserve">WT-16947</t>
  </si>
  <si>
    <t xml:space="preserve">WT-16948</t>
  </si>
  <si>
    <t xml:space="preserve">WT-16949</t>
  </si>
  <si>
    <t xml:space="preserve">WT-16950</t>
  </si>
  <si>
    <t xml:space="preserve">WT-16951</t>
  </si>
  <si>
    <t xml:space="preserve">WT-17001</t>
  </si>
  <si>
    <t xml:space="preserve">WT-17033</t>
  </si>
  <si>
    <t xml:space="preserve">Technical Debt</t>
  </si>
  <si>
    <t xml:space="preserve">2026-04-07</t>
  </si>
  <si>
    <t xml:space="preserve">WT-17052</t>
  </si>
  <si>
    <t xml:space="preserve">WT-17055</t>
  </si>
  <si>
    <t xml:space="preserve">WT-17057</t>
  </si>
  <si>
    <t xml:space="preserve">WT-17058</t>
  </si>
  <si>
    <t xml:space="preserve">WT-17060</t>
  </si>
  <si>
    <t xml:space="preserve">2026-06-16</t>
  </si>
  <si>
    <t xml:space="preserve">WT-17064</t>
  </si>
  <si>
    <t xml:space="preserve">2026-05-07</t>
  </si>
  <si>
    <t xml:space="preserve">WT-17065</t>
  </si>
  <si>
    <t xml:space="preserve">2026-06-02</t>
  </si>
  <si>
    <t xml:space="preserve">WT-17068</t>
  </si>
  <si>
    <t xml:space="preserve">2026-04-02</t>
  </si>
  <si>
    <t xml:space="preserve">WT-17092</t>
  </si>
  <si>
    <t xml:space="preserve">WT-17133</t>
  </si>
  <si>
    <t xml:space="preserve">2026-04-20</t>
  </si>
  <si>
    <t xml:space="preserve">WT-17158</t>
  </si>
  <si>
    <t xml:space="preserve">2026-06-23</t>
  </si>
  <si>
    <t xml:space="preserve">WT-17168</t>
  </si>
  <si>
    <t xml:space="preserve">WT-17181</t>
  </si>
  <si>
    <t xml:space="preserve">2026-05-28</t>
  </si>
  <si>
    <t xml:space="preserve">WT-17182</t>
  </si>
  <si>
    <t xml:space="preserve">2026-06-25</t>
  </si>
  <si>
    <t xml:space="preserve">WT-17250</t>
  </si>
  <si>
    <t xml:space="preserve">2026-06-14</t>
  </si>
  <si>
    <t xml:space="preserve">2026-06-17</t>
  </si>
  <si>
    <t xml:space="preserve">WT-17251</t>
  </si>
  <si>
    <t xml:space="preserve">WT-17263</t>
  </si>
  <si>
    <t xml:space="preserve">2026-07-02</t>
  </si>
  <si>
    <t xml:space="preserve">WT-17269</t>
  </si>
  <si>
    <t xml:space="preserve">2026-04-22</t>
  </si>
  <si>
    <t xml:space="preserve">WT-17272</t>
  </si>
  <si>
    <t xml:space="preserve">WT-17274</t>
  </si>
  <si>
    <t xml:space="preserve">WT-17276</t>
  </si>
  <si>
    <t xml:space="preserve">WT-17296</t>
  </si>
  <si>
    <t xml:space="preserve">2026-05-27</t>
  </si>
  <si>
    <t xml:space="preserve">WT-17297</t>
  </si>
  <si>
    <t xml:space="preserve">WT-17347</t>
  </si>
  <si>
    <t xml:space="preserve">2026-05-03</t>
  </si>
  <si>
    <t xml:space="preserve">2026-05-06</t>
  </si>
  <si>
    <t xml:space="preserve">WT-17362</t>
  </si>
  <si>
    <t xml:space="preserve">2026-05-01</t>
  </si>
  <si>
    <t xml:space="preserve">WT-17366</t>
  </si>
  <si>
    <t xml:space="preserve">WT-17394</t>
  </si>
  <si>
    <t xml:space="preserve">WT-17397</t>
  </si>
  <si>
    <t xml:space="preserve">WT-17404</t>
  </si>
  <si>
    <t xml:space="preserve">WT-17412</t>
  </si>
  <si>
    <t xml:space="preserve">2026-07-23</t>
  </si>
  <si>
    <t xml:space="preserve">WT-17417</t>
  </si>
  <si>
    <t xml:space="preserve">2026-05-18</t>
  </si>
  <si>
    <t xml:space="preserve">WT-17422</t>
  </si>
  <si>
    <t xml:space="preserve">2026-06-15</t>
  </si>
  <si>
    <t xml:space="preserve">WT-17426</t>
  </si>
  <si>
    <t xml:space="preserve">2026-08-20</t>
  </si>
  <si>
    <t xml:space="preserve">WT-17437</t>
  </si>
  <si>
    <t xml:space="preserve">2026-06-18</t>
  </si>
  <si>
    <t xml:space="preserve">WT-17439</t>
  </si>
  <si>
    <t xml:space="preserve">WT-17440</t>
  </si>
  <si>
    <t xml:space="preserve">WT-17459</t>
  </si>
  <si>
    <t xml:space="preserve">WT-17471</t>
  </si>
  <si>
    <t xml:space="preserve">2026-07-13</t>
  </si>
  <si>
    <t xml:space="preserve">WT-17477</t>
  </si>
  <si>
    <t xml:space="preserve">2026-05-12</t>
  </si>
  <si>
    <t xml:space="preserve">WT-17485</t>
  </si>
  <si>
    <t xml:space="preserve">WT-17504</t>
  </si>
  <si>
    <t xml:space="preserve">2026-05-13</t>
  </si>
  <si>
    <t xml:space="preserve">WT-17515</t>
  </si>
  <si>
    <t xml:space="preserve">WT-17528</t>
  </si>
  <si>
    <t xml:space="preserve">WT-17535</t>
  </si>
  <si>
    <t xml:space="preserve">WT-17536</t>
  </si>
  <si>
    <t xml:space="preserve">WT-17537</t>
  </si>
  <si>
    <t xml:space="preserve">WT-17538</t>
  </si>
  <si>
    <t xml:space="preserve">WT-17539</t>
  </si>
  <si>
    <t xml:space="preserve">2026-06-11</t>
  </si>
  <si>
    <t xml:space="preserve">2026-06-21</t>
  </si>
  <si>
    <t xml:space="preserve">WT-17540</t>
  </si>
  <si>
    <t xml:space="preserve">WT-17544</t>
  </si>
  <si>
    <t xml:space="preserve">2026-05-15</t>
  </si>
  <si>
    <t xml:space="preserve">WT-17567</t>
  </si>
  <si>
    <t xml:space="preserve">WT-17572</t>
  </si>
  <si>
    <t xml:space="preserve">WT-17574</t>
  </si>
  <si>
    <t xml:space="preserve">2026-07-10</t>
  </si>
  <si>
    <t xml:space="preserve">2026-07-15</t>
  </si>
  <si>
    <t xml:space="preserve">WT-17576</t>
  </si>
  <si>
    <t xml:space="preserve">WT-17577</t>
  </si>
  <si>
    <t xml:space="preserve">2026-06-10</t>
  </si>
  <si>
    <t xml:space="preserve">WT-17582</t>
  </si>
  <si>
    <t xml:space="preserve">WT-17586</t>
  </si>
  <si>
    <t xml:space="preserve">WT-17590</t>
  </si>
  <si>
    <t xml:space="preserve">WT-17591</t>
  </si>
  <si>
    <t xml:space="preserve">WT-17601</t>
  </si>
  <si>
    <t xml:space="preserve">WT-17607</t>
  </si>
  <si>
    <t xml:space="preserve">WT-17617</t>
  </si>
  <si>
    <t xml:space="preserve">WT-17651</t>
  </si>
  <si>
    <t xml:space="preserve">WT-17655</t>
  </si>
  <si>
    <t xml:space="preserve">2026-09-01</t>
  </si>
  <si>
    <t xml:space="preserve">WT-17677</t>
  </si>
  <si>
    <t xml:space="preserve">WT-17680</t>
  </si>
  <si>
    <t xml:space="preserve">2026-07-04</t>
  </si>
  <si>
    <t xml:space="preserve">WT-17681</t>
  </si>
  <si>
    <t xml:space="preserve">2026-08-13</t>
  </si>
  <si>
    <t xml:space="preserve">WT-17689</t>
  </si>
  <si>
    <t xml:space="preserve">WT-17706</t>
  </si>
  <si>
    <t xml:space="preserve">WT-17712</t>
  </si>
  <si>
    <t xml:space="preserve">WT-17737</t>
  </si>
  <si>
    <t xml:space="preserve">2026-07-29</t>
  </si>
  <si>
    <t xml:space="preserve">2026-08-25</t>
  </si>
  <si>
    <t xml:space="preserve">WT-17753</t>
  </si>
  <si>
    <t xml:space="preserve">WT-17755</t>
  </si>
  <si>
    <t xml:space="preserve">WT-17757</t>
  </si>
  <si>
    <t xml:space="preserve">2026-08-10</t>
  </si>
  <si>
    <t xml:space="preserve">WT-17773</t>
  </si>
  <si>
    <t xml:space="preserve">2026-10-14</t>
  </si>
  <si>
    <t xml:space="preserve">WT-17780</t>
  </si>
  <si>
    <t xml:space="preserve">2026-06-12</t>
  </si>
  <si>
    <t xml:space="preserve">WT-17782</t>
  </si>
  <si>
    <t xml:space="preserve">WT-17784</t>
  </si>
  <si>
    <t xml:space="preserve">WT-17785</t>
  </si>
  <si>
    <t xml:space="preserve">2026-07-14</t>
  </si>
  <si>
    <t xml:space="preserve">WT-17786</t>
  </si>
  <si>
    <t xml:space="preserve">WT-17788</t>
  </si>
  <si>
    <t xml:space="preserve">WT-17790</t>
  </si>
  <si>
    <t xml:space="preserve">WT-17799</t>
  </si>
  <si>
    <t xml:space="preserve">WT-17813</t>
  </si>
  <si>
    <t xml:space="preserve">WT-17817</t>
  </si>
  <si>
    <t xml:space="preserve">2026-07-01</t>
  </si>
  <si>
    <t xml:space="preserve">2026-07-08</t>
  </si>
  <si>
    <t xml:space="preserve">WT-17820</t>
  </si>
  <si>
    <t xml:space="preserve">WT-17858</t>
  </si>
  <si>
    <t xml:space="preserve">2026-06-26</t>
  </si>
  <si>
    <t xml:space="preserve">WT-17859</t>
  </si>
  <si>
    <t xml:space="preserve">WT-17862</t>
  </si>
  <si>
    <t xml:space="preserve">WT-17870</t>
  </si>
  <si>
    <t xml:space="preserve">WT-17875</t>
  </si>
  <si>
    <t xml:space="preserve">2026-07-09</t>
  </si>
  <si>
    <t xml:space="preserve">WT-17878</t>
  </si>
  <si>
    <t xml:space="preserve">2026-07-20</t>
  </si>
  <si>
    <t xml:space="preserve">WT-17880</t>
  </si>
  <si>
    <t xml:space="preserve">2026-08-03</t>
  </si>
  <si>
    <t xml:space="preserve">WT-17881</t>
  </si>
  <si>
    <t xml:space="preserve">2026-06-30</t>
  </si>
  <si>
    <t xml:space="preserve">WT-17895</t>
  </si>
  <si>
    <t xml:space="preserve">WT-17896</t>
  </si>
  <si>
    <t xml:space="preserve">WT-17897</t>
  </si>
  <si>
    <t xml:space="preserve">2026-07-05</t>
  </si>
  <si>
    <t xml:space="preserve">WT-17919</t>
  </si>
  <si>
    <t xml:space="preserve">WT-17933</t>
  </si>
  <si>
    <t xml:space="preserve">2026-08-06</t>
  </si>
  <si>
    <t xml:space="preserve">WT-17939</t>
  </si>
  <si>
    <t xml:space="preserve">WT-17942</t>
  </si>
  <si>
    <t xml:space="preserve">2026-09-14</t>
  </si>
  <si>
    <t xml:space="preserve">WT-17955</t>
  </si>
  <si>
    <t xml:space="preserve">2026-08-07</t>
  </si>
  <si>
    <t xml:space="preserve">WT-17959</t>
  </si>
  <si>
    <t xml:space="preserve">WT-17962</t>
  </si>
  <si>
    <t xml:space="preserve">WT-17964</t>
  </si>
  <si>
    <t xml:space="preserve">2026-09-10</t>
  </si>
  <si>
    <t xml:space="preserve">WT-17974</t>
  </si>
  <si>
    <t xml:space="preserve">2026-07-27</t>
  </si>
  <si>
    <t xml:space="preserve">WT-17975</t>
  </si>
  <si>
    <t xml:space="preserve">2026-07-28</t>
  </si>
  <si>
    <t xml:space="preserve">WT-17976</t>
  </si>
  <si>
    <t xml:space="preserve">WT-17979</t>
  </si>
  <si>
    <t xml:space="preserve">WT-17982</t>
  </si>
  <si>
    <t xml:space="preserve">2026-07-24</t>
  </si>
  <si>
    <t xml:space="preserve">WT-17984</t>
  </si>
  <si>
    <t xml:space="preserve">WT-17985</t>
  </si>
  <si>
    <t xml:space="preserve">WT-17989</t>
  </si>
  <si>
    <t xml:space="preserve">WT-17998</t>
  </si>
  <si>
    <t xml:space="preserve">WT-18006</t>
  </si>
  <si>
    <t xml:space="preserve">2026-08-26</t>
  </si>
  <si>
    <t xml:space="preserve">WT-18014</t>
  </si>
  <si>
    <t xml:space="preserve">WT-18021</t>
  </si>
  <si>
    <t xml:space="preserve">WT-18029</t>
  </si>
  <si>
    <t xml:space="preserve">WT-18031</t>
  </si>
  <si>
    <t xml:space="preserve">2026-09-24</t>
  </si>
  <si>
    <t xml:space="preserve">WT-18044</t>
  </si>
  <si>
    <t xml:space="preserve">WT-18045</t>
  </si>
  <si>
    <t xml:space="preserve">2026-08-24</t>
  </si>
  <si>
    <t xml:space="preserve">WT-18049</t>
  </si>
  <si>
    <t xml:space="preserve">WT-18065</t>
  </si>
  <si>
    <t xml:space="preserve">WT-18066</t>
  </si>
  <si>
    <t xml:space="preserve">WT-18068</t>
  </si>
  <si>
    <t xml:space="preserve">2026-09-22</t>
  </si>
  <si>
    <t xml:space="preserve">WT-18069</t>
  </si>
  <si>
    <t xml:space="preserve">WT-18080</t>
  </si>
  <si>
    <t xml:space="preserve">2026-09-19</t>
  </si>
  <si>
    <t xml:space="preserve">WT-18114</t>
  </si>
  <si>
    <t xml:space="preserve">2026-08-05</t>
  </si>
  <si>
    <t xml:space="preserve">WT-18118</t>
  </si>
  <si>
    <t xml:space="preserve">WT-18125</t>
  </si>
  <si>
    <t xml:space="preserve">2026-07-19</t>
  </si>
  <si>
    <t xml:space="preserve">WT-18150</t>
  </si>
  <si>
    <t xml:space="preserve">WT-18155</t>
  </si>
  <si>
    <t xml:space="preserve">WT-18156</t>
  </si>
  <si>
    <t xml:space="preserve">2026-07-26</t>
  </si>
  <si>
    <t xml:space="preserve">WT-18158</t>
  </si>
  <si>
    <t xml:space="preserve">2026-08-19</t>
  </si>
  <si>
    <t xml:space="preserve">WT-18162</t>
  </si>
  <si>
    <t xml:space="preserve">WT-18168</t>
  </si>
  <si>
    <t xml:space="preserve">WT-18169</t>
  </si>
  <si>
    <t xml:space="preserve">WT-18172</t>
  </si>
  <si>
    <t xml:space="preserve">WT-18173</t>
  </si>
  <si>
    <t xml:space="preserve">WT-18179</t>
  </si>
  <si>
    <t xml:space="preserve">WT-18205</t>
  </si>
  <si>
    <t xml:space="preserve">WT-18214</t>
  </si>
  <si>
    <t xml:space="preserve">WT-18220</t>
  </si>
  <si>
    <t xml:space="preserve">WT-18223</t>
  </si>
  <si>
    <t xml:space="preserve">WT-18225</t>
  </si>
  <si>
    <t xml:space="preserve">WT-18230</t>
  </si>
  <si>
    <t xml:space="preserve">WT-18238</t>
  </si>
  <si>
    <t xml:space="preserve">WT-18241</t>
  </si>
  <si>
    <t xml:space="preserve">WT-18242</t>
  </si>
  <si>
    <t xml:space="preserve">WT-18250</t>
  </si>
  <si>
    <t xml:space="preserve">WT-18252</t>
  </si>
  <si>
    <t xml:space="preserve">WT-18253</t>
  </si>
  <si>
    <t xml:space="preserve">WT-18255</t>
  </si>
  <si>
    <t xml:space="preserve">2026-10-01</t>
  </si>
  <si>
    <t xml:space="preserve">WT-18257</t>
  </si>
  <si>
    <t xml:space="preserve">WT-18258</t>
  </si>
  <si>
    <t xml:space="preserve">WT-18259</t>
  </si>
  <si>
    <t xml:space="preserve">WT-18267</t>
  </si>
  <si>
    <t xml:space="preserve">2026-09-21</t>
  </si>
  <si>
    <t xml:space="preserve">2026-09-30</t>
  </si>
  <si>
    <t xml:space="preserve">WT-18270</t>
  </si>
  <si>
    <t xml:space="preserve">WT-18274</t>
  </si>
  <si>
    <t xml:space="preserve">2026-08-12</t>
  </si>
  <si>
    <t xml:space="preserve">WT-18282</t>
  </si>
  <si>
    <t xml:space="preserve">WT-18300</t>
  </si>
  <si>
    <t xml:space="preserve">2026-09-07</t>
  </si>
  <si>
    <t xml:space="preserve">WT-18301</t>
  </si>
  <si>
    <t xml:space="preserve">WT-18306</t>
  </si>
  <si>
    <t xml:space="preserve">WT-18308</t>
  </si>
  <si>
    <t xml:space="preserve">WT-18320</t>
  </si>
  <si>
    <t xml:space="preserve">WT-18324</t>
  </si>
  <si>
    <t xml:space="preserve">WT-18331</t>
  </si>
  <si>
    <t xml:space="preserve">WT-18334</t>
  </si>
  <si>
    <t xml:space="preserve">WT-18339</t>
  </si>
  <si>
    <t xml:space="preserve">WT-18343</t>
  </si>
  <si>
    <t xml:space="preserve">WT-18350</t>
  </si>
  <si>
    <t xml:space="preserve">WT-18351</t>
  </si>
  <si>
    <t xml:space="preserve">WT-18369</t>
  </si>
  <si>
    <t xml:space="preserve">WT-18378</t>
  </si>
  <si>
    <t xml:space="preserve">WT-18384</t>
  </si>
  <si>
    <t xml:space="preserve">WT-18400</t>
  </si>
  <si>
    <t xml:space="preserve">WT-18403</t>
  </si>
  <si>
    <t xml:space="preserve">WT-18405</t>
  </si>
  <si>
    <t xml:space="preserve">WT-18406</t>
  </si>
  <si>
    <t xml:space="preserve">2026-08-31</t>
  </si>
  <si>
    <t xml:space="preserve">WT-18410</t>
  </si>
  <si>
    <t xml:space="preserve">WT-18415</t>
  </si>
  <si>
    <t xml:space="preserve">2026-08-27</t>
  </si>
  <si>
    <t xml:space="preserve">WT-18425</t>
  </si>
  <si>
    <t xml:space="preserve">WT-18430</t>
  </si>
  <si>
    <t xml:space="preserve">WT-18458</t>
  </si>
  <si>
    <t xml:space="preserve">2026-09-04</t>
  </si>
  <si>
    <t xml:space="preserve">WT-18466</t>
  </si>
  <si>
    <t xml:space="preserve">WT-18468</t>
  </si>
  <si>
    <t xml:space="preserve">2026-09-18</t>
  </si>
  <si>
    <t xml:space="preserve">WT-18495</t>
  </si>
  <si>
    <t xml:space="preserve">2026-08-29</t>
  </si>
  <si>
    <t xml:space="preserve">WT-18496</t>
  </si>
  <si>
    <t xml:space="preserve">WT-18501</t>
  </si>
  <si>
    <t xml:space="preserve">WT-18502</t>
  </si>
  <si>
    <t xml:space="preserve">WT-18512</t>
  </si>
  <si>
    <t xml:space="preserve">WT-18515</t>
  </si>
  <si>
    <t xml:space="preserve">WT-18520</t>
  </si>
  <si>
    <t xml:space="preserve">2026-08-30</t>
  </si>
  <si>
    <t xml:space="preserve">WT-18521</t>
  </si>
  <si>
    <t xml:space="preserve">WT-18543</t>
  </si>
  <si>
    <t xml:space="preserve">WT-18559</t>
  </si>
  <si>
    <t xml:space="preserve">WT-18565</t>
  </si>
  <si>
    <t xml:space="preserve">WT-18572</t>
  </si>
  <si>
    <t xml:space="preserve">WT-18579</t>
  </si>
  <si>
    <t xml:space="preserve">WT-18603</t>
  </si>
  <si>
    <t xml:space="preserve">2026-10-08</t>
  </si>
  <si>
    <t xml:space="preserve">WT-18609</t>
  </si>
  <si>
    <t xml:space="preserve">WT-18615</t>
  </si>
  <si>
    <t xml:space="preserve">WT-18638</t>
  </si>
  <si>
    <t xml:space="preserve">WT-18639</t>
  </si>
  <si>
    <t xml:space="preserve">WT-18645</t>
  </si>
  <si>
    <t xml:space="preserve">WT-18653</t>
  </si>
  <si>
    <t xml:space="preserve">WT-18704</t>
  </si>
  <si>
    <t xml:space="preserve">WT-18705</t>
  </si>
  <si>
    <t xml:space="preserve">WT-18724</t>
  </si>
  <si>
    <t xml:space="preserve">2026-10-11</t>
  </si>
  <si>
    <t xml:space="preserve">WT-18727</t>
  </si>
  <si>
    <t xml:space="preserve">WT-18734</t>
  </si>
  <si>
    <t xml:space="preserve">WT-18737</t>
  </si>
  <si>
    <t xml:space="preserve">WT-18743</t>
  </si>
  <si>
    <t xml:space="preserve">WT-18773</t>
  </si>
  <si>
    <t xml:space="preserve">2026-10-02</t>
  </si>
  <si>
    <t xml:space="preserve">WT-18790</t>
  </si>
  <si>
    <t xml:space="preserve">WT-18803</t>
  </si>
  <si>
    <t xml:space="preserve">WT-18804</t>
  </si>
  <si>
    <t xml:space="preserve">2026-10-06</t>
  </si>
  <si>
    <t xml:space="preserve">Median</t>
  </si>
  <si>
    <t xml:space="preserve">85th pct</t>
  </si>
  <si>
    <t xml:space="preserve">Review share</t>
  </si>
  <si>
    <t xml:space="preserve">Sprint capacity planner</t>
  </si>
  <si>
    <t xml:space="preserve">From the Sprint Planning Field Guide. Change the blue cells.</t>
  </si>
  <si>
    <t xml:space="preserve">People on the team</t>
  </si>
  <si>
    <t xml:space="preserve">Working days in the sprint</t>
  </si>
  <si>
    <t xml:space="preserve">Leave and holiday days (team total)</t>
  </si>
  <si>
    <t xml:space="preserve">Meeting days (team total)</t>
  </si>
  <si>
    <t xml:space="preserve">Focus factor</t>
  </si>
  <si>
    <t xml:space="preserve">Commit level</t>
  </si>
  <si>
    <t xml:space="preserve">Unplanned work buffer</t>
  </si>
  <si>
    <t xml:space="preserve">Raw person-days</t>
  </si>
  <si>
    <t xml:space="preserve">Available person-days</t>
  </si>
  <si>
    <t xml:space="preserve">Real capacity (after focus factor)</t>
  </si>
  <si>
    <t xml:space="preserve">Reserved for unplanned work</t>
  </si>
  <si>
    <t xml:space="preserve">Commit up to (person-days)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</si>
</sst>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\+0.0%;\-0.0%"/>
    <numFmt numFmtId="168" formatCode="0%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4A1C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C0E0D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0E0D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6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C0E0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4A1C"/>
          <bgColor rgb="FF000000"/>
        </patternFill>
      </fill>
    </dxf>
    <dxf>
      <font>
        <b val="1"/>
        <color rgb="FFFF4A1C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6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A1C"/>
      <rgbColor rgb="FF666699"/>
      <rgbColor rgb="FF969696"/>
      <rgbColor rgb="FF003366"/>
      <rgbColor rgb="FF339966"/>
      <rgbColor rgb="FF0C0E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5" t="s">
        <v>12</v>
      </c>
    </row>
    <row r="3" customFormat="false" ht="30" hidden="false" customHeight="true" outlineLevel="0" collapsed="false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</row>
    <row r="4" customFormat="false" ht="15" hidden="false" customHeight="false" outlineLevel="0" collapsed="false">
      <c r="A4" s="3" t="s">
        <v>22</v>
      </c>
      <c r="B4" s="7" t="n">
        <f aca="false">COUNTIF(Sprints!$A$2:$A$96,A4)</f>
        <v>30</v>
      </c>
      <c r="C4" s="7" t="n">
        <f aca="false">SUMIF(Sprints!$A$2:$A$96,A4,Sprints!$F$2:$F$96)</f>
        <v>175</v>
      </c>
      <c r="D4" s="7" t="n">
        <f aca="false">SUMIF(Sprints!$A$2:$A$96,A4,Sprints!$G$2:$G$96)</f>
        <v>99</v>
      </c>
      <c r="E4" s="8" t="n">
        <f aca="false">IF(C4=0,"",D4/C4)</f>
        <v>0.565714285714286</v>
      </c>
      <c r="F4" s="7" t="n">
        <f aca="false">SUMIF(Sprints!$A$2:$A$96,A4,Sprints!$H$2:$H$96)</f>
        <v>103</v>
      </c>
      <c r="G4" s="8" t="n">
        <f aca="false">IF(C4=0,"",F4/C4)</f>
        <v>0.588571428571429</v>
      </c>
      <c r="H4" s="7" t="n">
        <f aca="false">SUMIF(Sprints!$A$2:$A$96,A4,Sprints!$J$2:$J$96)</f>
        <v>97</v>
      </c>
      <c r="I4" s="7" t="n">
        <f aca="false">COUNTIFS(Sprints!$A$2:$A$96,A4,Sprints!$O$2:$O$96,"Yes")</f>
        <v>9</v>
      </c>
    </row>
    <row r="5" customFormat="false" ht="15" hidden="false" customHeight="false" outlineLevel="0" collapsed="false">
      <c r="A5" s="3" t="s">
        <v>23</v>
      </c>
      <c r="B5" s="7" t="n">
        <f aca="false">COUNTIF(Sprints!$A$2:$A$96,A5)</f>
        <v>28</v>
      </c>
      <c r="C5" s="7" t="n">
        <f aca="false">SUMIF(Sprints!$A$2:$A$96,A5,Sprints!$F$2:$F$96)</f>
        <v>61</v>
      </c>
      <c r="D5" s="7" t="n">
        <f aca="false">SUMIF(Sprints!$A$2:$A$96,A5,Sprints!$G$2:$G$96)</f>
        <v>21</v>
      </c>
      <c r="E5" s="8" t="n">
        <f aca="false">IF(C5=0,"",D5/C5)</f>
        <v>0.344262295081967</v>
      </c>
      <c r="F5" s="7" t="n">
        <f aca="false">SUMIF(Sprints!$A$2:$A$96,A5,Sprints!$H$2:$H$96)</f>
        <v>146</v>
      </c>
      <c r="G5" s="8" t="n">
        <f aca="false">IF(C5=0,"",F5/C5)</f>
        <v>2.39344262295082</v>
      </c>
      <c r="H5" s="7" t="n">
        <f aca="false">SUMIF(Sprints!$A$2:$A$96,A5,Sprints!$J$2:$J$96)</f>
        <v>64</v>
      </c>
      <c r="I5" s="7" t="n">
        <f aca="false">COUNTIFS(Sprints!$A$2:$A$96,A5,Sprints!$O$2:$O$96,"Yes")</f>
        <v>3</v>
      </c>
    </row>
    <row r="6" customFormat="false" ht="15" hidden="false" customHeight="false" outlineLevel="0" collapsed="false">
      <c r="A6" s="3" t="s">
        <v>24</v>
      </c>
      <c r="B6" s="7" t="n">
        <f aca="false">COUNTIF(Sprints!$A$2:$A$96,A6)</f>
        <v>37</v>
      </c>
      <c r="C6" s="7" t="n">
        <f aca="false">SUMIF(Sprints!$A$2:$A$96,A6,Sprints!$F$2:$F$96)</f>
        <v>536</v>
      </c>
      <c r="D6" s="7" t="n">
        <f aca="false">SUMIF(Sprints!$A$2:$A$96,A6,Sprints!$G$2:$G$96)</f>
        <v>230</v>
      </c>
      <c r="E6" s="8" t="n">
        <f aca="false">IF(C6=0,"",D6/C6)</f>
        <v>0.42910447761194</v>
      </c>
      <c r="F6" s="7" t="n">
        <f aca="false">SUMIF(Sprints!$A$2:$A$96,A6,Sprints!$H$2:$H$96)</f>
        <v>271</v>
      </c>
      <c r="G6" s="8" t="n">
        <f aca="false">IF(C6=0,"",F6/C6)</f>
        <v>0.505597014925373</v>
      </c>
      <c r="H6" s="7" t="n">
        <f aca="false">SUMIF(Sprints!$A$2:$A$96,A6,Sprints!$J$2:$J$96)</f>
        <v>281</v>
      </c>
      <c r="I6" s="7" t="n">
        <f aca="false">COUNTIFS(Sprints!$A$2:$A$96,A6,Sprints!$O$2:$O$96,"Yes")</f>
        <v>4</v>
      </c>
    </row>
    <row r="7" customFormat="false" ht="15" hidden="false" customHeight="false" outlineLevel="0" collapsed="false">
      <c r="A7" s="3" t="s">
        <v>25</v>
      </c>
      <c r="B7" s="3" t="n">
        <f aca="false">SUM(B4:B6)</f>
        <v>95</v>
      </c>
      <c r="C7" s="3" t="n">
        <f aca="false">SUM(C4:C6)</f>
        <v>772</v>
      </c>
      <c r="D7" s="3" t="n">
        <f aca="false">SUM(D4:D6)</f>
        <v>350</v>
      </c>
      <c r="E7" s="9" t="n">
        <f aca="false">D7/C7</f>
        <v>0.453367875647668</v>
      </c>
      <c r="F7" s="3" t="n">
        <f aca="false">SUM(F4:F6)</f>
        <v>520</v>
      </c>
      <c r="G7" s="9" t="n">
        <f aca="false">F7/C7</f>
        <v>0.673575129533679</v>
      </c>
      <c r="H7" s="3" t="n">
        <f aca="false">SUM(H4:H6)</f>
        <v>442</v>
      </c>
      <c r="I7" s="3" t="n">
        <f aca="false">SUM(I4:I6)</f>
        <v>16</v>
      </c>
    </row>
    <row r="10" customFormat="false" ht="15" hidden="false" customHeight="false" outlineLevel="0" collapsed="false">
      <c r="A10" s="10" t="s">
        <v>26</v>
      </c>
    </row>
    <row r="11" customFormat="false" ht="30" hidden="false" customHeight="true" outlineLevel="0" collapsed="false">
      <c r="A11" s="6" t="s">
        <v>13</v>
      </c>
      <c r="B11" s="6" t="s">
        <v>27</v>
      </c>
      <c r="C11" s="6" t="s">
        <v>28</v>
      </c>
      <c r="D11" s="6" t="s">
        <v>29</v>
      </c>
    </row>
    <row r="12" customFormat="false" ht="15" hidden="false" customHeight="false" outlineLevel="0" collapsed="false">
      <c r="A12" s="0" t="s">
        <v>22</v>
      </c>
      <c r="B12" s="8" t="n">
        <f aca="false">IFERROR(SUMIFS(Sprints!$G$2:$G$96,Sprints!$A$2:$A$96,$A12,Sprints!$E$2:$E$96,"Apr to Dec 2025")/SUMIFS(Sprints!$F$2:$F$96,Sprints!$A$2:$A$96,$A12,Sprints!$E$2:$E$96,"Apr to Dec 2025"),"")</f>
        <v>0.5</v>
      </c>
      <c r="C12" s="8" t="n">
        <f aca="false">IFERROR(SUMIFS(Sprints!$G$2:$G$96,Sprints!$A$2:$A$96,$A12,Sprints!$E$2:$E$96,"Jan to Oct 2026")/SUMIFS(Sprints!$F$2:$F$96,Sprints!$A$2:$A$96,$A12,Sprints!$E$2:$E$96,"Jan to Oct 2026"),"")</f>
        <v>0.6</v>
      </c>
      <c r="D12" s="11" t="n">
        <f aca="false">IFERROR(C12-B12,"")</f>
        <v>0.1</v>
      </c>
    </row>
    <row r="13" customFormat="false" ht="15" hidden="false" customHeight="false" outlineLevel="0" collapsed="false">
      <c r="A13" s="0" t="s">
        <v>23</v>
      </c>
      <c r="B13" s="8" t="n">
        <f aca="false">IFERROR(SUMIFS(Sprints!$G$2:$G$96,Sprints!$A$2:$A$96,$A13,Sprints!$E$2:$E$96,"Apr to Dec 2025")/SUMIFS(Sprints!$F$2:$F$96,Sprints!$A$2:$A$96,$A13,Sprints!$E$2:$E$96,"Apr to Dec 2025"),"")</f>
        <v>0.377777777777778</v>
      </c>
      <c r="C13" s="8" t="n">
        <f aca="false">IFERROR(SUMIFS(Sprints!$G$2:$G$96,Sprints!$A$2:$A$96,$A13,Sprints!$E$2:$E$96,"Jan to Oct 2026")/SUMIFS(Sprints!$F$2:$F$96,Sprints!$A$2:$A$96,$A13,Sprints!$E$2:$E$96,"Jan to Oct 2026"),"")</f>
        <v>0.25</v>
      </c>
      <c r="D13" s="11" t="n">
        <f aca="false">IFERROR(C13-B13,"")</f>
        <v>-0.127777777777778</v>
      </c>
    </row>
    <row r="14" customFormat="false" ht="15" hidden="false" customHeight="false" outlineLevel="0" collapsed="false">
      <c r="A14" s="0" t="s">
        <v>24</v>
      </c>
      <c r="B14" s="8" t="n">
        <f aca="false">IFERROR(SUMIFS(Sprints!$G$2:$G$96,Sprints!$A$2:$A$96,$A14,Sprints!$E$2:$E$96,"Apr to Dec 2025")/SUMIFS(Sprints!$F$2:$F$96,Sprints!$A$2:$A$96,$A14,Sprints!$E$2:$E$96,"Apr to Dec 2025"),"")</f>
        <v>0.585858585858586</v>
      </c>
      <c r="C14" s="8" t="n">
        <f aca="false">IFERROR(SUMIFS(Sprints!$G$2:$G$96,Sprints!$A$2:$A$96,$A14,Sprints!$E$2:$E$96,"Jan to Oct 2026")/SUMIFS(Sprints!$F$2:$F$96,Sprints!$A$2:$A$96,$A14,Sprints!$E$2:$E$96,"Jan to Oct 2026"),"")</f>
        <v>0.393592677345538</v>
      </c>
      <c r="D14" s="11" t="n">
        <f aca="false">IFERROR(C14-B14,"")</f>
        <v>-0.192265908513048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11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9"/>
  </cols>
  <sheetData>
    <row r="1" customFormat="false" ht="30" hidden="false" customHeight="true" outlineLevel="0" collapsed="false">
      <c r="A1" s="6" t="s">
        <v>13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15</v>
      </c>
      <c r="G1" s="6" t="s">
        <v>16</v>
      </c>
      <c r="H1" s="6" t="s">
        <v>18</v>
      </c>
      <c r="I1" s="6" t="s">
        <v>34</v>
      </c>
      <c r="J1" s="6" t="s">
        <v>20</v>
      </c>
      <c r="K1" s="6" t="s">
        <v>35</v>
      </c>
      <c r="L1" s="6" t="s">
        <v>17</v>
      </c>
      <c r="M1" s="6" t="s">
        <v>19</v>
      </c>
      <c r="N1" s="6" t="s">
        <v>36</v>
      </c>
      <c r="O1" s="6" t="s">
        <v>37</v>
      </c>
    </row>
    <row r="2" customFormat="false" ht="15" hidden="false" customHeight="false" outlineLevel="0" collapsed="false">
      <c r="A2" s="12" t="s">
        <v>22</v>
      </c>
      <c r="B2" s="12" t="s">
        <v>38</v>
      </c>
      <c r="C2" s="12" t="s">
        <v>39</v>
      </c>
      <c r="D2" s="12" t="s">
        <v>40</v>
      </c>
      <c r="E2" s="12" t="s">
        <v>27</v>
      </c>
      <c r="F2" s="13" t="n">
        <v>5</v>
      </c>
      <c r="G2" s="13" t="n">
        <v>0</v>
      </c>
      <c r="H2" s="13" t="n">
        <v>3</v>
      </c>
      <c r="I2" s="13" t="n">
        <v>3</v>
      </c>
      <c r="J2" s="13" t="n">
        <v>5</v>
      </c>
      <c r="K2" s="13" t="n">
        <v>0</v>
      </c>
      <c r="L2" s="14" t="n">
        <f aca="false">IF(F2=0,"",G2/F2)</f>
        <v>0</v>
      </c>
      <c r="M2" s="14" t="n">
        <f aca="false">IF(F2=0,"",H2/F2)</f>
        <v>0.6</v>
      </c>
      <c r="N2" s="14" t="n">
        <f aca="false">IF(F2+H2=0,"",J2/(F2+H2))</f>
        <v>0.625</v>
      </c>
      <c r="O2" s="12" t="str">
        <f aca="false">IF(L2="","",IF(L2&gt;=0.8,"Yes","No"))</f>
        <v>No</v>
      </c>
    </row>
    <row r="3" customFormat="false" ht="15" hidden="false" customHeight="false" outlineLevel="0" collapsed="false">
      <c r="A3" s="12" t="s">
        <v>22</v>
      </c>
      <c r="B3" s="12" t="s">
        <v>41</v>
      </c>
      <c r="C3" s="12" t="s">
        <v>42</v>
      </c>
      <c r="D3" s="12" t="s">
        <v>43</v>
      </c>
      <c r="E3" s="12" t="s">
        <v>27</v>
      </c>
      <c r="F3" s="13" t="n">
        <v>4</v>
      </c>
      <c r="G3" s="13" t="n">
        <v>1</v>
      </c>
      <c r="H3" s="13" t="n">
        <v>1</v>
      </c>
      <c r="I3" s="13" t="n">
        <v>0</v>
      </c>
      <c r="J3" s="13" t="n">
        <v>4</v>
      </c>
      <c r="K3" s="13" t="n">
        <v>0</v>
      </c>
      <c r="L3" s="14" t="n">
        <f aca="false">IF(F3=0,"",G3/F3)</f>
        <v>0.25</v>
      </c>
      <c r="M3" s="14" t="n">
        <f aca="false">IF(F3=0,"",H3/F3)</f>
        <v>0.25</v>
      </c>
      <c r="N3" s="14" t="n">
        <f aca="false">IF(F3+H3=0,"",J3/(F3+H3))</f>
        <v>0.8</v>
      </c>
      <c r="O3" s="12" t="str">
        <f aca="false">IF(L3="","",IF(L3&gt;=0.8,"Yes","No"))</f>
        <v>No</v>
      </c>
    </row>
    <row r="4" customFormat="false" ht="15" hidden="false" customHeight="false" outlineLevel="0" collapsed="false">
      <c r="A4" s="12" t="s">
        <v>22</v>
      </c>
      <c r="B4" s="12" t="s">
        <v>44</v>
      </c>
      <c r="C4" s="12" t="s">
        <v>43</v>
      </c>
      <c r="D4" s="12" t="s">
        <v>45</v>
      </c>
      <c r="E4" s="12" t="s">
        <v>27</v>
      </c>
      <c r="F4" s="13" t="n">
        <v>8</v>
      </c>
      <c r="G4" s="13" t="n">
        <v>4</v>
      </c>
      <c r="H4" s="13" t="n">
        <v>2</v>
      </c>
      <c r="I4" s="13" t="n">
        <v>1</v>
      </c>
      <c r="J4" s="13" t="n">
        <v>4</v>
      </c>
      <c r="K4" s="13" t="n">
        <v>1</v>
      </c>
      <c r="L4" s="14" t="n">
        <f aca="false">IF(F4=0,"",G4/F4)</f>
        <v>0.5</v>
      </c>
      <c r="M4" s="14" t="n">
        <f aca="false">IF(F4=0,"",H4/F4)</f>
        <v>0.25</v>
      </c>
      <c r="N4" s="14" t="n">
        <f aca="false">IF(F4+H4=0,"",J4/(F4+H4))</f>
        <v>0.4</v>
      </c>
      <c r="O4" s="12" t="str">
        <f aca="false">IF(L4="","",IF(L4&gt;=0.8,"Yes","No"))</f>
        <v>No</v>
      </c>
    </row>
    <row r="5" customFormat="false" ht="15" hidden="false" customHeight="false" outlineLevel="0" collapsed="false">
      <c r="A5" s="12" t="s">
        <v>22</v>
      </c>
      <c r="B5" s="12" t="s">
        <v>46</v>
      </c>
      <c r="C5" s="12" t="s">
        <v>45</v>
      </c>
      <c r="D5" s="12" t="s">
        <v>47</v>
      </c>
      <c r="E5" s="12" t="s">
        <v>27</v>
      </c>
      <c r="F5" s="13" t="n">
        <v>6</v>
      </c>
      <c r="G5" s="13" t="n">
        <v>6</v>
      </c>
      <c r="H5" s="13" t="n">
        <v>3</v>
      </c>
      <c r="I5" s="13" t="n">
        <v>2</v>
      </c>
      <c r="J5" s="13" t="n">
        <v>1</v>
      </c>
      <c r="K5" s="13" t="n">
        <v>0</v>
      </c>
      <c r="L5" s="14" t="n">
        <f aca="false">IF(F5=0,"",G5/F5)</f>
        <v>1</v>
      </c>
      <c r="M5" s="14" t="n">
        <f aca="false">IF(F5=0,"",H5/F5)</f>
        <v>0.5</v>
      </c>
      <c r="N5" s="14" t="n">
        <f aca="false">IF(F5+H5=0,"",J5/(F5+H5))</f>
        <v>0.111111111111111</v>
      </c>
      <c r="O5" s="12" t="str">
        <f aca="false">IF(L5="","",IF(L5&gt;=0.8,"Yes","No"))</f>
        <v>Yes</v>
      </c>
    </row>
    <row r="6" customFormat="false" ht="15" hidden="false" customHeight="false" outlineLevel="0" collapsed="false">
      <c r="A6" s="12" t="s">
        <v>22</v>
      </c>
      <c r="B6" s="12" t="s">
        <v>48</v>
      </c>
      <c r="C6" s="12" t="s">
        <v>47</v>
      </c>
      <c r="D6" s="12" t="s">
        <v>49</v>
      </c>
      <c r="E6" s="12" t="s">
        <v>27</v>
      </c>
      <c r="F6" s="13" t="n">
        <v>2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0</v>
      </c>
      <c r="L6" s="14" t="n">
        <f aca="false">IF(F6=0,"",G6/F6)</f>
        <v>0.5</v>
      </c>
      <c r="M6" s="14" t="n">
        <f aca="false">IF(F6=0,"",H6/F6)</f>
        <v>0.5</v>
      </c>
      <c r="N6" s="14" t="n">
        <f aca="false">IF(F6+H6=0,"",J6/(F6+H6))</f>
        <v>0.333333333333333</v>
      </c>
      <c r="O6" s="12" t="str">
        <f aca="false">IF(L6="","",IF(L6&gt;=0.8,"Yes","No"))</f>
        <v>No</v>
      </c>
    </row>
    <row r="7" customFormat="false" ht="15" hidden="false" customHeight="false" outlineLevel="0" collapsed="false">
      <c r="A7" s="12" t="s">
        <v>22</v>
      </c>
      <c r="B7" s="12" t="s">
        <v>50</v>
      </c>
      <c r="C7" s="12" t="s">
        <v>49</v>
      </c>
      <c r="D7" s="12" t="s">
        <v>51</v>
      </c>
      <c r="E7" s="12" t="s">
        <v>27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4" t="str">
        <f aca="false">IF(F7=0,"",G7/F7)</f>
        <v/>
      </c>
      <c r="M7" s="14" t="str">
        <f aca="false">IF(F7=0,"",H7/F7)</f>
        <v/>
      </c>
      <c r="N7" s="14" t="str">
        <f aca="false">IF(F7+H7=0,"",J7/(F7+H7))</f>
        <v/>
      </c>
      <c r="O7" s="12" t="str">
        <f aca="false">IF(L7="","",IF(L7&gt;=0.8,"Yes","No"))</f>
        <v/>
      </c>
    </row>
    <row r="8" customFormat="false" ht="15" hidden="false" customHeight="false" outlineLevel="0" collapsed="false">
      <c r="A8" s="12" t="s">
        <v>22</v>
      </c>
      <c r="B8" s="12" t="s">
        <v>52</v>
      </c>
      <c r="C8" s="12" t="s">
        <v>51</v>
      </c>
      <c r="D8" s="12" t="s">
        <v>53</v>
      </c>
      <c r="E8" s="12" t="s">
        <v>27</v>
      </c>
      <c r="F8" s="13" t="n">
        <v>3</v>
      </c>
      <c r="G8" s="13" t="n">
        <v>0</v>
      </c>
      <c r="H8" s="13" t="n">
        <v>0</v>
      </c>
      <c r="I8" s="13" t="n">
        <v>0</v>
      </c>
      <c r="J8" s="13" t="n">
        <v>3</v>
      </c>
      <c r="K8" s="13" t="n">
        <v>0</v>
      </c>
      <c r="L8" s="14" t="n">
        <f aca="false">IF(F8=0,"",G8/F8)</f>
        <v>0</v>
      </c>
      <c r="M8" s="14" t="n">
        <f aca="false">IF(F8=0,"",H8/F8)</f>
        <v>0</v>
      </c>
      <c r="N8" s="14" t="n">
        <f aca="false">IF(F8+H8=0,"",J8/(F8+H8))</f>
        <v>1</v>
      </c>
      <c r="O8" s="12" t="str">
        <f aca="false">IF(L8="","",IF(L8&gt;=0.8,"Yes","No"))</f>
        <v>No</v>
      </c>
    </row>
    <row r="9" customFormat="false" ht="15" hidden="false" customHeight="false" outlineLevel="0" collapsed="false">
      <c r="A9" s="12" t="s">
        <v>22</v>
      </c>
      <c r="B9" s="12" t="s">
        <v>54</v>
      </c>
      <c r="C9" s="12" t="s">
        <v>53</v>
      </c>
      <c r="D9" s="12" t="s">
        <v>55</v>
      </c>
      <c r="E9" s="12" t="s">
        <v>27</v>
      </c>
      <c r="F9" s="13" t="n">
        <v>5</v>
      </c>
      <c r="G9" s="13" t="n">
        <v>1</v>
      </c>
      <c r="H9" s="13" t="n">
        <v>2</v>
      </c>
      <c r="I9" s="13" t="n">
        <v>2</v>
      </c>
      <c r="J9" s="13" t="n">
        <v>3</v>
      </c>
      <c r="K9" s="13" t="n">
        <v>1</v>
      </c>
      <c r="L9" s="14" t="n">
        <f aca="false">IF(F9=0,"",G9/F9)</f>
        <v>0.2</v>
      </c>
      <c r="M9" s="14" t="n">
        <f aca="false">IF(F9=0,"",H9/F9)</f>
        <v>0.4</v>
      </c>
      <c r="N9" s="14" t="n">
        <f aca="false">IF(F9+H9=0,"",J9/(F9+H9))</f>
        <v>0.428571428571429</v>
      </c>
      <c r="O9" s="12" t="str">
        <f aca="false">IF(L9="","",IF(L9&gt;=0.8,"Yes","No"))</f>
        <v>No</v>
      </c>
    </row>
    <row r="10" customFormat="false" ht="15" hidden="false" customHeight="false" outlineLevel="0" collapsed="false">
      <c r="A10" s="12" t="s">
        <v>22</v>
      </c>
      <c r="B10" s="12" t="s">
        <v>56</v>
      </c>
      <c r="C10" s="12" t="s">
        <v>55</v>
      </c>
      <c r="D10" s="12" t="s">
        <v>57</v>
      </c>
      <c r="E10" s="12" t="s">
        <v>27</v>
      </c>
      <c r="F10" s="13" t="n">
        <v>5</v>
      </c>
      <c r="G10" s="13" t="n">
        <v>4</v>
      </c>
      <c r="H10" s="13" t="n">
        <v>2</v>
      </c>
      <c r="I10" s="13" t="n">
        <v>0</v>
      </c>
      <c r="J10" s="13" t="n">
        <v>3</v>
      </c>
      <c r="K10" s="13" t="n">
        <v>0</v>
      </c>
      <c r="L10" s="14" t="n">
        <f aca="false">IF(F10=0,"",G10/F10)</f>
        <v>0.8</v>
      </c>
      <c r="M10" s="14" t="n">
        <f aca="false">IF(F10=0,"",H10/F10)</f>
        <v>0.4</v>
      </c>
      <c r="N10" s="14" t="n">
        <f aca="false">IF(F10+H10=0,"",J10/(F10+H10))</f>
        <v>0.428571428571429</v>
      </c>
      <c r="O10" s="12" t="str">
        <f aca="false">IF(L10="","",IF(L10&gt;=0.8,"Yes","No"))</f>
        <v>Yes</v>
      </c>
    </row>
    <row r="11" customFormat="false" ht="15" hidden="false" customHeight="false" outlineLevel="0" collapsed="false">
      <c r="A11" s="12" t="s">
        <v>22</v>
      </c>
      <c r="B11" s="12" t="s">
        <v>58</v>
      </c>
      <c r="C11" s="12" t="s">
        <v>57</v>
      </c>
      <c r="D11" s="12" t="s">
        <v>59</v>
      </c>
      <c r="E11" s="12" t="s">
        <v>27</v>
      </c>
      <c r="F11" s="13" t="n">
        <v>6</v>
      </c>
      <c r="G11" s="13" t="n">
        <v>5</v>
      </c>
      <c r="H11" s="13" t="n">
        <v>3</v>
      </c>
      <c r="I11" s="13" t="n">
        <v>2</v>
      </c>
      <c r="J11" s="13" t="n">
        <v>1</v>
      </c>
      <c r="K11" s="13" t="n">
        <v>1</v>
      </c>
      <c r="L11" s="14" t="n">
        <f aca="false">IF(F11=0,"",G11/F11)</f>
        <v>0.833333333333333</v>
      </c>
      <c r="M11" s="14" t="n">
        <f aca="false">IF(F11=0,"",H11/F11)</f>
        <v>0.5</v>
      </c>
      <c r="N11" s="14" t="n">
        <f aca="false">IF(F11+H11=0,"",J11/(F11+H11))</f>
        <v>0.111111111111111</v>
      </c>
      <c r="O11" s="12" t="str">
        <f aca="false">IF(L11="","",IF(L11&gt;=0.8,"Yes","No"))</f>
        <v>Yes</v>
      </c>
    </row>
    <row r="12" customFormat="false" ht="15" hidden="false" customHeight="false" outlineLevel="0" collapsed="false">
      <c r="A12" s="12" t="s">
        <v>22</v>
      </c>
      <c r="B12" s="12" t="s">
        <v>60</v>
      </c>
      <c r="C12" s="12" t="s">
        <v>59</v>
      </c>
      <c r="D12" s="12" t="s">
        <v>61</v>
      </c>
      <c r="E12" s="12" t="s">
        <v>27</v>
      </c>
      <c r="F12" s="13" t="n">
        <v>4</v>
      </c>
      <c r="G12" s="13" t="n">
        <v>1</v>
      </c>
      <c r="H12" s="13" t="n">
        <v>4</v>
      </c>
      <c r="I12" s="13" t="n">
        <v>1</v>
      </c>
      <c r="J12" s="13" t="n">
        <v>4</v>
      </c>
      <c r="K12" s="13" t="n">
        <v>0</v>
      </c>
      <c r="L12" s="14" t="n">
        <f aca="false">IF(F12=0,"",G12/F12)</f>
        <v>0.25</v>
      </c>
      <c r="M12" s="14" t="n">
        <f aca="false">IF(F12=0,"",H12/F12)</f>
        <v>1</v>
      </c>
      <c r="N12" s="14" t="n">
        <f aca="false">IF(F12+H12=0,"",J12/(F12+H12))</f>
        <v>0.5</v>
      </c>
      <c r="O12" s="12" t="str">
        <f aca="false">IF(L12="","",IF(L12&gt;=0.8,"Yes","No"))</f>
        <v>No</v>
      </c>
    </row>
    <row r="13" customFormat="false" ht="15" hidden="false" customHeight="false" outlineLevel="0" collapsed="false">
      <c r="A13" s="12" t="s">
        <v>22</v>
      </c>
      <c r="B13" s="12" t="s">
        <v>62</v>
      </c>
      <c r="C13" s="12" t="s">
        <v>61</v>
      </c>
      <c r="D13" s="12" t="s">
        <v>63</v>
      </c>
      <c r="E13" s="12" t="s">
        <v>27</v>
      </c>
      <c r="F13" s="13" t="n">
        <v>1</v>
      </c>
      <c r="G13" s="13" t="n">
        <v>0</v>
      </c>
      <c r="H13" s="13" t="n">
        <v>3</v>
      </c>
      <c r="I13" s="13" t="n">
        <v>3</v>
      </c>
      <c r="J13" s="13" t="n">
        <v>1</v>
      </c>
      <c r="K13" s="13" t="n">
        <v>0</v>
      </c>
      <c r="L13" s="14" t="n">
        <f aca="false">IF(F13=0,"",G13/F13)</f>
        <v>0</v>
      </c>
      <c r="M13" s="14" t="n">
        <f aca="false">IF(F13=0,"",H13/F13)</f>
        <v>3</v>
      </c>
      <c r="N13" s="14" t="n">
        <f aca="false">IF(F13+H13=0,"",J13/(F13+H13))</f>
        <v>0.25</v>
      </c>
      <c r="O13" s="12" t="str">
        <f aca="false">IF(L13="","",IF(L13&gt;=0.8,"Yes","No"))</f>
        <v>No</v>
      </c>
    </row>
    <row r="14" customFormat="false" ht="15" hidden="false" customHeight="false" outlineLevel="0" collapsed="false">
      <c r="A14" s="12" t="s">
        <v>22</v>
      </c>
      <c r="B14" s="12" t="s">
        <v>64</v>
      </c>
      <c r="C14" s="12" t="s">
        <v>65</v>
      </c>
      <c r="D14" s="12" t="s">
        <v>66</v>
      </c>
      <c r="E14" s="12" t="s">
        <v>27</v>
      </c>
      <c r="F14" s="13" t="n">
        <v>5</v>
      </c>
      <c r="G14" s="13" t="n">
        <v>4</v>
      </c>
      <c r="H14" s="13" t="n">
        <v>6</v>
      </c>
      <c r="I14" s="13" t="n">
        <v>5</v>
      </c>
      <c r="J14" s="13" t="n">
        <v>0</v>
      </c>
      <c r="K14" s="13" t="n">
        <v>1</v>
      </c>
      <c r="L14" s="14" t="n">
        <f aca="false">IF(F14=0,"",G14/F14)</f>
        <v>0.8</v>
      </c>
      <c r="M14" s="14" t="n">
        <f aca="false">IF(F14=0,"",H14/F14)</f>
        <v>1.2</v>
      </c>
      <c r="N14" s="14" t="n">
        <f aca="false">IF(F14+H14=0,"",J14/(F14+H14))</f>
        <v>0</v>
      </c>
      <c r="O14" s="12" t="str">
        <f aca="false">IF(L14="","",IF(L14&gt;=0.8,"Yes","No"))</f>
        <v>Yes</v>
      </c>
    </row>
    <row r="15" customFormat="false" ht="15" hidden="false" customHeight="false" outlineLevel="0" collapsed="false">
      <c r="A15" s="12" t="s">
        <v>22</v>
      </c>
      <c r="B15" s="12" t="s">
        <v>67</v>
      </c>
      <c r="C15" s="12" t="s">
        <v>68</v>
      </c>
      <c r="D15" s="12" t="s">
        <v>69</v>
      </c>
      <c r="E15" s="12" t="s">
        <v>27</v>
      </c>
      <c r="F15" s="13" t="n">
        <v>1</v>
      </c>
      <c r="G15" s="13" t="n">
        <v>1</v>
      </c>
      <c r="H15" s="13" t="n">
        <v>1</v>
      </c>
      <c r="I15" s="13" t="n">
        <v>1</v>
      </c>
      <c r="J15" s="13" t="n">
        <v>0</v>
      </c>
      <c r="K15" s="13" t="n">
        <v>0</v>
      </c>
      <c r="L15" s="14" t="n">
        <f aca="false">IF(F15=0,"",G15/F15)</f>
        <v>1</v>
      </c>
      <c r="M15" s="14" t="n">
        <f aca="false">IF(F15=0,"",H15/F15)</f>
        <v>1</v>
      </c>
      <c r="N15" s="14" t="n">
        <f aca="false">IF(F15+H15=0,"",J15/(F15+H15))</f>
        <v>0</v>
      </c>
      <c r="O15" s="12" t="str">
        <f aca="false">IF(L15="","",IF(L15&gt;=0.8,"Yes","No"))</f>
        <v>Yes</v>
      </c>
    </row>
    <row r="16" customFormat="false" ht="15" hidden="false" customHeight="false" outlineLevel="0" collapsed="false">
      <c r="A16" s="12" t="s">
        <v>22</v>
      </c>
      <c r="B16" s="12" t="s">
        <v>70</v>
      </c>
      <c r="C16" s="12" t="s">
        <v>69</v>
      </c>
      <c r="D16" s="12" t="s">
        <v>71</v>
      </c>
      <c r="E16" s="12" t="s">
        <v>27</v>
      </c>
      <c r="F16" s="13" t="n">
        <v>5</v>
      </c>
      <c r="G16" s="13" t="n">
        <v>2</v>
      </c>
      <c r="H16" s="13" t="n">
        <v>3</v>
      </c>
      <c r="I16" s="13" t="n">
        <v>2</v>
      </c>
      <c r="J16" s="13" t="n">
        <v>3</v>
      </c>
      <c r="K16" s="13" t="n">
        <v>1</v>
      </c>
      <c r="L16" s="14" t="n">
        <f aca="false">IF(F16=0,"",G16/F16)</f>
        <v>0.4</v>
      </c>
      <c r="M16" s="14" t="n">
        <f aca="false">IF(F16=0,"",H16/F16)</f>
        <v>0.6</v>
      </c>
      <c r="N16" s="14" t="n">
        <f aca="false">IF(F16+H16=0,"",J16/(F16+H16))</f>
        <v>0.375</v>
      </c>
      <c r="O16" s="12" t="str">
        <f aca="false">IF(L16="","",IF(L16&gt;=0.8,"Yes","No"))</f>
        <v>No</v>
      </c>
    </row>
    <row r="17" customFormat="false" ht="15" hidden="false" customHeight="false" outlineLevel="0" collapsed="false">
      <c r="A17" s="12" t="s">
        <v>22</v>
      </c>
      <c r="B17" s="12" t="s">
        <v>72</v>
      </c>
      <c r="C17" s="12" t="s">
        <v>73</v>
      </c>
      <c r="D17" s="12" t="s">
        <v>74</v>
      </c>
      <c r="E17" s="12" t="s">
        <v>27</v>
      </c>
      <c r="F17" s="13" t="n">
        <v>0</v>
      </c>
      <c r="G17" s="13" t="n">
        <v>0</v>
      </c>
      <c r="H17" s="13" t="n">
        <v>1</v>
      </c>
      <c r="I17" s="13" t="n">
        <v>0</v>
      </c>
      <c r="J17" s="13" t="n">
        <v>1</v>
      </c>
      <c r="K17" s="13" t="n">
        <v>0</v>
      </c>
      <c r="L17" s="14" t="str">
        <f aca="false">IF(F17=0,"",G17/F17)</f>
        <v/>
      </c>
      <c r="M17" s="14" t="str">
        <f aca="false">IF(F17=0,"",H17/F17)</f>
        <v/>
      </c>
      <c r="N17" s="14" t="n">
        <f aca="false">IF(F17+H17=0,"",J17/(F17+H17))</f>
        <v>1</v>
      </c>
      <c r="O17" s="12" t="str">
        <f aca="false">IF(L17="","",IF(L17&gt;=0.8,"Yes","No"))</f>
        <v/>
      </c>
    </row>
    <row r="18" customFormat="false" ht="15" hidden="false" customHeight="false" outlineLevel="0" collapsed="false">
      <c r="A18" s="12" t="s">
        <v>22</v>
      </c>
      <c r="B18" s="12" t="s">
        <v>75</v>
      </c>
      <c r="C18" s="12" t="s">
        <v>76</v>
      </c>
      <c r="D18" s="12" t="s">
        <v>77</v>
      </c>
      <c r="E18" s="12" t="s">
        <v>28</v>
      </c>
      <c r="F18" s="13" t="n">
        <v>1</v>
      </c>
      <c r="G18" s="13" t="n">
        <v>1</v>
      </c>
      <c r="H18" s="13" t="n">
        <v>0</v>
      </c>
      <c r="I18" s="13" t="n">
        <v>0</v>
      </c>
      <c r="J18" s="13" t="n">
        <v>0</v>
      </c>
      <c r="K18" s="13" t="n">
        <v>0</v>
      </c>
      <c r="L18" s="14" t="n">
        <f aca="false">IF(F18=0,"",G18/F18)</f>
        <v>1</v>
      </c>
      <c r="M18" s="14" t="n">
        <f aca="false">IF(F18=0,"",H18/F18)</f>
        <v>0</v>
      </c>
      <c r="N18" s="14" t="n">
        <f aca="false">IF(F18+H18=0,"",J18/(F18+H18))</f>
        <v>0</v>
      </c>
      <c r="O18" s="12" t="str">
        <f aca="false">IF(L18="","",IF(L18&gt;=0.8,"Yes","No"))</f>
        <v>Yes</v>
      </c>
    </row>
    <row r="19" customFormat="false" ht="15" hidden="false" customHeight="false" outlineLevel="0" collapsed="false">
      <c r="A19" s="12" t="s">
        <v>22</v>
      </c>
      <c r="B19" s="12" t="s">
        <v>78</v>
      </c>
      <c r="C19" s="12" t="s">
        <v>79</v>
      </c>
      <c r="D19" s="12" t="s">
        <v>80</v>
      </c>
      <c r="E19" s="12" t="s">
        <v>28</v>
      </c>
      <c r="F19" s="13" t="n">
        <v>1</v>
      </c>
      <c r="G19" s="13" t="n">
        <v>1</v>
      </c>
      <c r="H19" s="13" t="n">
        <v>2</v>
      </c>
      <c r="I19" s="13" t="n">
        <v>0</v>
      </c>
      <c r="J19" s="13" t="n">
        <v>2</v>
      </c>
      <c r="K19" s="13" t="n">
        <v>0</v>
      </c>
      <c r="L19" s="14" t="n">
        <f aca="false">IF(F19=0,"",G19/F19)</f>
        <v>1</v>
      </c>
      <c r="M19" s="14" t="n">
        <f aca="false">IF(F19=0,"",H19/F19)</f>
        <v>2</v>
      </c>
      <c r="N19" s="14" t="n">
        <f aca="false">IF(F19+H19=0,"",J19/(F19+H19))</f>
        <v>0.666666666666667</v>
      </c>
      <c r="O19" s="12" t="str">
        <f aca="false">IF(L19="","",IF(L19&gt;=0.8,"Yes","No"))</f>
        <v>Yes</v>
      </c>
    </row>
    <row r="20" customFormat="false" ht="15" hidden="false" customHeight="false" outlineLevel="0" collapsed="false">
      <c r="A20" s="12" t="s">
        <v>22</v>
      </c>
      <c r="B20" s="12" t="s">
        <v>81</v>
      </c>
      <c r="C20" s="12" t="s">
        <v>82</v>
      </c>
      <c r="D20" s="12" t="s">
        <v>83</v>
      </c>
      <c r="E20" s="12" t="s">
        <v>28</v>
      </c>
      <c r="F20" s="13" t="n">
        <v>1</v>
      </c>
      <c r="G20" s="13" t="n">
        <v>0</v>
      </c>
      <c r="H20" s="13" t="n">
        <v>0</v>
      </c>
      <c r="I20" s="13" t="n">
        <v>0</v>
      </c>
      <c r="J20" s="13" t="n">
        <v>1</v>
      </c>
      <c r="K20" s="13" t="n">
        <v>0</v>
      </c>
      <c r="L20" s="14" t="n">
        <f aca="false">IF(F20=0,"",G20/F20)</f>
        <v>0</v>
      </c>
      <c r="M20" s="14" t="n">
        <f aca="false">IF(F20=0,"",H20/F20)</f>
        <v>0</v>
      </c>
      <c r="N20" s="14" t="n">
        <f aca="false">IF(F20+H20=0,"",J20/(F20+H20))</f>
        <v>1</v>
      </c>
      <c r="O20" s="12" t="str">
        <f aca="false">IF(L20="","",IF(L20&gt;=0.8,"Yes","No"))</f>
        <v>No</v>
      </c>
    </row>
    <row r="21" customFormat="false" ht="15" hidden="false" customHeight="false" outlineLevel="0" collapsed="false">
      <c r="A21" s="12" t="s">
        <v>22</v>
      </c>
      <c r="B21" s="12" t="s">
        <v>84</v>
      </c>
      <c r="C21" s="12" t="s">
        <v>85</v>
      </c>
      <c r="D21" s="12" t="s">
        <v>86</v>
      </c>
      <c r="E21" s="12" t="s">
        <v>28</v>
      </c>
      <c r="F21" s="13" t="n">
        <v>2</v>
      </c>
      <c r="G21" s="13" t="n">
        <v>0</v>
      </c>
      <c r="H21" s="13" t="n">
        <v>1</v>
      </c>
      <c r="I21" s="13" t="n">
        <v>0</v>
      </c>
      <c r="J21" s="13" t="n">
        <v>3</v>
      </c>
      <c r="K21" s="13" t="n">
        <v>0</v>
      </c>
      <c r="L21" s="14" t="n">
        <f aca="false">IF(F21=0,"",G21/F21)</f>
        <v>0</v>
      </c>
      <c r="M21" s="14" t="n">
        <f aca="false">IF(F21=0,"",H21/F21)</f>
        <v>0.5</v>
      </c>
      <c r="N21" s="14" t="n">
        <f aca="false">IF(F21+H21=0,"",J21/(F21+H21))</f>
        <v>1</v>
      </c>
      <c r="O21" s="12" t="str">
        <f aca="false">IF(L21="","",IF(L21&gt;=0.8,"Yes","No"))</f>
        <v>No</v>
      </c>
    </row>
    <row r="22" customFormat="false" ht="15" hidden="false" customHeight="false" outlineLevel="0" collapsed="false">
      <c r="A22" s="12" t="s">
        <v>22</v>
      </c>
      <c r="B22" s="12" t="s">
        <v>87</v>
      </c>
      <c r="C22" s="12" t="s">
        <v>86</v>
      </c>
      <c r="D22" s="12" t="s">
        <v>88</v>
      </c>
      <c r="E22" s="12" t="s">
        <v>28</v>
      </c>
      <c r="F22" s="13" t="n">
        <v>9</v>
      </c>
      <c r="G22" s="13" t="n">
        <v>3</v>
      </c>
      <c r="H22" s="13" t="n">
        <v>4</v>
      </c>
      <c r="I22" s="13" t="n">
        <v>4</v>
      </c>
      <c r="J22" s="13" t="n">
        <v>5</v>
      </c>
      <c r="K22" s="13" t="n">
        <v>1</v>
      </c>
      <c r="L22" s="14" t="n">
        <f aca="false">IF(F22=0,"",G22/F22)</f>
        <v>0.333333333333333</v>
      </c>
      <c r="M22" s="14" t="n">
        <f aca="false">IF(F22=0,"",H22/F22)</f>
        <v>0.444444444444444</v>
      </c>
      <c r="N22" s="14" t="n">
        <f aca="false">IF(F22+H22=0,"",J22/(F22+H22))</f>
        <v>0.384615384615385</v>
      </c>
      <c r="O22" s="12" t="str">
        <f aca="false">IF(L22="","",IF(L22&gt;=0.8,"Yes","No"))</f>
        <v>No</v>
      </c>
    </row>
    <row r="23" customFormat="false" ht="15" hidden="false" customHeight="false" outlineLevel="0" collapsed="false">
      <c r="A23" s="12" t="s">
        <v>22</v>
      </c>
      <c r="B23" s="12" t="s">
        <v>89</v>
      </c>
      <c r="C23" s="12" t="s">
        <v>90</v>
      </c>
      <c r="D23" s="12" t="s">
        <v>91</v>
      </c>
      <c r="E23" s="12" t="s">
        <v>28</v>
      </c>
      <c r="F23" s="13" t="n">
        <v>12</v>
      </c>
      <c r="G23" s="13" t="n">
        <v>11</v>
      </c>
      <c r="H23" s="13" t="n">
        <v>3</v>
      </c>
      <c r="I23" s="13" t="n">
        <v>2</v>
      </c>
      <c r="J23" s="13" t="n">
        <v>1</v>
      </c>
      <c r="K23" s="13" t="n">
        <v>0</v>
      </c>
      <c r="L23" s="14" t="n">
        <f aca="false">IF(F23=0,"",G23/F23)</f>
        <v>0.916666666666667</v>
      </c>
      <c r="M23" s="14" t="n">
        <f aca="false">IF(F23=0,"",H23/F23)</f>
        <v>0.25</v>
      </c>
      <c r="N23" s="14" t="n">
        <f aca="false">IF(F23+H23=0,"",J23/(F23+H23))</f>
        <v>0.0666666666666667</v>
      </c>
      <c r="O23" s="12" t="str">
        <f aca="false">IF(L23="","",IF(L23&gt;=0.8,"Yes","No"))</f>
        <v>Yes</v>
      </c>
    </row>
    <row r="24" customFormat="false" ht="15" hidden="false" customHeight="false" outlineLevel="0" collapsed="false">
      <c r="A24" s="12" t="s">
        <v>22</v>
      </c>
      <c r="B24" s="12" t="s">
        <v>92</v>
      </c>
      <c r="C24" s="12" t="s">
        <v>93</v>
      </c>
      <c r="D24" s="12" t="s">
        <v>94</v>
      </c>
      <c r="E24" s="12" t="s">
        <v>28</v>
      </c>
      <c r="F24" s="13" t="n">
        <v>13</v>
      </c>
      <c r="G24" s="13" t="n">
        <v>8</v>
      </c>
      <c r="H24" s="13" t="n">
        <v>2</v>
      </c>
      <c r="I24" s="13" t="n">
        <v>1</v>
      </c>
      <c r="J24" s="13" t="n">
        <v>6</v>
      </c>
      <c r="K24" s="13" t="n">
        <v>0</v>
      </c>
      <c r="L24" s="14" t="n">
        <f aca="false">IF(F24=0,"",G24/F24)</f>
        <v>0.615384615384615</v>
      </c>
      <c r="M24" s="14" t="n">
        <f aca="false">IF(F24=0,"",H24/F24)</f>
        <v>0.153846153846154</v>
      </c>
      <c r="N24" s="14" t="n">
        <f aca="false">IF(F24+H24=0,"",J24/(F24+H24))</f>
        <v>0.4</v>
      </c>
      <c r="O24" s="12" t="str">
        <f aca="false">IF(L24="","",IF(L24&gt;=0.8,"Yes","No"))</f>
        <v>No</v>
      </c>
    </row>
    <row r="25" customFormat="false" ht="15" hidden="false" customHeight="false" outlineLevel="0" collapsed="false">
      <c r="A25" s="12" t="s">
        <v>22</v>
      </c>
      <c r="B25" s="12" t="s">
        <v>95</v>
      </c>
      <c r="C25" s="12" t="s">
        <v>94</v>
      </c>
      <c r="D25" s="12" t="s">
        <v>96</v>
      </c>
      <c r="E25" s="12" t="s">
        <v>28</v>
      </c>
      <c r="F25" s="13" t="n">
        <v>10</v>
      </c>
      <c r="G25" s="13" t="n">
        <v>5</v>
      </c>
      <c r="H25" s="13" t="n">
        <v>8</v>
      </c>
      <c r="I25" s="13" t="n">
        <v>3</v>
      </c>
      <c r="J25" s="13" t="n">
        <v>8</v>
      </c>
      <c r="K25" s="13" t="n">
        <v>1</v>
      </c>
      <c r="L25" s="14" t="n">
        <f aca="false">IF(F25=0,"",G25/F25)</f>
        <v>0.5</v>
      </c>
      <c r="M25" s="14" t="n">
        <f aca="false">IF(F25=0,"",H25/F25)</f>
        <v>0.8</v>
      </c>
      <c r="N25" s="14" t="n">
        <f aca="false">IF(F25+H25=0,"",J25/(F25+H25))</f>
        <v>0.444444444444444</v>
      </c>
      <c r="O25" s="12" t="str">
        <f aca="false">IF(L25="","",IF(L25&gt;=0.8,"Yes","No"))</f>
        <v>No</v>
      </c>
    </row>
    <row r="26" customFormat="false" ht="15" hidden="false" customHeight="false" outlineLevel="0" collapsed="false">
      <c r="A26" s="12" t="s">
        <v>22</v>
      </c>
      <c r="B26" s="12" t="s">
        <v>97</v>
      </c>
      <c r="C26" s="12" t="s">
        <v>98</v>
      </c>
      <c r="D26" s="12" t="s">
        <v>99</v>
      </c>
      <c r="E26" s="12" t="s">
        <v>28</v>
      </c>
      <c r="F26" s="13" t="n">
        <v>12</v>
      </c>
      <c r="G26" s="13" t="n">
        <v>9</v>
      </c>
      <c r="H26" s="13" t="n">
        <v>8</v>
      </c>
      <c r="I26" s="13" t="n">
        <v>2</v>
      </c>
      <c r="J26" s="13" t="n">
        <v>7</v>
      </c>
      <c r="K26" s="13" t="n">
        <v>0</v>
      </c>
      <c r="L26" s="14" t="n">
        <f aca="false">IF(F26=0,"",G26/F26)</f>
        <v>0.75</v>
      </c>
      <c r="M26" s="14" t="n">
        <f aca="false">IF(F26=0,"",H26/F26)</f>
        <v>0.666666666666667</v>
      </c>
      <c r="N26" s="14" t="n">
        <f aca="false">IF(F26+H26=0,"",J26/(F26+H26))</f>
        <v>0.35</v>
      </c>
      <c r="O26" s="12" t="str">
        <f aca="false">IF(L26="","",IF(L26&gt;=0.8,"Yes","No"))</f>
        <v>No</v>
      </c>
    </row>
    <row r="27" customFormat="false" ht="15" hidden="false" customHeight="false" outlineLevel="0" collapsed="false">
      <c r="A27" s="12" t="s">
        <v>22</v>
      </c>
      <c r="B27" s="12" t="s">
        <v>100</v>
      </c>
      <c r="C27" s="12" t="s">
        <v>99</v>
      </c>
      <c r="D27" s="12" t="s">
        <v>101</v>
      </c>
      <c r="E27" s="12" t="s">
        <v>28</v>
      </c>
      <c r="F27" s="13" t="n">
        <v>12</v>
      </c>
      <c r="G27" s="13" t="n">
        <v>7</v>
      </c>
      <c r="H27" s="13" t="n">
        <v>12</v>
      </c>
      <c r="I27" s="13" t="n">
        <v>7</v>
      </c>
      <c r="J27" s="13" t="n">
        <v>7</v>
      </c>
      <c r="K27" s="13" t="n">
        <v>1</v>
      </c>
      <c r="L27" s="14" t="n">
        <f aca="false">IF(F27=0,"",G27/F27)</f>
        <v>0.583333333333333</v>
      </c>
      <c r="M27" s="14" t="n">
        <f aca="false">IF(F27=0,"",H27/F27)</f>
        <v>1</v>
      </c>
      <c r="N27" s="14" t="n">
        <f aca="false">IF(F27+H27=0,"",J27/(F27+H27))</f>
        <v>0.291666666666667</v>
      </c>
      <c r="O27" s="12" t="str">
        <f aca="false">IF(L27="","",IF(L27&gt;=0.8,"Yes","No"))</f>
        <v>No</v>
      </c>
    </row>
    <row r="28" customFormat="false" ht="15" hidden="false" customHeight="false" outlineLevel="0" collapsed="false">
      <c r="A28" s="12" t="s">
        <v>22</v>
      </c>
      <c r="B28" s="12" t="s">
        <v>102</v>
      </c>
      <c r="C28" s="12" t="s">
        <v>101</v>
      </c>
      <c r="D28" s="12" t="s">
        <v>103</v>
      </c>
      <c r="E28" s="12" t="s">
        <v>28</v>
      </c>
      <c r="F28" s="13" t="n">
        <v>9</v>
      </c>
      <c r="G28" s="13" t="n">
        <v>6</v>
      </c>
      <c r="H28" s="13" t="n">
        <v>8</v>
      </c>
      <c r="I28" s="13" t="n">
        <v>6</v>
      </c>
      <c r="J28" s="13" t="n">
        <v>4</v>
      </c>
      <c r="K28" s="13" t="n">
        <v>1</v>
      </c>
      <c r="L28" s="14" t="n">
        <f aca="false">IF(F28=0,"",G28/F28)</f>
        <v>0.666666666666667</v>
      </c>
      <c r="M28" s="14" t="n">
        <f aca="false">IF(F28=0,"",H28/F28)</f>
        <v>0.888888888888889</v>
      </c>
      <c r="N28" s="14" t="n">
        <f aca="false">IF(F28+H28=0,"",J28/(F28+H28))</f>
        <v>0.235294117647059</v>
      </c>
      <c r="O28" s="12" t="str">
        <f aca="false">IF(L28="","",IF(L28&gt;=0.8,"Yes","No"))</f>
        <v>No</v>
      </c>
    </row>
    <row r="29" customFormat="false" ht="15" hidden="false" customHeight="false" outlineLevel="0" collapsed="false">
      <c r="A29" s="12" t="s">
        <v>22</v>
      </c>
      <c r="B29" s="12" t="s">
        <v>104</v>
      </c>
      <c r="C29" s="12" t="s">
        <v>105</v>
      </c>
      <c r="D29" s="12" t="s">
        <v>106</v>
      </c>
      <c r="E29" s="12" t="s">
        <v>28</v>
      </c>
      <c r="F29" s="13" t="n">
        <v>6</v>
      </c>
      <c r="G29" s="13" t="n">
        <v>5</v>
      </c>
      <c r="H29" s="13" t="n">
        <v>9</v>
      </c>
      <c r="I29" s="13" t="n">
        <v>7</v>
      </c>
      <c r="J29" s="13" t="n">
        <v>2</v>
      </c>
      <c r="K29" s="13" t="n">
        <v>1</v>
      </c>
      <c r="L29" s="14" t="n">
        <f aca="false">IF(F29=0,"",G29/F29)</f>
        <v>0.833333333333333</v>
      </c>
      <c r="M29" s="14" t="n">
        <f aca="false">IF(F29=0,"",H29/F29)</f>
        <v>1.5</v>
      </c>
      <c r="N29" s="14" t="n">
        <f aca="false">IF(F29+H29=0,"",J29/(F29+H29))</f>
        <v>0.133333333333333</v>
      </c>
      <c r="O29" s="12" t="str">
        <f aca="false">IF(L29="","",IF(L29&gt;=0.8,"Yes","No"))</f>
        <v>Yes</v>
      </c>
    </row>
    <row r="30" customFormat="false" ht="15" hidden="false" customHeight="false" outlineLevel="0" collapsed="false">
      <c r="A30" s="12" t="s">
        <v>22</v>
      </c>
      <c r="B30" s="12" t="s">
        <v>107</v>
      </c>
      <c r="C30" s="12" t="s">
        <v>108</v>
      </c>
      <c r="D30" s="12" t="s">
        <v>109</v>
      </c>
      <c r="E30" s="12" t="s">
        <v>28</v>
      </c>
      <c r="F30" s="13" t="n">
        <v>13</v>
      </c>
      <c r="G30" s="13" t="n">
        <v>6</v>
      </c>
      <c r="H30" s="13" t="n">
        <v>7</v>
      </c>
      <c r="I30" s="13" t="n">
        <v>5</v>
      </c>
      <c r="J30" s="13" t="n">
        <v>8</v>
      </c>
      <c r="K30" s="13" t="n">
        <v>1</v>
      </c>
      <c r="L30" s="14" t="n">
        <f aca="false">IF(F30=0,"",G30/F30)</f>
        <v>0.461538461538462</v>
      </c>
      <c r="M30" s="14" t="n">
        <f aca="false">IF(F30=0,"",H30/F30)</f>
        <v>0.538461538461538</v>
      </c>
      <c r="N30" s="14" t="n">
        <f aca="false">IF(F30+H30=0,"",J30/(F30+H30))</f>
        <v>0.4</v>
      </c>
      <c r="O30" s="12" t="str">
        <f aca="false">IF(L30="","",IF(L30&gt;=0.8,"Yes","No"))</f>
        <v>No</v>
      </c>
    </row>
    <row r="31" customFormat="false" ht="15" hidden="false" customHeight="false" outlineLevel="0" collapsed="false">
      <c r="A31" s="12" t="s">
        <v>22</v>
      </c>
      <c r="B31" s="12" t="s">
        <v>110</v>
      </c>
      <c r="C31" s="12" t="s">
        <v>111</v>
      </c>
      <c r="D31" s="12" t="s">
        <v>112</v>
      </c>
      <c r="E31" s="12" t="s">
        <v>28</v>
      </c>
      <c r="F31" s="13" t="n">
        <v>14</v>
      </c>
      <c r="G31" s="13" t="n">
        <v>7</v>
      </c>
      <c r="H31" s="13" t="n">
        <v>4</v>
      </c>
      <c r="I31" s="13" t="n">
        <v>2</v>
      </c>
      <c r="J31" s="13" t="n">
        <v>9</v>
      </c>
      <c r="K31" s="13" t="n">
        <v>0</v>
      </c>
      <c r="L31" s="14" t="n">
        <f aca="false">IF(F31=0,"",G31/F31)</f>
        <v>0.5</v>
      </c>
      <c r="M31" s="14" t="n">
        <f aca="false">IF(F31=0,"",H31/F31)</f>
        <v>0.285714285714286</v>
      </c>
      <c r="N31" s="14" t="n">
        <f aca="false">IF(F31+H31=0,"",J31/(F31+H31))</f>
        <v>0.5</v>
      </c>
      <c r="O31" s="12" t="str">
        <f aca="false">IF(L31="","",IF(L31&gt;=0.8,"Yes","No"))</f>
        <v>No</v>
      </c>
    </row>
    <row r="32" customFormat="false" ht="15" hidden="false" customHeight="false" outlineLevel="0" collapsed="false">
      <c r="A32" s="12" t="s">
        <v>23</v>
      </c>
      <c r="B32" s="12" t="s">
        <v>113</v>
      </c>
      <c r="C32" s="12" t="s">
        <v>114</v>
      </c>
      <c r="D32" s="12" t="s">
        <v>42</v>
      </c>
      <c r="E32" s="12" t="s">
        <v>27</v>
      </c>
      <c r="F32" s="13" t="n">
        <v>3</v>
      </c>
      <c r="G32" s="13" t="n">
        <v>3</v>
      </c>
      <c r="H32" s="13" t="n">
        <v>6</v>
      </c>
      <c r="I32" s="13" t="n">
        <v>3</v>
      </c>
      <c r="J32" s="13" t="n">
        <v>3</v>
      </c>
      <c r="K32" s="13" t="n">
        <v>0</v>
      </c>
      <c r="L32" s="14" t="n">
        <f aca="false">IF(F32=0,"",G32/F32)</f>
        <v>1</v>
      </c>
      <c r="M32" s="14" t="n">
        <f aca="false">IF(F32=0,"",H32/F32)</f>
        <v>2</v>
      </c>
      <c r="N32" s="14" t="n">
        <f aca="false">IF(F32+H32=0,"",J32/(F32+H32))</f>
        <v>0.333333333333333</v>
      </c>
      <c r="O32" s="12" t="str">
        <f aca="false">IF(L32="","",IF(L32&gt;=0.8,"Yes","No"))</f>
        <v>Yes</v>
      </c>
    </row>
    <row r="33" customFormat="false" ht="15" hidden="false" customHeight="false" outlineLevel="0" collapsed="false">
      <c r="A33" s="12" t="s">
        <v>23</v>
      </c>
      <c r="B33" s="12" t="s">
        <v>115</v>
      </c>
      <c r="C33" s="12" t="s">
        <v>42</v>
      </c>
      <c r="D33" s="12" t="s">
        <v>116</v>
      </c>
      <c r="E33" s="12" t="s">
        <v>27</v>
      </c>
      <c r="F33" s="13" t="n">
        <v>3</v>
      </c>
      <c r="G33" s="13" t="n">
        <v>1</v>
      </c>
      <c r="H33" s="13" t="n">
        <v>6</v>
      </c>
      <c r="I33" s="13" t="n">
        <v>0</v>
      </c>
      <c r="J33" s="13" t="n">
        <v>6</v>
      </c>
      <c r="K33" s="13" t="n">
        <v>1</v>
      </c>
      <c r="L33" s="14" t="n">
        <f aca="false">IF(F33=0,"",G33/F33)</f>
        <v>0.333333333333333</v>
      </c>
      <c r="M33" s="14" t="n">
        <f aca="false">IF(F33=0,"",H33/F33)</f>
        <v>2</v>
      </c>
      <c r="N33" s="14" t="n">
        <f aca="false">IF(F33+H33=0,"",J33/(F33+H33))</f>
        <v>0.666666666666667</v>
      </c>
      <c r="O33" s="12" t="str">
        <f aca="false">IF(L33="","",IF(L33&gt;=0.8,"Yes","No"))</f>
        <v>No</v>
      </c>
    </row>
    <row r="34" customFormat="false" ht="15" hidden="false" customHeight="false" outlineLevel="0" collapsed="false">
      <c r="A34" s="12" t="s">
        <v>23</v>
      </c>
      <c r="B34" s="12" t="s">
        <v>117</v>
      </c>
      <c r="C34" s="12" t="s">
        <v>116</v>
      </c>
      <c r="D34" s="12" t="s">
        <v>45</v>
      </c>
      <c r="E34" s="12" t="s">
        <v>27</v>
      </c>
      <c r="F34" s="13" t="n">
        <v>6</v>
      </c>
      <c r="G34" s="13" t="n">
        <v>1</v>
      </c>
      <c r="H34" s="13" t="n">
        <v>1</v>
      </c>
      <c r="I34" s="13" t="n">
        <v>0</v>
      </c>
      <c r="J34" s="13" t="n">
        <v>5</v>
      </c>
      <c r="K34" s="13" t="n">
        <v>1</v>
      </c>
      <c r="L34" s="14" t="n">
        <f aca="false">IF(F34=0,"",G34/F34)</f>
        <v>0.166666666666667</v>
      </c>
      <c r="M34" s="14" t="n">
        <f aca="false">IF(F34=0,"",H34/F34)</f>
        <v>0.166666666666667</v>
      </c>
      <c r="N34" s="14" t="n">
        <f aca="false">IF(F34+H34=0,"",J34/(F34+H34))</f>
        <v>0.714285714285714</v>
      </c>
      <c r="O34" s="12" t="str">
        <f aca="false">IF(L34="","",IF(L34&gt;=0.8,"Yes","No"))</f>
        <v>No</v>
      </c>
    </row>
    <row r="35" customFormat="false" ht="15" hidden="false" customHeight="false" outlineLevel="0" collapsed="false">
      <c r="A35" s="12" t="s">
        <v>23</v>
      </c>
      <c r="B35" s="12" t="s">
        <v>118</v>
      </c>
      <c r="C35" s="12" t="s">
        <v>45</v>
      </c>
      <c r="D35" s="12" t="s">
        <v>47</v>
      </c>
      <c r="E35" s="12" t="s">
        <v>27</v>
      </c>
      <c r="F35" s="13" t="n">
        <v>5</v>
      </c>
      <c r="G35" s="13" t="n">
        <v>2</v>
      </c>
      <c r="H35" s="13" t="n">
        <v>7</v>
      </c>
      <c r="I35" s="13" t="n">
        <v>3</v>
      </c>
      <c r="J35" s="13" t="n">
        <v>6</v>
      </c>
      <c r="K35" s="13" t="n">
        <v>1</v>
      </c>
      <c r="L35" s="14" t="n">
        <f aca="false">IF(F35=0,"",G35/F35)</f>
        <v>0.4</v>
      </c>
      <c r="M35" s="14" t="n">
        <f aca="false">IF(F35=0,"",H35/F35)</f>
        <v>1.4</v>
      </c>
      <c r="N35" s="14" t="n">
        <f aca="false">IF(F35+H35=0,"",J35/(F35+H35))</f>
        <v>0.5</v>
      </c>
      <c r="O35" s="12" t="str">
        <f aca="false">IF(L35="","",IF(L35&gt;=0.8,"Yes","No"))</f>
        <v>No</v>
      </c>
    </row>
    <row r="36" customFormat="false" ht="15" hidden="false" customHeight="false" outlineLevel="0" collapsed="false">
      <c r="A36" s="12" t="s">
        <v>23</v>
      </c>
      <c r="B36" s="12" t="s">
        <v>119</v>
      </c>
      <c r="C36" s="12" t="s">
        <v>120</v>
      </c>
      <c r="D36" s="12" t="s">
        <v>121</v>
      </c>
      <c r="E36" s="12" t="s">
        <v>27</v>
      </c>
      <c r="F36" s="13" t="n">
        <v>8</v>
      </c>
      <c r="G36" s="13" t="n">
        <v>2</v>
      </c>
      <c r="H36" s="13" t="n">
        <v>2</v>
      </c>
      <c r="I36" s="13" t="n">
        <v>0</v>
      </c>
      <c r="J36" s="13" t="n">
        <v>3</v>
      </c>
      <c r="K36" s="13" t="n">
        <v>5</v>
      </c>
      <c r="L36" s="14" t="n">
        <f aca="false">IF(F36=0,"",G36/F36)</f>
        <v>0.25</v>
      </c>
      <c r="M36" s="14" t="n">
        <f aca="false">IF(F36=0,"",H36/F36)</f>
        <v>0.25</v>
      </c>
      <c r="N36" s="14" t="n">
        <f aca="false">IF(F36+H36=0,"",J36/(F36+H36))</f>
        <v>0.3</v>
      </c>
      <c r="O36" s="12" t="str">
        <f aca="false">IF(L36="","",IF(L36&gt;=0.8,"Yes","No"))</f>
        <v>No</v>
      </c>
    </row>
    <row r="37" customFormat="false" ht="15" hidden="false" customHeight="false" outlineLevel="0" collapsed="false">
      <c r="A37" s="12" t="s">
        <v>23</v>
      </c>
      <c r="B37" s="12" t="s">
        <v>122</v>
      </c>
      <c r="C37" s="12" t="s">
        <v>121</v>
      </c>
      <c r="D37" s="12" t="s">
        <v>123</v>
      </c>
      <c r="E37" s="12" t="s">
        <v>27</v>
      </c>
      <c r="F37" s="13" t="n">
        <v>3</v>
      </c>
      <c r="G37" s="13" t="n">
        <v>0</v>
      </c>
      <c r="H37" s="13" t="n">
        <v>2</v>
      </c>
      <c r="I37" s="13" t="n">
        <v>1</v>
      </c>
      <c r="J37" s="13" t="n">
        <v>3</v>
      </c>
      <c r="K37" s="13" t="n">
        <v>1</v>
      </c>
      <c r="L37" s="14" t="n">
        <f aca="false">IF(F37=0,"",G37/F37)</f>
        <v>0</v>
      </c>
      <c r="M37" s="14" t="n">
        <f aca="false">IF(F37=0,"",H37/F37)</f>
        <v>0.666666666666667</v>
      </c>
      <c r="N37" s="14" t="n">
        <f aca="false">IF(F37+H37=0,"",J37/(F37+H37))</f>
        <v>0.6</v>
      </c>
      <c r="O37" s="12" t="str">
        <f aca="false">IF(L37="","",IF(L37&gt;=0.8,"Yes","No"))</f>
        <v>No</v>
      </c>
    </row>
    <row r="38" customFormat="false" ht="15" hidden="false" customHeight="false" outlineLevel="0" collapsed="false">
      <c r="A38" s="12" t="s">
        <v>23</v>
      </c>
      <c r="B38" s="12" t="s">
        <v>124</v>
      </c>
      <c r="C38" s="12" t="s">
        <v>123</v>
      </c>
      <c r="D38" s="12" t="s">
        <v>125</v>
      </c>
      <c r="E38" s="12" t="s">
        <v>27</v>
      </c>
      <c r="F38" s="13" t="n">
        <v>3</v>
      </c>
      <c r="G38" s="13" t="n">
        <v>1</v>
      </c>
      <c r="H38" s="13" t="n">
        <v>0</v>
      </c>
      <c r="I38" s="13" t="n">
        <v>0</v>
      </c>
      <c r="J38" s="13" t="n">
        <v>2</v>
      </c>
      <c r="K38" s="13" t="n">
        <v>0</v>
      </c>
      <c r="L38" s="14" t="n">
        <f aca="false">IF(F38=0,"",G38/F38)</f>
        <v>0.333333333333333</v>
      </c>
      <c r="M38" s="14" t="n">
        <f aca="false">IF(F38=0,"",H38/F38)</f>
        <v>0</v>
      </c>
      <c r="N38" s="14" t="n">
        <f aca="false">IF(F38+H38=0,"",J38/(F38+H38))</f>
        <v>0.666666666666667</v>
      </c>
      <c r="O38" s="12" t="str">
        <f aca="false">IF(L38="","",IF(L38&gt;=0.8,"Yes","No"))</f>
        <v>No</v>
      </c>
    </row>
    <row r="39" customFormat="false" ht="15" hidden="false" customHeight="false" outlineLevel="0" collapsed="false">
      <c r="A39" s="12" t="s">
        <v>23</v>
      </c>
      <c r="B39" s="12" t="s">
        <v>126</v>
      </c>
      <c r="C39" s="12" t="s">
        <v>125</v>
      </c>
      <c r="D39" s="12" t="s">
        <v>127</v>
      </c>
      <c r="E39" s="12" t="s">
        <v>27</v>
      </c>
      <c r="F39" s="13" t="n">
        <v>2</v>
      </c>
      <c r="G39" s="13" t="n">
        <v>0</v>
      </c>
      <c r="H39" s="13" t="n">
        <v>2</v>
      </c>
      <c r="I39" s="13" t="n">
        <v>2</v>
      </c>
      <c r="J39" s="13" t="n">
        <v>2</v>
      </c>
      <c r="K39" s="13" t="n">
        <v>0</v>
      </c>
      <c r="L39" s="14" t="n">
        <f aca="false">IF(F39=0,"",G39/F39)</f>
        <v>0</v>
      </c>
      <c r="M39" s="14" t="n">
        <f aca="false">IF(F39=0,"",H39/F39)</f>
        <v>1</v>
      </c>
      <c r="N39" s="14" t="n">
        <f aca="false">IF(F39+H39=0,"",J39/(F39+H39))</f>
        <v>0.5</v>
      </c>
      <c r="O39" s="12" t="str">
        <f aca="false">IF(L39="","",IF(L39&gt;=0.8,"Yes","No"))</f>
        <v>No</v>
      </c>
    </row>
    <row r="40" customFormat="false" ht="15" hidden="false" customHeight="false" outlineLevel="0" collapsed="false">
      <c r="A40" s="12" t="s">
        <v>23</v>
      </c>
      <c r="B40" s="12" t="s">
        <v>128</v>
      </c>
      <c r="C40" s="12" t="s">
        <v>127</v>
      </c>
      <c r="D40" s="12" t="s">
        <v>129</v>
      </c>
      <c r="E40" s="12" t="s">
        <v>27</v>
      </c>
      <c r="F40" s="13" t="n">
        <v>2</v>
      </c>
      <c r="G40" s="13" t="n">
        <v>1</v>
      </c>
      <c r="H40" s="13" t="n">
        <v>1</v>
      </c>
      <c r="I40" s="13" t="n">
        <v>1</v>
      </c>
      <c r="J40" s="13" t="n">
        <v>1</v>
      </c>
      <c r="K40" s="13" t="n">
        <v>0</v>
      </c>
      <c r="L40" s="14" t="n">
        <f aca="false">IF(F40=0,"",G40/F40)</f>
        <v>0.5</v>
      </c>
      <c r="M40" s="14" t="n">
        <f aca="false">IF(F40=0,"",H40/F40)</f>
        <v>0.5</v>
      </c>
      <c r="N40" s="14" t="n">
        <f aca="false">IF(F40+H40=0,"",J40/(F40+H40))</f>
        <v>0.333333333333333</v>
      </c>
      <c r="O40" s="12" t="str">
        <f aca="false">IF(L40="","",IF(L40&gt;=0.8,"Yes","No"))</f>
        <v>No</v>
      </c>
    </row>
    <row r="41" customFormat="false" ht="15" hidden="false" customHeight="false" outlineLevel="0" collapsed="false">
      <c r="A41" s="12" t="s">
        <v>23</v>
      </c>
      <c r="B41" s="12" t="s">
        <v>130</v>
      </c>
      <c r="C41" s="12" t="s">
        <v>131</v>
      </c>
      <c r="D41" s="12" t="s">
        <v>132</v>
      </c>
      <c r="E41" s="12" t="s">
        <v>27</v>
      </c>
      <c r="F41" s="13" t="n">
        <v>0</v>
      </c>
      <c r="G41" s="13" t="n">
        <v>0</v>
      </c>
      <c r="H41" s="13" t="n">
        <v>3</v>
      </c>
      <c r="I41" s="13" t="n">
        <v>2</v>
      </c>
      <c r="J41" s="13" t="n">
        <v>0</v>
      </c>
      <c r="K41" s="13" t="n">
        <v>0</v>
      </c>
      <c r="L41" s="14" t="str">
        <f aca="false">IF(F41=0,"",G41/F41)</f>
        <v/>
      </c>
      <c r="M41" s="14" t="str">
        <f aca="false">IF(F41=0,"",H41/F41)</f>
        <v/>
      </c>
      <c r="N41" s="14" t="n">
        <f aca="false">IF(F41+H41=0,"",J41/(F41+H41))</f>
        <v>0</v>
      </c>
      <c r="O41" s="12" t="str">
        <f aca="false">IF(L41="","",IF(L41&gt;=0.8,"Yes","No"))</f>
        <v/>
      </c>
    </row>
    <row r="42" customFormat="false" ht="15" hidden="false" customHeight="false" outlineLevel="0" collapsed="false">
      <c r="A42" s="12" t="s">
        <v>23</v>
      </c>
      <c r="B42" s="12" t="s">
        <v>133</v>
      </c>
      <c r="C42" s="12" t="s">
        <v>132</v>
      </c>
      <c r="D42" s="12" t="s">
        <v>134</v>
      </c>
      <c r="E42" s="12" t="s">
        <v>27</v>
      </c>
      <c r="F42" s="13" t="n">
        <v>0</v>
      </c>
      <c r="G42" s="13" t="n">
        <v>0</v>
      </c>
      <c r="H42" s="13" t="n">
        <v>3</v>
      </c>
      <c r="I42" s="13" t="n">
        <v>3</v>
      </c>
      <c r="J42" s="13" t="n">
        <v>0</v>
      </c>
      <c r="K42" s="13" t="n">
        <v>0</v>
      </c>
      <c r="L42" s="14" t="str">
        <f aca="false">IF(F42=0,"",G42/F42)</f>
        <v/>
      </c>
      <c r="M42" s="14" t="str">
        <f aca="false">IF(F42=0,"",H42/F42)</f>
        <v/>
      </c>
      <c r="N42" s="14" t="n">
        <f aca="false">IF(F42+H42=0,"",J42/(F42+H42))</f>
        <v>0</v>
      </c>
      <c r="O42" s="12" t="str">
        <f aca="false">IF(L42="","",IF(L42&gt;=0.8,"Yes","No"))</f>
        <v/>
      </c>
    </row>
    <row r="43" customFormat="false" ht="15" hidden="false" customHeight="false" outlineLevel="0" collapsed="false">
      <c r="A43" s="12" t="s">
        <v>23</v>
      </c>
      <c r="B43" s="12" t="s">
        <v>135</v>
      </c>
      <c r="C43" s="12" t="s">
        <v>134</v>
      </c>
      <c r="D43" s="12" t="s">
        <v>63</v>
      </c>
      <c r="E43" s="12" t="s">
        <v>27</v>
      </c>
      <c r="F43" s="13" t="n">
        <v>0</v>
      </c>
      <c r="G43" s="13" t="n">
        <v>0</v>
      </c>
      <c r="H43" s="13" t="n">
        <v>1</v>
      </c>
      <c r="I43" s="13" t="n">
        <v>0</v>
      </c>
      <c r="J43" s="13" t="n">
        <v>1</v>
      </c>
      <c r="K43" s="13" t="n">
        <v>0</v>
      </c>
      <c r="L43" s="14" t="str">
        <f aca="false">IF(F43=0,"",G43/F43)</f>
        <v/>
      </c>
      <c r="M43" s="14" t="str">
        <f aca="false">IF(F43=0,"",H43/F43)</f>
        <v/>
      </c>
      <c r="N43" s="14" t="n">
        <f aca="false">IF(F43+H43=0,"",J43/(F43+H43))</f>
        <v>1</v>
      </c>
      <c r="O43" s="12" t="str">
        <f aca="false">IF(L43="","",IF(L43&gt;=0.8,"Yes","No"))</f>
        <v/>
      </c>
    </row>
    <row r="44" customFormat="false" ht="15" hidden="false" customHeight="false" outlineLevel="0" collapsed="false">
      <c r="A44" s="12" t="s">
        <v>23</v>
      </c>
      <c r="B44" s="12" t="s">
        <v>136</v>
      </c>
      <c r="C44" s="12" t="s">
        <v>137</v>
      </c>
      <c r="D44" s="12" t="s">
        <v>66</v>
      </c>
      <c r="E44" s="12" t="s">
        <v>27</v>
      </c>
      <c r="F44" s="13" t="n">
        <v>2</v>
      </c>
      <c r="G44" s="13" t="n">
        <v>1</v>
      </c>
      <c r="H44" s="13" t="n">
        <v>9</v>
      </c>
      <c r="I44" s="13" t="n">
        <v>8</v>
      </c>
      <c r="J44" s="13" t="n">
        <v>1</v>
      </c>
      <c r="K44" s="13" t="n">
        <v>1</v>
      </c>
      <c r="L44" s="14" t="n">
        <f aca="false">IF(F44=0,"",G44/F44)</f>
        <v>0.5</v>
      </c>
      <c r="M44" s="14" t="n">
        <f aca="false">IF(F44=0,"",H44/F44)</f>
        <v>4.5</v>
      </c>
      <c r="N44" s="14" t="n">
        <f aca="false">IF(F44+H44=0,"",J44/(F44+H44))</f>
        <v>0.0909090909090909</v>
      </c>
      <c r="O44" s="12" t="str">
        <f aca="false">IF(L44="","",IF(L44&gt;=0.8,"Yes","No"))</f>
        <v>No</v>
      </c>
    </row>
    <row r="45" customFormat="false" ht="15" hidden="false" customHeight="false" outlineLevel="0" collapsed="false">
      <c r="A45" s="12" t="s">
        <v>23</v>
      </c>
      <c r="B45" s="12" t="s">
        <v>138</v>
      </c>
      <c r="C45" s="12" t="s">
        <v>68</v>
      </c>
      <c r="D45" s="12" t="s">
        <v>139</v>
      </c>
      <c r="E45" s="12" t="s">
        <v>27</v>
      </c>
      <c r="F45" s="13" t="n">
        <v>0</v>
      </c>
      <c r="G45" s="13" t="n">
        <v>0</v>
      </c>
      <c r="H45" s="13" t="n">
        <v>14</v>
      </c>
      <c r="I45" s="13" t="n">
        <v>9</v>
      </c>
      <c r="J45" s="13" t="n">
        <v>4</v>
      </c>
      <c r="K45" s="13" t="n">
        <v>0</v>
      </c>
      <c r="L45" s="14" t="str">
        <f aca="false">IF(F45=0,"",G45/F45)</f>
        <v/>
      </c>
      <c r="M45" s="14" t="str">
        <f aca="false">IF(F45=0,"",H45/F45)</f>
        <v/>
      </c>
      <c r="N45" s="14" t="n">
        <f aca="false">IF(F45+H45=0,"",J45/(F45+H45))</f>
        <v>0.285714285714286</v>
      </c>
      <c r="O45" s="12" t="str">
        <f aca="false">IF(L45="","",IF(L45&gt;=0.8,"Yes","No"))</f>
        <v/>
      </c>
    </row>
    <row r="46" customFormat="false" ht="15" hidden="false" customHeight="false" outlineLevel="0" collapsed="false">
      <c r="A46" s="12" t="s">
        <v>23</v>
      </c>
      <c r="B46" s="12" t="s">
        <v>140</v>
      </c>
      <c r="C46" s="12" t="s">
        <v>139</v>
      </c>
      <c r="D46" s="12" t="s">
        <v>141</v>
      </c>
      <c r="E46" s="12" t="s">
        <v>27</v>
      </c>
      <c r="F46" s="13" t="n">
        <v>4</v>
      </c>
      <c r="G46" s="13" t="n">
        <v>1</v>
      </c>
      <c r="H46" s="13" t="n">
        <v>15</v>
      </c>
      <c r="I46" s="13" t="n">
        <v>13</v>
      </c>
      <c r="J46" s="13" t="n">
        <v>4</v>
      </c>
      <c r="K46" s="13" t="n">
        <v>1</v>
      </c>
      <c r="L46" s="14" t="n">
        <f aca="false">IF(F46=0,"",G46/F46)</f>
        <v>0.25</v>
      </c>
      <c r="M46" s="14" t="n">
        <f aca="false">IF(F46=0,"",H46/F46)</f>
        <v>3.75</v>
      </c>
      <c r="N46" s="14" t="n">
        <f aca="false">IF(F46+H46=0,"",J46/(F46+H46))</f>
        <v>0.210526315789474</v>
      </c>
      <c r="O46" s="12" t="str">
        <f aca="false">IF(L46="","",IF(L46&gt;=0.8,"Yes","No"))</f>
        <v>No</v>
      </c>
    </row>
    <row r="47" customFormat="false" ht="15" hidden="false" customHeight="false" outlineLevel="0" collapsed="false">
      <c r="A47" s="12" t="s">
        <v>23</v>
      </c>
      <c r="B47" s="12" t="s">
        <v>142</v>
      </c>
      <c r="C47" s="12" t="s">
        <v>141</v>
      </c>
      <c r="D47" s="12" t="s">
        <v>143</v>
      </c>
      <c r="E47" s="12" t="s">
        <v>27</v>
      </c>
      <c r="F47" s="13" t="n">
        <v>4</v>
      </c>
      <c r="G47" s="13" t="n">
        <v>4</v>
      </c>
      <c r="H47" s="13" t="n">
        <v>13</v>
      </c>
      <c r="I47" s="13" t="n">
        <v>12</v>
      </c>
      <c r="J47" s="13" t="n">
        <v>1</v>
      </c>
      <c r="K47" s="13" t="n">
        <v>0</v>
      </c>
      <c r="L47" s="14" t="n">
        <f aca="false">IF(F47=0,"",G47/F47)</f>
        <v>1</v>
      </c>
      <c r="M47" s="14" t="n">
        <f aca="false">IF(F47=0,"",H47/F47)</f>
        <v>3.25</v>
      </c>
      <c r="N47" s="14" t="n">
        <f aca="false">IF(F47+H47=0,"",J47/(F47+H47))</f>
        <v>0.0588235294117647</v>
      </c>
      <c r="O47" s="12" t="str">
        <f aca="false">IF(L47="","",IF(L47&gt;=0.8,"Yes","No"))</f>
        <v>Yes</v>
      </c>
    </row>
    <row r="48" customFormat="false" ht="15" hidden="false" customHeight="false" outlineLevel="0" collapsed="false">
      <c r="A48" s="12" t="s">
        <v>23</v>
      </c>
      <c r="B48" s="12" t="s">
        <v>144</v>
      </c>
      <c r="C48" s="12" t="s">
        <v>145</v>
      </c>
      <c r="D48" s="12" t="s">
        <v>73</v>
      </c>
      <c r="E48" s="12" t="s">
        <v>27</v>
      </c>
      <c r="F48" s="13" t="n">
        <v>0</v>
      </c>
      <c r="G48" s="13" t="n">
        <v>0</v>
      </c>
      <c r="H48" s="13" t="n">
        <v>2</v>
      </c>
      <c r="I48" s="13" t="n">
        <v>2</v>
      </c>
      <c r="J48" s="13" t="n">
        <v>0</v>
      </c>
      <c r="K48" s="13" t="n">
        <v>0</v>
      </c>
      <c r="L48" s="14" t="str">
        <f aca="false">IF(F48=0,"",G48/F48)</f>
        <v/>
      </c>
      <c r="M48" s="14" t="str">
        <f aca="false">IF(F48=0,"",H48/F48)</f>
        <v/>
      </c>
      <c r="N48" s="14" t="n">
        <f aca="false">IF(F48+H48=0,"",J48/(F48+H48))</f>
        <v>0</v>
      </c>
      <c r="O48" s="12" t="str">
        <f aca="false">IF(L48="","",IF(L48&gt;=0.8,"Yes","No"))</f>
        <v/>
      </c>
    </row>
    <row r="49" customFormat="false" ht="15" hidden="false" customHeight="false" outlineLevel="0" collapsed="false">
      <c r="A49" s="12" t="s">
        <v>23</v>
      </c>
      <c r="B49" s="12" t="s">
        <v>146</v>
      </c>
      <c r="C49" s="12" t="s">
        <v>73</v>
      </c>
      <c r="D49" s="12" t="s">
        <v>147</v>
      </c>
      <c r="E49" s="12" t="s">
        <v>27</v>
      </c>
      <c r="F49" s="13" t="n">
        <v>0</v>
      </c>
      <c r="G49" s="13" t="n">
        <v>0</v>
      </c>
      <c r="H49" s="13" t="n">
        <v>2</v>
      </c>
      <c r="I49" s="13" t="n">
        <v>1</v>
      </c>
      <c r="J49" s="13" t="n">
        <v>1</v>
      </c>
      <c r="K49" s="13" t="n">
        <v>0</v>
      </c>
      <c r="L49" s="14" t="str">
        <f aca="false">IF(F49=0,"",G49/F49)</f>
        <v/>
      </c>
      <c r="M49" s="14" t="str">
        <f aca="false">IF(F49=0,"",H49/F49)</f>
        <v/>
      </c>
      <c r="N49" s="14" t="n">
        <f aca="false">IF(F49+H49=0,"",J49/(F49+H49))</f>
        <v>0.5</v>
      </c>
      <c r="O49" s="12" t="str">
        <f aca="false">IF(L49="","",IF(L49&gt;=0.8,"Yes","No"))</f>
        <v/>
      </c>
    </row>
    <row r="50" customFormat="false" ht="15" hidden="false" customHeight="false" outlineLevel="0" collapsed="false">
      <c r="A50" s="12" t="s">
        <v>23</v>
      </c>
      <c r="B50" s="12" t="s">
        <v>148</v>
      </c>
      <c r="C50" s="12" t="s">
        <v>149</v>
      </c>
      <c r="D50" s="12" t="s">
        <v>77</v>
      </c>
      <c r="E50" s="12" t="s">
        <v>28</v>
      </c>
      <c r="F50" s="13" t="n">
        <v>0</v>
      </c>
      <c r="G50" s="13" t="n">
        <v>0</v>
      </c>
      <c r="H50" s="13" t="n">
        <v>9</v>
      </c>
      <c r="I50" s="13" t="n">
        <v>9</v>
      </c>
      <c r="J50" s="13" t="n">
        <v>0</v>
      </c>
      <c r="K50" s="13" t="n">
        <v>0</v>
      </c>
      <c r="L50" s="14" t="str">
        <f aca="false">IF(F50=0,"",G50/F50)</f>
        <v/>
      </c>
      <c r="M50" s="14" t="str">
        <f aca="false">IF(F50=0,"",H50/F50)</f>
        <v/>
      </c>
      <c r="N50" s="14" t="n">
        <f aca="false">IF(F50+H50=0,"",J50/(F50+H50))</f>
        <v>0</v>
      </c>
      <c r="O50" s="12" t="str">
        <f aca="false">IF(L50="","",IF(L50&gt;=0.8,"Yes","No"))</f>
        <v/>
      </c>
    </row>
    <row r="51" customFormat="false" ht="15" hidden="false" customHeight="false" outlineLevel="0" collapsed="false">
      <c r="A51" s="12" t="s">
        <v>23</v>
      </c>
      <c r="B51" s="12" t="s">
        <v>150</v>
      </c>
      <c r="C51" s="12" t="s">
        <v>77</v>
      </c>
      <c r="D51" s="12" t="s">
        <v>79</v>
      </c>
      <c r="E51" s="12" t="s">
        <v>28</v>
      </c>
      <c r="F51" s="13" t="n">
        <v>0</v>
      </c>
      <c r="G51" s="13" t="n">
        <v>0</v>
      </c>
      <c r="H51" s="13" t="n">
        <v>3</v>
      </c>
      <c r="I51" s="13" t="n">
        <v>2</v>
      </c>
      <c r="J51" s="13" t="n">
        <v>1</v>
      </c>
      <c r="K51" s="13" t="n">
        <v>0</v>
      </c>
      <c r="L51" s="14" t="str">
        <f aca="false">IF(F51=0,"",G51/F51)</f>
        <v/>
      </c>
      <c r="M51" s="14" t="str">
        <f aca="false">IF(F51=0,"",H51/F51)</f>
        <v/>
      </c>
      <c r="N51" s="14" t="n">
        <f aca="false">IF(F51+H51=0,"",J51/(F51+H51))</f>
        <v>0.333333333333333</v>
      </c>
      <c r="O51" s="12" t="str">
        <f aca="false">IF(L51="","",IF(L51&gt;=0.8,"Yes","No"))</f>
        <v/>
      </c>
    </row>
    <row r="52" customFormat="false" ht="15" hidden="false" customHeight="false" outlineLevel="0" collapsed="false">
      <c r="A52" s="12" t="s">
        <v>23</v>
      </c>
      <c r="B52" s="12" t="s">
        <v>151</v>
      </c>
      <c r="C52" s="12" t="s">
        <v>79</v>
      </c>
      <c r="D52" s="12" t="s">
        <v>152</v>
      </c>
      <c r="E52" s="12" t="s">
        <v>28</v>
      </c>
      <c r="F52" s="13" t="n">
        <v>1</v>
      </c>
      <c r="G52" s="13" t="n">
        <v>0</v>
      </c>
      <c r="H52" s="13" t="n">
        <v>4</v>
      </c>
      <c r="I52" s="13" t="n">
        <v>3</v>
      </c>
      <c r="J52" s="13" t="n">
        <v>2</v>
      </c>
      <c r="K52" s="13" t="n">
        <v>0</v>
      </c>
      <c r="L52" s="14" t="n">
        <f aca="false">IF(F52=0,"",G52/F52)</f>
        <v>0</v>
      </c>
      <c r="M52" s="14" t="n">
        <f aca="false">IF(F52=0,"",H52/F52)</f>
        <v>4</v>
      </c>
      <c r="N52" s="14" t="n">
        <f aca="false">IF(F52+H52=0,"",J52/(F52+H52))</f>
        <v>0.4</v>
      </c>
      <c r="O52" s="12" t="str">
        <f aca="false">IF(L52="","",IF(L52&gt;=0.8,"Yes","No"))</f>
        <v>No</v>
      </c>
    </row>
    <row r="53" customFormat="false" ht="15" hidden="false" customHeight="false" outlineLevel="0" collapsed="false">
      <c r="A53" s="12" t="s">
        <v>23</v>
      </c>
      <c r="B53" s="12" t="s">
        <v>153</v>
      </c>
      <c r="C53" s="12" t="s">
        <v>154</v>
      </c>
      <c r="D53" s="12" t="s">
        <v>80</v>
      </c>
      <c r="E53" s="12" t="s">
        <v>28</v>
      </c>
      <c r="F53" s="13" t="n">
        <v>2</v>
      </c>
      <c r="G53" s="13" t="n">
        <v>1</v>
      </c>
      <c r="H53" s="13" t="n">
        <v>8</v>
      </c>
      <c r="I53" s="13" t="n">
        <v>8</v>
      </c>
      <c r="J53" s="13" t="n">
        <v>0</v>
      </c>
      <c r="K53" s="13" t="n">
        <v>1</v>
      </c>
      <c r="L53" s="14" t="n">
        <f aca="false">IF(F53=0,"",G53/F53)</f>
        <v>0.5</v>
      </c>
      <c r="M53" s="14" t="n">
        <f aca="false">IF(F53=0,"",H53/F53)</f>
        <v>4</v>
      </c>
      <c r="N53" s="14" t="n">
        <f aca="false">IF(F53+H53=0,"",J53/(F53+H53))</f>
        <v>0</v>
      </c>
      <c r="O53" s="12" t="str">
        <f aca="false">IF(L53="","",IF(L53&gt;=0.8,"Yes","No"))</f>
        <v>No</v>
      </c>
    </row>
    <row r="54" customFormat="false" ht="15" hidden="false" customHeight="false" outlineLevel="0" collapsed="false">
      <c r="A54" s="12" t="s">
        <v>23</v>
      </c>
      <c r="B54" s="12" t="s">
        <v>155</v>
      </c>
      <c r="C54" s="12" t="s">
        <v>80</v>
      </c>
      <c r="D54" s="12" t="s">
        <v>156</v>
      </c>
      <c r="E54" s="12" t="s">
        <v>28</v>
      </c>
      <c r="F54" s="13" t="n">
        <v>1</v>
      </c>
      <c r="G54" s="13" t="n">
        <v>1</v>
      </c>
      <c r="H54" s="13" t="n">
        <v>4</v>
      </c>
      <c r="I54" s="13" t="n">
        <v>4</v>
      </c>
      <c r="J54" s="13" t="n">
        <v>0</v>
      </c>
      <c r="K54" s="13" t="n">
        <v>0</v>
      </c>
      <c r="L54" s="14" t="n">
        <f aca="false">IF(F54=0,"",G54/F54)</f>
        <v>1</v>
      </c>
      <c r="M54" s="14" t="n">
        <f aca="false">IF(F54=0,"",H54/F54)</f>
        <v>4</v>
      </c>
      <c r="N54" s="14" t="n">
        <f aca="false">IF(F54+H54=0,"",J54/(F54+H54))</f>
        <v>0</v>
      </c>
      <c r="O54" s="12" t="str">
        <f aca="false">IF(L54="","",IF(L54&gt;=0.8,"Yes","No"))</f>
        <v>Yes</v>
      </c>
    </row>
    <row r="55" customFormat="false" ht="15" hidden="false" customHeight="false" outlineLevel="0" collapsed="false">
      <c r="A55" s="12" t="s">
        <v>23</v>
      </c>
      <c r="B55" s="12" t="s">
        <v>157</v>
      </c>
      <c r="C55" s="12" t="s">
        <v>156</v>
      </c>
      <c r="D55" s="12" t="s">
        <v>158</v>
      </c>
      <c r="E55" s="12" t="s">
        <v>28</v>
      </c>
      <c r="F55" s="13" t="n">
        <v>0</v>
      </c>
      <c r="G55" s="13" t="n">
        <v>0</v>
      </c>
      <c r="H55" s="13" t="n">
        <v>21</v>
      </c>
      <c r="I55" s="13" t="n">
        <v>10</v>
      </c>
      <c r="J55" s="13" t="n">
        <v>8</v>
      </c>
      <c r="K55" s="13" t="n">
        <v>0</v>
      </c>
      <c r="L55" s="14" t="str">
        <f aca="false">IF(F55=0,"",G55/F55)</f>
        <v/>
      </c>
      <c r="M55" s="14" t="str">
        <f aca="false">IF(F55=0,"",H55/F55)</f>
        <v/>
      </c>
      <c r="N55" s="14" t="n">
        <f aca="false">IF(F55+H55=0,"",J55/(F55+H55))</f>
        <v>0.380952380952381</v>
      </c>
      <c r="O55" s="12" t="str">
        <f aca="false">IF(L55="","",IF(L55&gt;=0.8,"Yes","No"))</f>
        <v/>
      </c>
    </row>
    <row r="56" customFormat="false" ht="15" hidden="false" customHeight="false" outlineLevel="0" collapsed="false">
      <c r="A56" s="12" t="s">
        <v>23</v>
      </c>
      <c r="B56" s="12" t="s">
        <v>159</v>
      </c>
      <c r="C56" s="12" t="s">
        <v>160</v>
      </c>
      <c r="D56" s="12" t="s">
        <v>161</v>
      </c>
      <c r="E56" s="12" t="s">
        <v>28</v>
      </c>
      <c r="F56" s="13" t="n">
        <v>4</v>
      </c>
      <c r="G56" s="13" t="n">
        <v>2</v>
      </c>
      <c r="H56" s="13" t="n">
        <v>6</v>
      </c>
      <c r="I56" s="13" t="n">
        <v>5</v>
      </c>
      <c r="J56" s="13" t="n">
        <v>3</v>
      </c>
      <c r="K56" s="13" t="n">
        <v>0</v>
      </c>
      <c r="L56" s="14" t="n">
        <f aca="false">IF(F56=0,"",G56/F56)</f>
        <v>0.5</v>
      </c>
      <c r="M56" s="14" t="n">
        <f aca="false">IF(F56=0,"",H56/F56)</f>
        <v>1.5</v>
      </c>
      <c r="N56" s="14" t="n">
        <f aca="false">IF(F56+H56=0,"",J56/(F56+H56))</f>
        <v>0.3</v>
      </c>
      <c r="O56" s="12" t="str">
        <f aca="false">IF(L56="","",IF(L56&gt;=0.8,"Yes","No"))</f>
        <v>No</v>
      </c>
    </row>
    <row r="57" customFormat="false" ht="15" hidden="false" customHeight="false" outlineLevel="0" collapsed="false">
      <c r="A57" s="12" t="s">
        <v>23</v>
      </c>
      <c r="B57" s="12" t="s">
        <v>162</v>
      </c>
      <c r="C57" s="12" t="s">
        <v>161</v>
      </c>
      <c r="D57" s="12" t="s">
        <v>90</v>
      </c>
      <c r="E57" s="12" t="s">
        <v>28</v>
      </c>
      <c r="F57" s="13" t="n">
        <v>3</v>
      </c>
      <c r="G57" s="13" t="n">
        <v>0</v>
      </c>
      <c r="H57" s="13" t="n">
        <v>2</v>
      </c>
      <c r="I57" s="13" t="n">
        <v>2</v>
      </c>
      <c r="J57" s="13" t="n">
        <v>3</v>
      </c>
      <c r="K57" s="13" t="n">
        <v>0</v>
      </c>
      <c r="L57" s="14" t="n">
        <f aca="false">IF(F57=0,"",G57/F57)</f>
        <v>0</v>
      </c>
      <c r="M57" s="14" t="n">
        <f aca="false">IF(F57=0,"",H57/F57)</f>
        <v>0.666666666666667</v>
      </c>
      <c r="N57" s="14" t="n">
        <f aca="false">IF(F57+H57=0,"",J57/(F57+H57))</f>
        <v>0.6</v>
      </c>
      <c r="O57" s="12" t="str">
        <f aca="false">IF(L57="","",IF(L57&gt;=0.8,"Yes","No"))</f>
        <v>No</v>
      </c>
    </row>
    <row r="58" customFormat="false" ht="15" hidden="false" customHeight="false" outlineLevel="0" collapsed="false">
      <c r="A58" s="12" t="s">
        <v>23</v>
      </c>
      <c r="B58" s="12" t="s">
        <v>163</v>
      </c>
      <c r="C58" s="12" t="s">
        <v>90</v>
      </c>
      <c r="D58" s="12" t="s">
        <v>164</v>
      </c>
      <c r="E58" s="12" t="s">
        <v>28</v>
      </c>
      <c r="F58" s="13" t="n">
        <v>3</v>
      </c>
      <c r="G58" s="13" t="n">
        <v>0</v>
      </c>
      <c r="H58" s="13" t="n">
        <v>0</v>
      </c>
      <c r="I58" s="13" t="n">
        <v>0</v>
      </c>
      <c r="J58" s="13" t="n">
        <v>2</v>
      </c>
      <c r="K58" s="13" t="n">
        <v>1</v>
      </c>
      <c r="L58" s="14" t="n">
        <f aca="false">IF(F58=0,"",G58/F58)</f>
        <v>0</v>
      </c>
      <c r="M58" s="14" t="n">
        <f aca="false">IF(F58=0,"",H58/F58)</f>
        <v>0</v>
      </c>
      <c r="N58" s="14" t="n">
        <f aca="false">IF(F58+H58=0,"",J58/(F58+H58))</f>
        <v>0.666666666666667</v>
      </c>
      <c r="O58" s="12" t="str">
        <f aca="false">IF(L58="","",IF(L58&gt;=0.8,"Yes","No"))</f>
        <v>No</v>
      </c>
    </row>
    <row r="59" customFormat="false" ht="15" hidden="false" customHeight="false" outlineLevel="0" collapsed="false">
      <c r="A59" s="12" t="s">
        <v>23</v>
      </c>
      <c r="B59" s="12" t="s">
        <v>165</v>
      </c>
      <c r="C59" s="12" t="s">
        <v>164</v>
      </c>
      <c r="D59" s="12" t="s">
        <v>166</v>
      </c>
      <c r="E59" s="12" t="s">
        <v>28</v>
      </c>
      <c r="F59" s="13" t="n">
        <v>2</v>
      </c>
      <c r="G59" s="13" t="n">
        <v>0</v>
      </c>
      <c r="H59" s="13" t="n">
        <v>0</v>
      </c>
      <c r="I59" s="13" t="n">
        <v>0</v>
      </c>
      <c r="J59" s="13" t="n">
        <v>2</v>
      </c>
      <c r="K59" s="13" t="n">
        <v>0</v>
      </c>
      <c r="L59" s="14" t="n">
        <f aca="false">IF(F59=0,"",G59/F59)</f>
        <v>0</v>
      </c>
      <c r="M59" s="14" t="n">
        <f aca="false">IF(F59=0,"",H59/F59)</f>
        <v>0</v>
      </c>
      <c r="N59" s="14" t="n">
        <f aca="false">IF(F59+H59=0,"",J59/(F59+H59))</f>
        <v>1</v>
      </c>
      <c r="O59" s="12" t="str">
        <f aca="false">IF(L59="","",IF(L59&gt;=0.8,"Yes","No"))</f>
        <v>No</v>
      </c>
    </row>
    <row r="60" customFormat="false" ht="15" hidden="false" customHeight="false" outlineLevel="0" collapsed="false">
      <c r="A60" s="12" t="s">
        <v>24</v>
      </c>
      <c r="B60" s="12" t="s">
        <v>167</v>
      </c>
      <c r="C60" s="12" t="s">
        <v>168</v>
      </c>
      <c r="D60" s="12" t="s">
        <v>40</v>
      </c>
      <c r="E60" s="12" t="s">
        <v>27</v>
      </c>
      <c r="F60" s="13" t="n">
        <v>7</v>
      </c>
      <c r="G60" s="13" t="n">
        <v>3</v>
      </c>
      <c r="H60" s="13" t="n">
        <v>4</v>
      </c>
      <c r="I60" s="13" t="n">
        <v>4</v>
      </c>
      <c r="J60" s="13" t="n">
        <v>4</v>
      </c>
      <c r="K60" s="13" t="n">
        <v>0</v>
      </c>
      <c r="L60" s="14" t="n">
        <f aca="false">IF(F60=0,"",G60/F60)</f>
        <v>0.428571428571429</v>
      </c>
      <c r="M60" s="14" t="n">
        <f aca="false">IF(F60=0,"",H60/F60)</f>
        <v>0.571428571428571</v>
      </c>
      <c r="N60" s="14" t="n">
        <f aca="false">IF(F60+H60=0,"",J60/(F60+H60))</f>
        <v>0.363636363636364</v>
      </c>
      <c r="O60" s="12" t="str">
        <f aca="false">IF(L60="","",IF(L60&gt;=0.8,"Yes","No"))</f>
        <v>No</v>
      </c>
    </row>
    <row r="61" customFormat="false" ht="15" hidden="false" customHeight="false" outlineLevel="0" collapsed="false">
      <c r="A61" s="12" t="s">
        <v>24</v>
      </c>
      <c r="B61" s="12" t="s">
        <v>169</v>
      </c>
      <c r="C61" s="12" t="s">
        <v>43</v>
      </c>
      <c r="D61" s="12" t="s">
        <v>45</v>
      </c>
      <c r="E61" s="12" t="s">
        <v>27</v>
      </c>
      <c r="F61" s="13" t="n">
        <v>3</v>
      </c>
      <c r="G61" s="13" t="n">
        <v>3</v>
      </c>
      <c r="H61" s="13" t="n">
        <v>11</v>
      </c>
      <c r="I61" s="13" t="n">
        <v>10</v>
      </c>
      <c r="J61" s="13" t="n">
        <v>1</v>
      </c>
      <c r="K61" s="13" t="n">
        <v>0</v>
      </c>
      <c r="L61" s="14" t="n">
        <f aca="false">IF(F61=0,"",G61/F61)</f>
        <v>1</v>
      </c>
      <c r="M61" s="14" t="n">
        <f aca="false">IF(F61=0,"",H61/F61)</f>
        <v>3.66666666666667</v>
      </c>
      <c r="N61" s="14" t="n">
        <f aca="false">IF(F61+H61=0,"",J61/(F61+H61))</f>
        <v>0.0714285714285714</v>
      </c>
      <c r="O61" s="12" t="str">
        <f aca="false">IF(L61="","",IF(L61&gt;=0.8,"Yes","No"))</f>
        <v>Yes</v>
      </c>
    </row>
    <row r="62" customFormat="false" ht="15" hidden="false" customHeight="false" outlineLevel="0" collapsed="false">
      <c r="A62" s="12" t="s">
        <v>24</v>
      </c>
      <c r="B62" s="12" t="s">
        <v>170</v>
      </c>
      <c r="C62" s="12" t="s">
        <v>45</v>
      </c>
      <c r="D62" s="12" t="s">
        <v>47</v>
      </c>
      <c r="E62" s="12" t="s">
        <v>27</v>
      </c>
      <c r="F62" s="13" t="n">
        <v>6</v>
      </c>
      <c r="G62" s="13" t="n">
        <v>5</v>
      </c>
      <c r="H62" s="13" t="n">
        <v>3</v>
      </c>
      <c r="I62" s="13" t="n">
        <v>0</v>
      </c>
      <c r="J62" s="13" t="n">
        <v>4</v>
      </c>
      <c r="K62" s="13" t="n">
        <v>0</v>
      </c>
      <c r="L62" s="14" t="n">
        <f aca="false">IF(F62=0,"",G62/F62)</f>
        <v>0.833333333333333</v>
      </c>
      <c r="M62" s="14" t="n">
        <f aca="false">IF(F62=0,"",H62/F62)</f>
        <v>0.5</v>
      </c>
      <c r="N62" s="14" t="n">
        <f aca="false">IF(F62+H62=0,"",J62/(F62+H62))</f>
        <v>0.444444444444444</v>
      </c>
      <c r="O62" s="12" t="str">
        <f aca="false">IF(L62="","",IF(L62&gt;=0.8,"Yes","No"))</f>
        <v>Yes</v>
      </c>
    </row>
    <row r="63" customFormat="false" ht="15" hidden="false" customHeight="false" outlineLevel="0" collapsed="false">
      <c r="A63" s="12" t="s">
        <v>24</v>
      </c>
      <c r="B63" s="12" t="s">
        <v>171</v>
      </c>
      <c r="C63" s="12" t="s">
        <v>47</v>
      </c>
      <c r="D63" s="12" t="s">
        <v>49</v>
      </c>
      <c r="E63" s="12" t="s">
        <v>27</v>
      </c>
      <c r="F63" s="13" t="n">
        <v>10</v>
      </c>
      <c r="G63" s="13" t="n">
        <v>6</v>
      </c>
      <c r="H63" s="13" t="n">
        <v>2</v>
      </c>
      <c r="I63" s="13" t="n">
        <v>2</v>
      </c>
      <c r="J63" s="13" t="n">
        <v>0</v>
      </c>
      <c r="K63" s="13" t="n">
        <v>4</v>
      </c>
      <c r="L63" s="14" t="n">
        <f aca="false">IF(F63=0,"",G63/F63)</f>
        <v>0.6</v>
      </c>
      <c r="M63" s="14" t="n">
        <f aca="false">IF(F63=0,"",H63/F63)</f>
        <v>0.2</v>
      </c>
      <c r="N63" s="14" t="n">
        <f aca="false">IF(F63+H63=0,"",J63/(F63+H63))</f>
        <v>0</v>
      </c>
      <c r="O63" s="12" t="str">
        <f aca="false">IF(L63="","",IF(L63&gt;=0.8,"Yes","No"))</f>
        <v>No</v>
      </c>
    </row>
    <row r="64" customFormat="false" ht="15" hidden="false" customHeight="false" outlineLevel="0" collapsed="false">
      <c r="A64" s="12" t="s">
        <v>24</v>
      </c>
      <c r="B64" s="12" t="s">
        <v>172</v>
      </c>
      <c r="C64" s="12" t="s">
        <v>173</v>
      </c>
      <c r="D64" s="12" t="s">
        <v>51</v>
      </c>
      <c r="E64" s="12" t="s">
        <v>27</v>
      </c>
      <c r="F64" s="13" t="n">
        <v>2</v>
      </c>
      <c r="G64" s="13" t="n">
        <v>1</v>
      </c>
      <c r="H64" s="13" t="n">
        <v>0</v>
      </c>
      <c r="I64" s="13" t="n">
        <v>0</v>
      </c>
      <c r="J64" s="13" t="n">
        <v>1</v>
      </c>
      <c r="K64" s="13" t="n">
        <v>0</v>
      </c>
      <c r="L64" s="14" t="n">
        <f aca="false">IF(F64=0,"",G64/F64)</f>
        <v>0.5</v>
      </c>
      <c r="M64" s="14" t="n">
        <f aca="false">IF(F64=0,"",H64/F64)</f>
        <v>0</v>
      </c>
      <c r="N64" s="14" t="n">
        <f aca="false">IF(F64+H64=0,"",J64/(F64+H64))</f>
        <v>0.5</v>
      </c>
      <c r="O64" s="12" t="str">
        <f aca="false">IF(L64="","",IF(L64&gt;=0.8,"Yes","No"))</f>
        <v>No</v>
      </c>
    </row>
    <row r="65" customFormat="false" ht="15" hidden="false" customHeight="false" outlineLevel="0" collapsed="false">
      <c r="A65" s="12" t="s">
        <v>24</v>
      </c>
      <c r="B65" s="12" t="s">
        <v>174</v>
      </c>
      <c r="C65" s="12" t="s">
        <v>51</v>
      </c>
      <c r="D65" s="12" t="s">
        <v>53</v>
      </c>
      <c r="E65" s="12" t="s">
        <v>27</v>
      </c>
      <c r="F65" s="13" t="n">
        <v>7</v>
      </c>
      <c r="G65" s="13" t="n">
        <v>4</v>
      </c>
      <c r="H65" s="13" t="n">
        <v>1</v>
      </c>
      <c r="I65" s="13" t="n">
        <v>1</v>
      </c>
      <c r="J65" s="13" t="n">
        <v>2</v>
      </c>
      <c r="K65" s="13" t="n">
        <v>1</v>
      </c>
      <c r="L65" s="14" t="n">
        <f aca="false">IF(F65=0,"",G65/F65)</f>
        <v>0.571428571428571</v>
      </c>
      <c r="M65" s="14" t="n">
        <f aca="false">IF(F65=0,"",H65/F65)</f>
        <v>0.142857142857143</v>
      </c>
      <c r="N65" s="14" t="n">
        <f aca="false">IF(F65+H65=0,"",J65/(F65+H65))</f>
        <v>0.25</v>
      </c>
      <c r="O65" s="12" t="str">
        <f aca="false">IF(L65="","",IF(L65&gt;=0.8,"Yes","No"))</f>
        <v>No</v>
      </c>
    </row>
    <row r="66" customFormat="false" ht="15" hidden="false" customHeight="false" outlineLevel="0" collapsed="false">
      <c r="A66" s="12" t="s">
        <v>24</v>
      </c>
      <c r="B66" s="12" t="s">
        <v>175</v>
      </c>
      <c r="C66" s="12" t="s">
        <v>53</v>
      </c>
      <c r="D66" s="12" t="s">
        <v>55</v>
      </c>
      <c r="E66" s="12" t="s">
        <v>27</v>
      </c>
      <c r="F66" s="13" t="n">
        <v>4</v>
      </c>
      <c r="G66" s="13" t="n">
        <v>2</v>
      </c>
      <c r="H66" s="13" t="n">
        <v>1</v>
      </c>
      <c r="I66" s="13" t="n">
        <v>1</v>
      </c>
      <c r="J66" s="13" t="n">
        <v>2</v>
      </c>
      <c r="K66" s="13" t="n">
        <v>0</v>
      </c>
      <c r="L66" s="14" t="n">
        <f aca="false">IF(F66=0,"",G66/F66)</f>
        <v>0.5</v>
      </c>
      <c r="M66" s="14" t="n">
        <f aca="false">IF(F66=0,"",H66/F66)</f>
        <v>0.25</v>
      </c>
      <c r="N66" s="14" t="n">
        <f aca="false">IF(F66+H66=0,"",J66/(F66+H66))</f>
        <v>0.4</v>
      </c>
      <c r="O66" s="12" t="str">
        <f aca="false">IF(L66="","",IF(L66&gt;=0.8,"Yes","No"))</f>
        <v>No</v>
      </c>
    </row>
    <row r="67" customFormat="false" ht="15" hidden="false" customHeight="false" outlineLevel="0" collapsed="false">
      <c r="A67" s="12" t="s">
        <v>24</v>
      </c>
      <c r="B67" s="12" t="s">
        <v>176</v>
      </c>
      <c r="C67" s="12" t="s">
        <v>55</v>
      </c>
      <c r="D67" s="12" t="s">
        <v>57</v>
      </c>
      <c r="E67" s="12" t="s">
        <v>27</v>
      </c>
      <c r="F67" s="13" t="n">
        <v>10</v>
      </c>
      <c r="G67" s="13" t="n">
        <v>7</v>
      </c>
      <c r="H67" s="13" t="n">
        <v>4</v>
      </c>
      <c r="I67" s="13" t="n">
        <v>4</v>
      </c>
      <c r="J67" s="13" t="n">
        <v>3</v>
      </c>
      <c r="K67" s="13" t="n">
        <v>0</v>
      </c>
      <c r="L67" s="14" t="n">
        <f aca="false">IF(F67=0,"",G67/F67)</f>
        <v>0.7</v>
      </c>
      <c r="M67" s="14" t="n">
        <f aca="false">IF(F67=0,"",H67/F67)</f>
        <v>0.4</v>
      </c>
      <c r="N67" s="14" t="n">
        <f aca="false">IF(F67+H67=0,"",J67/(F67+H67))</f>
        <v>0.214285714285714</v>
      </c>
      <c r="O67" s="12" t="str">
        <f aca="false">IF(L67="","",IF(L67&gt;=0.8,"Yes","No"))</f>
        <v>No</v>
      </c>
    </row>
    <row r="68" customFormat="false" ht="15" hidden="false" customHeight="false" outlineLevel="0" collapsed="false">
      <c r="A68" s="12" t="s">
        <v>24</v>
      </c>
      <c r="B68" s="12" t="s">
        <v>177</v>
      </c>
      <c r="C68" s="12" t="s">
        <v>57</v>
      </c>
      <c r="D68" s="12" t="s">
        <v>59</v>
      </c>
      <c r="E68" s="12" t="s">
        <v>27</v>
      </c>
      <c r="F68" s="13" t="n">
        <v>7</v>
      </c>
      <c r="G68" s="13" t="n">
        <v>5</v>
      </c>
      <c r="H68" s="13" t="n">
        <v>5</v>
      </c>
      <c r="I68" s="13" t="n">
        <v>4</v>
      </c>
      <c r="J68" s="13" t="n">
        <v>2</v>
      </c>
      <c r="K68" s="13" t="n">
        <v>1</v>
      </c>
      <c r="L68" s="14" t="n">
        <f aca="false">IF(F68=0,"",G68/F68)</f>
        <v>0.714285714285714</v>
      </c>
      <c r="M68" s="14" t="n">
        <f aca="false">IF(F68=0,"",H68/F68)</f>
        <v>0.714285714285714</v>
      </c>
      <c r="N68" s="14" t="n">
        <f aca="false">IF(F68+H68=0,"",J68/(F68+H68))</f>
        <v>0.166666666666667</v>
      </c>
      <c r="O68" s="12" t="str">
        <f aca="false">IF(L68="","",IF(L68&gt;=0.8,"Yes","No"))</f>
        <v>No</v>
      </c>
    </row>
    <row r="69" customFormat="false" ht="15" hidden="false" customHeight="false" outlineLevel="0" collapsed="false">
      <c r="A69" s="12" t="s">
        <v>24</v>
      </c>
      <c r="B69" s="12" t="s">
        <v>178</v>
      </c>
      <c r="C69" s="12" t="s">
        <v>59</v>
      </c>
      <c r="D69" s="12" t="s">
        <v>61</v>
      </c>
      <c r="E69" s="12" t="s">
        <v>27</v>
      </c>
      <c r="F69" s="13" t="n">
        <v>6</v>
      </c>
      <c r="G69" s="13" t="n">
        <v>4</v>
      </c>
      <c r="H69" s="13" t="n">
        <v>6</v>
      </c>
      <c r="I69" s="13" t="n">
        <v>4</v>
      </c>
      <c r="J69" s="13" t="n">
        <v>3</v>
      </c>
      <c r="K69" s="13" t="n">
        <v>1</v>
      </c>
      <c r="L69" s="14" t="n">
        <f aca="false">IF(F69=0,"",G69/F69)</f>
        <v>0.666666666666667</v>
      </c>
      <c r="M69" s="14" t="n">
        <f aca="false">IF(F69=0,"",H69/F69)</f>
        <v>1</v>
      </c>
      <c r="N69" s="14" t="n">
        <f aca="false">IF(F69+H69=0,"",J69/(F69+H69))</f>
        <v>0.25</v>
      </c>
      <c r="O69" s="12" t="str">
        <f aca="false">IF(L69="","",IF(L69&gt;=0.8,"Yes","No"))</f>
        <v>No</v>
      </c>
    </row>
    <row r="70" customFormat="false" ht="15" hidden="false" customHeight="false" outlineLevel="0" collapsed="false">
      <c r="A70" s="12" t="s">
        <v>24</v>
      </c>
      <c r="B70" s="12" t="s">
        <v>179</v>
      </c>
      <c r="C70" s="12" t="s">
        <v>61</v>
      </c>
      <c r="D70" s="12" t="s">
        <v>180</v>
      </c>
      <c r="E70" s="12" t="s">
        <v>27</v>
      </c>
      <c r="F70" s="13" t="n">
        <v>5</v>
      </c>
      <c r="G70" s="13" t="n">
        <v>1</v>
      </c>
      <c r="H70" s="13" t="n">
        <v>1</v>
      </c>
      <c r="I70" s="13" t="n">
        <v>0</v>
      </c>
      <c r="J70" s="13" t="n">
        <v>3</v>
      </c>
      <c r="K70" s="13" t="n">
        <v>2</v>
      </c>
      <c r="L70" s="14" t="n">
        <f aca="false">IF(F70=0,"",G70/F70)</f>
        <v>0.2</v>
      </c>
      <c r="M70" s="14" t="n">
        <f aca="false">IF(F70=0,"",H70/F70)</f>
        <v>0.2</v>
      </c>
      <c r="N70" s="14" t="n">
        <f aca="false">IF(F70+H70=0,"",J70/(F70+H70))</f>
        <v>0.5</v>
      </c>
      <c r="O70" s="12" t="str">
        <f aca="false">IF(L70="","",IF(L70&gt;=0.8,"Yes","No"))</f>
        <v>No</v>
      </c>
    </row>
    <row r="71" customFormat="false" ht="15" hidden="false" customHeight="false" outlineLevel="0" collapsed="false">
      <c r="A71" s="12" t="s">
        <v>24</v>
      </c>
      <c r="B71" s="12" t="s">
        <v>181</v>
      </c>
      <c r="C71" s="12" t="s">
        <v>180</v>
      </c>
      <c r="D71" s="12" t="s">
        <v>68</v>
      </c>
      <c r="E71" s="12" t="s">
        <v>27</v>
      </c>
      <c r="F71" s="13" t="n">
        <v>8</v>
      </c>
      <c r="G71" s="13" t="n">
        <v>3</v>
      </c>
      <c r="H71" s="13" t="n">
        <v>3</v>
      </c>
      <c r="I71" s="13" t="n">
        <v>3</v>
      </c>
      <c r="J71" s="13" t="n">
        <v>2</v>
      </c>
      <c r="K71" s="13" t="n">
        <v>3</v>
      </c>
      <c r="L71" s="14" t="n">
        <f aca="false">IF(F71=0,"",G71/F71)</f>
        <v>0.375</v>
      </c>
      <c r="M71" s="14" t="n">
        <f aca="false">IF(F71=0,"",H71/F71)</f>
        <v>0.375</v>
      </c>
      <c r="N71" s="14" t="n">
        <f aca="false">IF(F71+H71=0,"",J71/(F71+H71))</f>
        <v>0.181818181818182</v>
      </c>
      <c r="O71" s="12" t="str">
        <f aca="false">IF(L71="","",IF(L71&gt;=0.8,"Yes","No"))</f>
        <v>No</v>
      </c>
    </row>
    <row r="72" customFormat="false" ht="15" hidden="false" customHeight="false" outlineLevel="0" collapsed="false">
      <c r="A72" s="12" t="s">
        <v>24</v>
      </c>
      <c r="B72" s="12" t="s">
        <v>182</v>
      </c>
      <c r="C72" s="12" t="s">
        <v>68</v>
      </c>
      <c r="D72" s="12" t="s">
        <v>139</v>
      </c>
      <c r="E72" s="12" t="s">
        <v>27</v>
      </c>
      <c r="F72" s="13" t="n">
        <v>3</v>
      </c>
      <c r="G72" s="13" t="n">
        <v>2</v>
      </c>
      <c r="H72" s="13" t="n">
        <v>3</v>
      </c>
      <c r="I72" s="13" t="n">
        <v>3</v>
      </c>
      <c r="J72" s="13" t="n">
        <v>0</v>
      </c>
      <c r="K72" s="13" t="n">
        <v>1</v>
      </c>
      <c r="L72" s="14" t="n">
        <f aca="false">IF(F72=0,"",G72/F72)</f>
        <v>0.666666666666667</v>
      </c>
      <c r="M72" s="14" t="n">
        <f aca="false">IF(F72=0,"",H72/F72)</f>
        <v>1</v>
      </c>
      <c r="N72" s="14" t="n">
        <f aca="false">IF(F72+H72=0,"",J72/(F72+H72))</f>
        <v>0</v>
      </c>
      <c r="O72" s="12" t="str">
        <f aca="false">IF(L72="","",IF(L72&gt;=0.8,"Yes","No"))</f>
        <v>No</v>
      </c>
    </row>
    <row r="73" customFormat="false" ht="15" hidden="false" customHeight="false" outlineLevel="0" collapsed="false">
      <c r="A73" s="12" t="s">
        <v>24</v>
      </c>
      <c r="B73" s="12" t="s">
        <v>183</v>
      </c>
      <c r="C73" s="12" t="s">
        <v>139</v>
      </c>
      <c r="D73" s="12" t="s">
        <v>141</v>
      </c>
      <c r="E73" s="12" t="s">
        <v>27</v>
      </c>
      <c r="F73" s="13" t="n">
        <v>6</v>
      </c>
      <c r="G73" s="13" t="n">
        <v>6</v>
      </c>
      <c r="H73" s="13" t="n">
        <v>2</v>
      </c>
      <c r="I73" s="13" t="n">
        <v>2</v>
      </c>
      <c r="J73" s="13" t="n">
        <v>0</v>
      </c>
      <c r="K73" s="13" t="n">
        <v>0</v>
      </c>
      <c r="L73" s="14" t="n">
        <f aca="false">IF(F73=0,"",G73/F73)</f>
        <v>1</v>
      </c>
      <c r="M73" s="14" t="n">
        <f aca="false">IF(F73=0,"",H73/F73)</f>
        <v>0.333333333333333</v>
      </c>
      <c r="N73" s="14" t="n">
        <f aca="false">IF(F73+H73=0,"",J73/(F73+H73))</f>
        <v>0</v>
      </c>
      <c r="O73" s="12" t="str">
        <f aca="false">IF(L73="","",IF(L73&gt;=0.8,"Yes","No"))</f>
        <v>Yes</v>
      </c>
    </row>
    <row r="74" customFormat="false" ht="15" hidden="false" customHeight="false" outlineLevel="0" collapsed="false">
      <c r="A74" s="12" t="s">
        <v>24</v>
      </c>
      <c r="B74" s="12" t="s">
        <v>184</v>
      </c>
      <c r="C74" s="12" t="s">
        <v>141</v>
      </c>
      <c r="D74" s="12" t="s">
        <v>143</v>
      </c>
      <c r="E74" s="12" t="s">
        <v>27</v>
      </c>
      <c r="F74" s="13" t="n">
        <v>4</v>
      </c>
      <c r="G74" s="13" t="n">
        <v>3</v>
      </c>
      <c r="H74" s="13" t="n">
        <v>4</v>
      </c>
      <c r="I74" s="13" t="n">
        <v>4</v>
      </c>
      <c r="J74" s="13" t="n">
        <v>1</v>
      </c>
      <c r="K74" s="13" t="n">
        <v>0</v>
      </c>
      <c r="L74" s="14" t="n">
        <f aca="false">IF(F74=0,"",G74/F74)</f>
        <v>0.75</v>
      </c>
      <c r="M74" s="14" t="n">
        <f aca="false">IF(F74=0,"",H74/F74)</f>
        <v>1</v>
      </c>
      <c r="N74" s="14" t="n">
        <f aca="false">IF(F74+H74=0,"",J74/(F74+H74))</f>
        <v>0.125</v>
      </c>
      <c r="O74" s="12" t="str">
        <f aca="false">IF(L74="","",IF(L74&gt;=0.8,"Yes","No"))</f>
        <v>No</v>
      </c>
    </row>
    <row r="75" customFormat="false" ht="15" hidden="false" customHeight="false" outlineLevel="0" collapsed="false">
      <c r="A75" s="12" t="s">
        <v>24</v>
      </c>
      <c r="B75" s="12" t="s">
        <v>185</v>
      </c>
      <c r="C75" s="12" t="s">
        <v>143</v>
      </c>
      <c r="D75" s="12" t="s">
        <v>73</v>
      </c>
      <c r="E75" s="12" t="s">
        <v>27</v>
      </c>
      <c r="F75" s="13" t="n">
        <v>4</v>
      </c>
      <c r="G75" s="13" t="n">
        <v>2</v>
      </c>
      <c r="H75" s="13" t="n">
        <v>4</v>
      </c>
      <c r="I75" s="13" t="n">
        <v>3</v>
      </c>
      <c r="J75" s="13" t="n">
        <v>1</v>
      </c>
      <c r="K75" s="13" t="n">
        <v>1</v>
      </c>
      <c r="L75" s="14" t="n">
        <f aca="false">IF(F75=0,"",G75/F75)</f>
        <v>0.5</v>
      </c>
      <c r="M75" s="14" t="n">
        <f aca="false">IF(F75=0,"",H75/F75)</f>
        <v>1</v>
      </c>
      <c r="N75" s="14" t="n">
        <f aca="false">IF(F75+H75=0,"",J75/(F75+H75))</f>
        <v>0.125</v>
      </c>
      <c r="O75" s="12" t="str">
        <f aca="false">IF(L75="","",IF(L75&gt;=0.8,"Yes","No"))</f>
        <v>No</v>
      </c>
    </row>
    <row r="76" customFormat="false" ht="15" hidden="false" customHeight="false" outlineLevel="0" collapsed="false">
      <c r="A76" s="12" t="s">
        <v>24</v>
      </c>
      <c r="B76" s="12" t="s">
        <v>186</v>
      </c>
      <c r="C76" s="12" t="s">
        <v>73</v>
      </c>
      <c r="D76" s="12" t="s">
        <v>147</v>
      </c>
      <c r="E76" s="12" t="s">
        <v>27</v>
      </c>
      <c r="F76" s="13" t="n">
        <v>7</v>
      </c>
      <c r="G76" s="13" t="n">
        <v>1</v>
      </c>
      <c r="H76" s="13" t="n">
        <v>0</v>
      </c>
      <c r="I76" s="13" t="n">
        <v>0</v>
      </c>
      <c r="J76" s="13" t="n">
        <v>4</v>
      </c>
      <c r="K76" s="13" t="n">
        <v>2</v>
      </c>
      <c r="L76" s="14" t="n">
        <f aca="false">IF(F76=0,"",G76/F76)</f>
        <v>0.142857142857143</v>
      </c>
      <c r="M76" s="14" t="n">
        <f aca="false">IF(F76=0,"",H76/F76)</f>
        <v>0</v>
      </c>
      <c r="N76" s="14" t="n">
        <f aca="false">IF(F76+H76=0,"",J76/(F76+H76))</f>
        <v>0.571428571428571</v>
      </c>
      <c r="O76" s="12" t="str">
        <f aca="false">IF(L76="","",IF(L76&gt;=0.8,"Yes","No"))</f>
        <v>No</v>
      </c>
    </row>
    <row r="77" customFormat="false" ht="15" hidden="false" customHeight="false" outlineLevel="0" collapsed="false">
      <c r="A77" s="12" t="s">
        <v>24</v>
      </c>
      <c r="B77" s="12" t="s">
        <v>187</v>
      </c>
      <c r="C77" s="12" t="s">
        <v>147</v>
      </c>
      <c r="D77" s="12" t="s">
        <v>188</v>
      </c>
      <c r="E77" s="12" t="s">
        <v>28</v>
      </c>
      <c r="F77" s="13" t="n">
        <v>9</v>
      </c>
      <c r="G77" s="13" t="n">
        <v>2</v>
      </c>
      <c r="H77" s="13" t="n">
        <v>10</v>
      </c>
      <c r="I77" s="13" t="n">
        <v>9</v>
      </c>
      <c r="J77" s="13" t="n">
        <v>7</v>
      </c>
      <c r="K77" s="13" t="n">
        <v>1</v>
      </c>
      <c r="L77" s="14" t="n">
        <f aca="false">IF(F77=0,"",G77/F77)</f>
        <v>0.222222222222222</v>
      </c>
      <c r="M77" s="14" t="n">
        <f aca="false">IF(F77=0,"",H77/F77)</f>
        <v>1.11111111111111</v>
      </c>
      <c r="N77" s="14" t="n">
        <f aca="false">IF(F77+H77=0,"",J77/(F77+H77))</f>
        <v>0.368421052631579</v>
      </c>
      <c r="O77" s="12" t="str">
        <f aca="false">IF(L77="","",IF(L77&gt;=0.8,"Yes","No"))</f>
        <v>No</v>
      </c>
    </row>
    <row r="78" customFormat="false" ht="15" hidden="false" customHeight="false" outlineLevel="0" collapsed="false">
      <c r="A78" s="12" t="s">
        <v>24</v>
      </c>
      <c r="B78" s="12" t="s">
        <v>189</v>
      </c>
      <c r="C78" s="12" t="s">
        <v>188</v>
      </c>
      <c r="D78" s="12" t="s">
        <v>190</v>
      </c>
      <c r="E78" s="12" t="s">
        <v>28</v>
      </c>
      <c r="F78" s="13" t="n">
        <v>15</v>
      </c>
      <c r="G78" s="13" t="n">
        <v>1</v>
      </c>
      <c r="H78" s="13" t="n">
        <v>2</v>
      </c>
      <c r="I78" s="13" t="n">
        <v>2</v>
      </c>
      <c r="J78" s="13" t="n">
        <v>3</v>
      </c>
      <c r="K78" s="13" t="n">
        <v>11</v>
      </c>
      <c r="L78" s="14" t="n">
        <f aca="false">IF(F78=0,"",G78/F78)</f>
        <v>0.0666666666666667</v>
      </c>
      <c r="M78" s="14" t="n">
        <f aca="false">IF(F78=0,"",H78/F78)</f>
        <v>0.133333333333333</v>
      </c>
      <c r="N78" s="14" t="n">
        <f aca="false">IF(F78+H78=0,"",J78/(F78+H78))</f>
        <v>0.176470588235294</v>
      </c>
      <c r="O78" s="12" t="str">
        <f aca="false">IF(L78="","",IF(L78&gt;=0.8,"Yes","No"))</f>
        <v>No</v>
      </c>
    </row>
    <row r="79" customFormat="false" ht="15" hidden="false" customHeight="false" outlineLevel="0" collapsed="false">
      <c r="A79" s="12" t="s">
        <v>24</v>
      </c>
      <c r="B79" s="12" t="s">
        <v>191</v>
      </c>
      <c r="C79" s="12" t="s">
        <v>192</v>
      </c>
      <c r="D79" s="12" t="s">
        <v>154</v>
      </c>
      <c r="E79" s="12" t="s">
        <v>28</v>
      </c>
      <c r="F79" s="13" t="n">
        <v>7</v>
      </c>
      <c r="G79" s="13" t="n">
        <v>2</v>
      </c>
      <c r="H79" s="13" t="n">
        <v>4</v>
      </c>
      <c r="I79" s="13" t="n">
        <v>2</v>
      </c>
      <c r="J79" s="13" t="n">
        <v>3</v>
      </c>
      <c r="K79" s="13" t="n">
        <v>4</v>
      </c>
      <c r="L79" s="14" t="n">
        <f aca="false">IF(F79=0,"",G79/F79)</f>
        <v>0.285714285714286</v>
      </c>
      <c r="M79" s="14" t="n">
        <f aca="false">IF(F79=0,"",H79/F79)</f>
        <v>0.571428571428571</v>
      </c>
      <c r="N79" s="14" t="n">
        <f aca="false">IF(F79+H79=0,"",J79/(F79+H79))</f>
        <v>0.272727272727273</v>
      </c>
      <c r="O79" s="12" t="str">
        <f aca="false">IF(L79="","",IF(L79&gt;=0.8,"Yes","No"))</f>
        <v>No</v>
      </c>
    </row>
    <row r="80" customFormat="false" ht="15" hidden="false" customHeight="false" outlineLevel="0" collapsed="false">
      <c r="A80" s="12" t="s">
        <v>24</v>
      </c>
      <c r="B80" s="12" t="s">
        <v>193</v>
      </c>
      <c r="C80" s="12" t="s">
        <v>154</v>
      </c>
      <c r="D80" s="12" t="s">
        <v>80</v>
      </c>
      <c r="E80" s="12" t="s">
        <v>28</v>
      </c>
      <c r="F80" s="13" t="n">
        <v>9</v>
      </c>
      <c r="G80" s="13" t="n">
        <v>2</v>
      </c>
      <c r="H80" s="13" t="n">
        <v>5</v>
      </c>
      <c r="I80" s="13" t="n">
        <v>3</v>
      </c>
      <c r="J80" s="13" t="n">
        <v>6</v>
      </c>
      <c r="K80" s="13" t="n">
        <v>3</v>
      </c>
      <c r="L80" s="14" t="n">
        <f aca="false">IF(F80=0,"",G80/F80)</f>
        <v>0.222222222222222</v>
      </c>
      <c r="M80" s="14" t="n">
        <f aca="false">IF(F80=0,"",H80/F80)</f>
        <v>0.555555555555556</v>
      </c>
      <c r="N80" s="14" t="n">
        <f aca="false">IF(F80+H80=0,"",J80/(F80+H80))</f>
        <v>0.428571428571429</v>
      </c>
      <c r="O80" s="12" t="str">
        <f aca="false">IF(L80="","",IF(L80&gt;=0.8,"Yes","No"))</f>
        <v>No</v>
      </c>
    </row>
    <row r="81" customFormat="false" ht="15" hidden="false" customHeight="false" outlineLevel="0" collapsed="false">
      <c r="A81" s="12" t="s">
        <v>24</v>
      </c>
      <c r="B81" s="12" t="s">
        <v>194</v>
      </c>
      <c r="C81" s="12" t="s">
        <v>80</v>
      </c>
      <c r="D81" s="12" t="s">
        <v>156</v>
      </c>
      <c r="E81" s="12" t="s">
        <v>28</v>
      </c>
      <c r="F81" s="13" t="n">
        <v>7</v>
      </c>
      <c r="G81" s="13" t="n">
        <v>4</v>
      </c>
      <c r="H81" s="13" t="n">
        <v>3</v>
      </c>
      <c r="I81" s="13" t="n">
        <v>2</v>
      </c>
      <c r="J81" s="13" t="n">
        <v>3</v>
      </c>
      <c r="K81" s="13" t="n">
        <v>1</v>
      </c>
      <c r="L81" s="14" t="n">
        <f aca="false">IF(F81=0,"",G81/F81)</f>
        <v>0.571428571428571</v>
      </c>
      <c r="M81" s="14" t="n">
        <f aca="false">IF(F81=0,"",H81/F81)</f>
        <v>0.428571428571429</v>
      </c>
      <c r="N81" s="14" t="n">
        <f aca="false">IF(F81+H81=0,"",J81/(F81+H81))</f>
        <v>0.3</v>
      </c>
      <c r="O81" s="12" t="str">
        <f aca="false">IF(L81="","",IF(L81&gt;=0.8,"Yes","No"))</f>
        <v>No</v>
      </c>
    </row>
    <row r="82" customFormat="false" ht="15" hidden="false" customHeight="false" outlineLevel="0" collapsed="false">
      <c r="A82" s="12" t="s">
        <v>24</v>
      </c>
      <c r="B82" s="12" t="s">
        <v>195</v>
      </c>
      <c r="C82" s="12" t="s">
        <v>156</v>
      </c>
      <c r="D82" s="12" t="s">
        <v>158</v>
      </c>
      <c r="E82" s="12" t="s">
        <v>28</v>
      </c>
      <c r="F82" s="13" t="n">
        <v>8</v>
      </c>
      <c r="G82" s="13" t="n">
        <v>1</v>
      </c>
      <c r="H82" s="13" t="n">
        <v>1</v>
      </c>
      <c r="I82" s="13" t="n">
        <v>0</v>
      </c>
      <c r="J82" s="13" t="n">
        <v>2</v>
      </c>
      <c r="K82" s="13" t="n">
        <v>6</v>
      </c>
      <c r="L82" s="14" t="n">
        <f aca="false">IF(F82=0,"",G82/F82)</f>
        <v>0.125</v>
      </c>
      <c r="M82" s="14" t="n">
        <f aca="false">IF(F82=0,"",H82/F82)</f>
        <v>0.125</v>
      </c>
      <c r="N82" s="14" t="n">
        <f aca="false">IF(F82+H82=0,"",J82/(F82+H82))</f>
        <v>0.222222222222222</v>
      </c>
      <c r="O82" s="12" t="str">
        <f aca="false">IF(L82="","",IF(L82&gt;=0.8,"Yes","No"))</f>
        <v>No</v>
      </c>
    </row>
    <row r="83" customFormat="false" ht="15" hidden="false" customHeight="false" outlineLevel="0" collapsed="false">
      <c r="A83" s="12" t="s">
        <v>24</v>
      </c>
      <c r="B83" s="12" t="s">
        <v>196</v>
      </c>
      <c r="C83" s="12" t="s">
        <v>158</v>
      </c>
      <c r="D83" s="12" t="s">
        <v>85</v>
      </c>
      <c r="E83" s="12" t="s">
        <v>28</v>
      </c>
      <c r="F83" s="13" t="n">
        <v>12</v>
      </c>
      <c r="G83" s="13" t="n">
        <v>1</v>
      </c>
      <c r="H83" s="13" t="n">
        <v>4</v>
      </c>
      <c r="I83" s="13" t="n">
        <v>0</v>
      </c>
      <c r="J83" s="13" t="n">
        <v>15</v>
      </c>
      <c r="K83" s="13" t="n">
        <v>0</v>
      </c>
      <c r="L83" s="14" t="n">
        <f aca="false">IF(F83=0,"",G83/F83)</f>
        <v>0.0833333333333333</v>
      </c>
      <c r="M83" s="14" t="n">
        <f aca="false">IF(F83=0,"",H83/F83)</f>
        <v>0.333333333333333</v>
      </c>
      <c r="N83" s="14" t="n">
        <f aca="false">IF(F83+H83=0,"",J83/(F83+H83))</f>
        <v>0.9375</v>
      </c>
      <c r="O83" s="12" t="str">
        <f aca="false">IF(L83="","",IF(L83&gt;=0.8,"Yes","No"))</f>
        <v>No</v>
      </c>
    </row>
    <row r="84" customFormat="false" ht="15" hidden="false" customHeight="false" outlineLevel="0" collapsed="false">
      <c r="A84" s="12" t="s">
        <v>24</v>
      </c>
      <c r="B84" s="12" t="s">
        <v>197</v>
      </c>
      <c r="C84" s="12" t="s">
        <v>85</v>
      </c>
      <c r="D84" s="12" t="s">
        <v>160</v>
      </c>
      <c r="E84" s="12" t="s">
        <v>28</v>
      </c>
      <c r="F84" s="13" t="n">
        <v>16</v>
      </c>
      <c r="G84" s="13" t="n">
        <v>11</v>
      </c>
      <c r="H84" s="13" t="n">
        <v>4</v>
      </c>
      <c r="I84" s="13" t="n">
        <v>3</v>
      </c>
      <c r="J84" s="13" t="n">
        <v>3</v>
      </c>
      <c r="K84" s="13" t="n">
        <v>3</v>
      </c>
      <c r="L84" s="14" t="n">
        <f aca="false">IF(F84=0,"",G84/F84)</f>
        <v>0.6875</v>
      </c>
      <c r="M84" s="14" t="n">
        <f aca="false">IF(F84=0,"",H84/F84)</f>
        <v>0.25</v>
      </c>
      <c r="N84" s="14" t="n">
        <f aca="false">IF(F84+H84=0,"",J84/(F84+H84))</f>
        <v>0.15</v>
      </c>
      <c r="O84" s="12" t="str">
        <f aca="false">IF(L84="","",IF(L84&gt;=0.8,"Yes","No"))</f>
        <v>No</v>
      </c>
    </row>
    <row r="85" customFormat="false" ht="15" hidden="false" customHeight="false" outlineLevel="0" collapsed="false">
      <c r="A85" s="12" t="s">
        <v>24</v>
      </c>
      <c r="B85" s="12" t="s">
        <v>198</v>
      </c>
      <c r="C85" s="12" t="s">
        <v>160</v>
      </c>
      <c r="D85" s="12" t="s">
        <v>161</v>
      </c>
      <c r="E85" s="12" t="s">
        <v>28</v>
      </c>
      <c r="F85" s="13" t="n">
        <v>16</v>
      </c>
      <c r="G85" s="13" t="n">
        <v>5</v>
      </c>
      <c r="H85" s="13" t="n">
        <v>9</v>
      </c>
      <c r="I85" s="13" t="n">
        <v>5</v>
      </c>
      <c r="J85" s="13" t="n">
        <v>14</v>
      </c>
      <c r="K85" s="13" t="n">
        <v>1</v>
      </c>
      <c r="L85" s="14" t="n">
        <f aca="false">IF(F85=0,"",G85/F85)</f>
        <v>0.3125</v>
      </c>
      <c r="M85" s="14" t="n">
        <f aca="false">IF(F85=0,"",H85/F85)</f>
        <v>0.5625</v>
      </c>
      <c r="N85" s="14" t="n">
        <f aca="false">IF(F85+H85=0,"",J85/(F85+H85))</f>
        <v>0.56</v>
      </c>
      <c r="O85" s="12" t="str">
        <f aca="false">IF(L85="","",IF(L85&gt;=0.8,"Yes","No"))</f>
        <v>No</v>
      </c>
    </row>
    <row r="86" customFormat="false" ht="15" hidden="false" customHeight="false" outlineLevel="0" collapsed="false">
      <c r="A86" s="12" t="s">
        <v>24</v>
      </c>
      <c r="B86" s="12" t="s">
        <v>199</v>
      </c>
      <c r="C86" s="12" t="s">
        <v>161</v>
      </c>
      <c r="D86" s="12" t="s">
        <v>90</v>
      </c>
      <c r="E86" s="12" t="s">
        <v>28</v>
      </c>
      <c r="F86" s="13" t="n">
        <v>15</v>
      </c>
      <c r="G86" s="13" t="n">
        <v>3</v>
      </c>
      <c r="H86" s="13" t="n">
        <v>19</v>
      </c>
      <c r="I86" s="13" t="n">
        <v>14</v>
      </c>
      <c r="J86" s="13" t="n">
        <v>14</v>
      </c>
      <c r="K86" s="13" t="n">
        <v>3</v>
      </c>
      <c r="L86" s="14" t="n">
        <f aca="false">IF(F86=0,"",G86/F86)</f>
        <v>0.2</v>
      </c>
      <c r="M86" s="14" t="n">
        <f aca="false">IF(F86=0,"",H86/F86)</f>
        <v>1.26666666666667</v>
      </c>
      <c r="N86" s="14" t="n">
        <f aca="false">IF(F86+H86=0,"",J86/(F86+H86))</f>
        <v>0.411764705882353</v>
      </c>
      <c r="O86" s="12" t="str">
        <f aca="false">IF(L86="","",IF(L86&gt;=0.8,"Yes","No"))</f>
        <v>No</v>
      </c>
    </row>
    <row r="87" customFormat="false" ht="15" hidden="false" customHeight="false" outlineLevel="0" collapsed="false">
      <c r="A87" s="12" t="s">
        <v>24</v>
      </c>
      <c r="B87" s="12" t="s">
        <v>200</v>
      </c>
      <c r="C87" s="12" t="s">
        <v>90</v>
      </c>
      <c r="D87" s="12" t="s">
        <v>164</v>
      </c>
      <c r="E87" s="12" t="s">
        <v>28</v>
      </c>
      <c r="F87" s="13" t="n">
        <v>20</v>
      </c>
      <c r="G87" s="13" t="n">
        <v>16</v>
      </c>
      <c r="H87" s="13" t="n">
        <v>26</v>
      </c>
      <c r="I87" s="13" t="n">
        <v>20</v>
      </c>
      <c r="J87" s="13" t="n">
        <v>10</v>
      </c>
      <c r="K87" s="13" t="n">
        <v>0</v>
      </c>
      <c r="L87" s="14" t="n">
        <f aca="false">IF(F87=0,"",G87/F87)</f>
        <v>0.8</v>
      </c>
      <c r="M87" s="14" t="n">
        <f aca="false">IF(F87=0,"",H87/F87)</f>
        <v>1.3</v>
      </c>
      <c r="N87" s="14" t="n">
        <f aca="false">IF(F87+H87=0,"",J87/(F87+H87))</f>
        <v>0.217391304347826</v>
      </c>
      <c r="O87" s="12" t="str">
        <f aca="false">IF(L87="","",IF(L87&gt;=0.8,"Yes","No"))</f>
        <v>Yes</v>
      </c>
    </row>
    <row r="88" customFormat="false" ht="15" hidden="false" customHeight="false" outlineLevel="0" collapsed="false">
      <c r="A88" s="12" t="s">
        <v>24</v>
      </c>
      <c r="B88" s="12" t="s">
        <v>201</v>
      </c>
      <c r="C88" s="12" t="s">
        <v>164</v>
      </c>
      <c r="D88" s="12" t="s">
        <v>166</v>
      </c>
      <c r="E88" s="12" t="s">
        <v>28</v>
      </c>
      <c r="F88" s="13" t="n">
        <v>32</v>
      </c>
      <c r="G88" s="13" t="n">
        <v>12</v>
      </c>
      <c r="H88" s="13" t="n">
        <v>7</v>
      </c>
      <c r="I88" s="13" t="n">
        <v>6</v>
      </c>
      <c r="J88" s="13" t="n">
        <v>21</v>
      </c>
      <c r="K88" s="13" t="n">
        <v>0</v>
      </c>
      <c r="L88" s="14" t="n">
        <f aca="false">IF(F88=0,"",G88/F88)</f>
        <v>0.375</v>
      </c>
      <c r="M88" s="14" t="n">
        <f aca="false">IF(F88=0,"",H88/F88)</f>
        <v>0.21875</v>
      </c>
      <c r="N88" s="14" t="n">
        <f aca="false">IF(F88+H88=0,"",J88/(F88+H88))</f>
        <v>0.538461538461538</v>
      </c>
      <c r="O88" s="12" t="str">
        <f aca="false">IF(L88="","",IF(L88&gt;=0.8,"Yes","No"))</f>
        <v>No</v>
      </c>
    </row>
    <row r="89" customFormat="false" ht="15" hidden="false" customHeight="false" outlineLevel="0" collapsed="false">
      <c r="A89" s="12" t="s">
        <v>24</v>
      </c>
      <c r="B89" s="12" t="s">
        <v>202</v>
      </c>
      <c r="C89" s="12" t="s">
        <v>94</v>
      </c>
      <c r="D89" s="12" t="s">
        <v>203</v>
      </c>
      <c r="E89" s="12" t="s">
        <v>28</v>
      </c>
      <c r="F89" s="13" t="n">
        <v>43</v>
      </c>
      <c r="G89" s="13" t="n">
        <v>10</v>
      </c>
      <c r="H89" s="13" t="n">
        <v>9</v>
      </c>
      <c r="I89" s="13" t="n">
        <v>7</v>
      </c>
      <c r="J89" s="13" t="n">
        <v>22</v>
      </c>
      <c r="K89" s="13" t="n">
        <v>13</v>
      </c>
      <c r="L89" s="14" t="n">
        <f aca="false">IF(F89=0,"",G89/F89)</f>
        <v>0.232558139534884</v>
      </c>
      <c r="M89" s="14" t="n">
        <f aca="false">IF(F89=0,"",H89/F89)</f>
        <v>0.209302325581395</v>
      </c>
      <c r="N89" s="14" t="n">
        <f aca="false">IF(F89+H89=0,"",J89/(F89+H89))</f>
        <v>0.423076923076923</v>
      </c>
      <c r="O89" s="12" t="str">
        <f aca="false">IF(L89="","",IF(L89&gt;=0.8,"Yes","No"))</f>
        <v>No</v>
      </c>
    </row>
    <row r="90" customFormat="false" ht="15" hidden="false" customHeight="false" outlineLevel="0" collapsed="false">
      <c r="A90" s="12" t="s">
        <v>24</v>
      </c>
      <c r="B90" s="12" t="s">
        <v>204</v>
      </c>
      <c r="C90" s="12" t="s">
        <v>203</v>
      </c>
      <c r="D90" s="12" t="s">
        <v>205</v>
      </c>
      <c r="E90" s="12" t="s">
        <v>28</v>
      </c>
      <c r="F90" s="13" t="n">
        <v>29</v>
      </c>
      <c r="G90" s="13" t="n">
        <v>13</v>
      </c>
      <c r="H90" s="13" t="n">
        <v>15</v>
      </c>
      <c r="I90" s="13" t="n">
        <v>10</v>
      </c>
      <c r="J90" s="13" t="n">
        <v>16</v>
      </c>
      <c r="K90" s="13" t="n">
        <v>5</v>
      </c>
      <c r="L90" s="14" t="n">
        <f aca="false">IF(F90=0,"",G90/F90)</f>
        <v>0.448275862068966</v>
      </c>
      <c r="M90" s="14" t="n">
        <f aca="false">IF(F90=0,"",H90/F90)</f>
        <v>0.517241379310345</v>
      </c>
      <c r="N90" s="14" t="n">
        <f aca="false">IF(F90+H90=0,"",J90/(F90+H90))</f>
        <v>0.363636363636364</v>
      </c>
      <c r="O90" s="12" t="str">
        <f aca="false">IF(L90="","",IF(L90&gt;=0.8,"Yes","No"))</f>
        <v>No</v>
      </c>
    </row>
    <row r="91" customFormat="false" ht="15" hidden="false" customHeight="false" outlineLevel="0" collapsed="false">
      <c r="A91" s="12" t="s">
        <v>24</v>
      </c>
      <c r="B91" s="12" t="s">
        <v>206</v>
      </c>
      <c r="C91" s="12" t="s">
        <v>205</v>
      </c>
      <c r="D91" s="12" t="s">
        <v>207</v>
      </c>
      <c r="E91" s="12" t="s">
        <v>28</v>
      </c>
      <c r="F91" s="13" t="n">
        <v>25</v>
      </c>
      <c r="G91" s="13" t="n">
        <v>14</v>
      </c>
      <c r="H91" s="13" t="n">
        <v>10</v>
      </c>
      <c r="I91" s="13" t="n">
        <v>6</v>
      </c>
      <c r="J91" s="13" t="n">
        <v>11</v>
      </c>
      <c r="K91" s="13" t="n">
        <v>4</v>
      </c>
      <c r="L91" s="14" t="n">
        <f aca="false">IF(F91=0,"",G91/F91)</f>
        <v>0.56</v>
      </c>
      <c r="M91" s="14" t="n">
        <f aca="false">IF(F91=0,"",H91/F91)</f>
        <v>0.4</v>
      </c>
      <c r="N91" s="14" t="n">
        <f aca="false">IF(F91+H91=0,"",J91/(F91+H91))</f>
        <v>0.314285714285714</v>
      </c>
      <c r="O91" s="12" t="str">
        <f aca="false">IF(L91="","",IF(L91&gt;=0.8,"Yes","No"))</f>
        <v>No</v>
      </c>
    </row>
    <row r="92" customFormat="false" ht="15" hidden="false" customHeight="false" outlineLevel="0" collapsed="false">
      <c r="A92" s="12" t="s">
        <v>24</v>
      </c>
      <c r="B92" s="12" t="s">
        <v>208</v>
      </c>
      <c r="C92" s="12" t="s">
        <v>207</v>
      </c>
      <c r="D92" s="12" t="s">
        <v>209</v>
      </c>
      <c r="E92" s="12" t="s">
        <v>28</v>
      </c>
      <c r="F92" s="13" t="n">
        <v>27</v>
      </c>
      <c r="G92" s="13" t="n">
        <v>18</v>
      </c>
      <c r="H92" s="13" t="n">
        <v>22</v>
      </c>
      <c r="I92" s="13" t="n">
        <v>18</v>
      </c>
      <c r="J92" s="13" t="n">
        <v>10</v>
      </c>
      <c r="K92" s="13" t="n">
        <v>2</v>
      </c>
      <c r="L92" s="14" t="n">
        <f aca="false">IF(F92=0,"",G92/F92)</f>
        <v>0.666666666666667</v>
      </c>
      <c r="M92" s="14" t="n">
        <f aca="false">IF(F92=0,"",H92/F92)</f>
        <v>0.814814814814815</v>
      </c>
      <c r="N92" s="14" t="n">
        <f aca="false">IF(F92+H92=0,"",J92/(F92+H92))</f>
        <v>0.204081632653061</v>
      </c>
      <c r="O92" s="12" t="str">
        <f aca="false">IF(L92="","",IF(L92&gt;=0.8,"Yes","No"))</f>
        <v>No</v>
      </c>
    </row>
    <row r="93" customFormat="false" ht="15" hidden="false" customHeight="false" outlineLevel="0" collapsed="false">
      <c r="A93" s="12" t="s">
        <v>24</v>
      </c>
      <c r="B93" s="12" t="s">
        <v>210</v>
      </c>
      <c r="C93" s="12" t="s">
        <v>209</v>
      </c>
      <c r="D93" s="12" t="s">
        <v>211</v>
      </c>
      <c r="E93" s="12" t="s">
        <v>28</v>
      </c>
      <c r="F93" s="13" t="n">
        <v>24</v>
      </c>
      <c r="G93" s="13" t="n">
        <v>15</v>
      </c>
      <c r="H93" s="13" t="n">
        <v>26</v>
      </c>
      <c r="I93" s="13" t="n">
        <v>18</v>
      </c>
      <c r="J93" s="13" t="n">
        <v>17</v>
      </c>
      <c r="K93" s="13" t="n">
        <v>0</v>
      </c>
      <c r="L93" s="14" t="n">
        <f aca="false">IF(F93=0,"",G93/F93)</f>
        <v>0.625</v>
      </c>
      <c r="M93" s="14" t="n">
        <f aca="false">IF(F93=0,"",H93/F93)</f>
        <v>1.08333333333333</v>
      </c>
      <c r="N93" s="14" t="n">
        <f aca="false">IF(F93+H93=0,"",J93/(F93+H93))</f>
        <v>0.34</v>
      </c>
      <c r="O93" s="12" t="str">
        <f aca="false">IF(L93="","",IF(L93&gt;=0.8,"Yes","No"))</f>
        <v>No</v>
      </c>
    </row>
    <row r="94" customFormat="false" ht="15" hidden="false" customHeight="false" outlineLevel="0" collapsed="false">
      <c r="A94" s="12" t="s">
        <v>24</v>
      </c>
      <c r="B94" s="12" t="s">
        <v>212</v>
      </c>
      <c r="C94" s="12" t="s">
        <v>211</v>
      </c>
      <c r="D94" s="12" t="s">
        <v>213</v>
      </c>
      <c r="E94" s="12" t="s">
        <v>28</v>
      </c>
      <c r="F94" s="13" t="n">
        <v>43</v>
      </c>
      <c r="G94" s="13" t="n">
        <v>28</v>
      </c>
      <c r="H94" s="13" t="n">
        <v>24</v>
      </c>
      <c r="I94" s="13" t="n">
        <v>18</v>
      </c>
      <c r="J94" s="13" t="n">
        <v>21</v>
      </c>
      <c r="K94" s="13" t="n">
        <v>0</v>
      </c>
      <c r="L94" s="14" t="n">
        <f aca="false">IF(F94=0,"",G94/F94)</f>
        <v>0.651162790697675</v>
      </c>
      <c r="M94" s="14" t="n">
        <f aca="false">IF(F94=0,"",H94/F94)</f>
        <v>0.558139534883721</v>
      </c>
      <c r="N94" s="14" t="n">
        <f aca="false">IF(F94+H94=0,"",J94/(F94+H94))</f>
        <v>0.313432835820896</v>
      </c>
      <c r="O94" s="12" t="str">
        <f aca="false">IF(L94="","",IF(L94&gt;=0.8,"Yes","No"))</f>
        <v>No</v>
      </c>
    </row>
    <row r="95" customFormat="false" ht="15" hidden="false" customHeight="false" outlineLevel="0" collapsed="false">
      <c r="A95" s="12" t="s">
        <v>24</v>
      </c>
      <c r="B95" s="12" t="s">
        <v>214</v>
      </c>
      <c r="C95" s="12" t="s">
        <v>213</v>
      </c>
      <c r="D95" s="12" t="s">
        <v>215</v>
      </c>
      <c r="E95" s="12" t="s">
        <v>28</v>
      </c>
      <c r="F95" s="13" t="n">
        <v>43</v>
      </c>
      <c r="G95" s="13" t="n">
        <v>12</v>
      </c>
      <c r="H95" s="13" t="n">
        <v>8</v>
      </c>
      <c r="I95" s="13" t="n">
        <v>4</v>
      </c>
      <c r="J95" s="13" t="n">
        <v>34</v>
      </c>
      <c r="K95" s="13" t="n">
        <v>0</v>
      </c>
      <c r="L95" s="14" t="n">
        <f aca="false">IF(F95=0,"",G95/F95)</f>
        <v>0.27906976744186</v>
      </c>
      <c r="M95" s="14" t="n">
        <f aca="false">IF(F95=0,"",H95/F95)</f>
        <v>0.186046511627907</v>
      </c>
      <c r="N95" s="14" t="n">
        <f aca="false">IF(F95+H95=0,"",J95/(F95+H95))</f>
        <v>0.666666666666667</v>
      </c>
      <c r="O95" s="12" t="str">
        <f aca="false">IF(L95="","",IF(L95&gt;=0.8,"Yes","No"))</f>
        <v>No</v>
      </c>
    </row>
    <row r="96" customFormat="false" ht="15" hidden="false" customHeight="false" outlineLevel="0" collapsed="false">
      <c r="A96" s="12" t="s">
        <v>24</v>
      </c>
      <c r="B96" s="12" t="s">
        <v>216</v>
      </c>
      <c r="C96" s="12" t="s">
        <v>215</v>
      </c>
      <c r="D96" s="12" t="s">
        <v>217</v>
      </c>
      <c r="E96" s="12" t="s">
        <v>28</v>
      </c>
      <c r="F96" s="13" t="n">
        <v>37</v>
      </c>
      <c r="G96" s="13" t="n">
        <v>2</v>
      </c>
      <c r="H96" s="13" t="n">
        <v>9</v>
      </c>
      <c r="I96" s="13" t="n">
        <v>4</v>
      </c>
      <c r="J96" s="13" t="n">
        <v>16</v>
      </c>
      <c r="K96" s="13" t="n">
        <v>23</v>
      </c>
      <c r="L96" s="14" t="n">
        <f aca="false">IF(F96=0,"",G96/F96)</f>
        <v>0.0540540540540541</v>
      </c>
      <c r="M96" s="14" t="n">
        <f aca="false">IF(F96=0,"",H96/F96)</f>
        <v>0.243243243243243</v>
      </c>
      <c r="N96" s="14" t="n">
        <f aca="false">IF(F96+H96=0,"",J96/(F96+H96))</f>
        <v>0.347826086956522</v>
      </c>
      <c r="O96" s="12" t="str">
        <f aca="false">IF(L96="","",IF(L96&gt;=0.8,"Yes","No"))</f>
        <v>No</v>
      </c>
    </row>
  </sheetData>
  <autoFilter ref="A1:O96"/>
  <conditionalFormatting sqref="L2:L96">
    <cfRule type="cellIs" priority="2" operator="lessThan" aboveAverage="0" equalAverage="0" bottom="0" percent="0" rank="0" text="" dxfId="5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6" t="s">
        <v>218</v>
      </c>
      <c r="B1" s="6" t="s">
        <v>13</v>
      </c>
      <c r="C1" s="6" t="s">
        <v>219</v>
      </c>
      <c r="D1" s="6" t="s">
        <v>220</v>
      </c>
      <c r="E1" s="6" t="s">
        <v>221</v>
      </c>
      <c r="F1" s="6" t="s">
        <v>222</v>
      </c>
      <c r="G1" s="6" t="s">
        <v>223</v>
      </c>
      <c r="H1" s="6" t="s">
        <v>224</v>
      </c>
      <c r="I1" s="6" t="s">
        <v>225</v>
      </c>
      <c r="J1" s="6" t="s">
        <v>226</v>
      </c>
      <c r="K1" s="6" t="s">
        <v>227</v>
      </c>
    </row>
    <row r="2" customFormat="false" ht="15" hidden="false" customHeight="false" outlineLevel="0" collapsed="false">
      <c r="A2" s="2" t="s">
        <v>228</v>
      </c>
      <c r="B2" s="2" t="s">
        <v>23</v>
      </c>
      <c r="C2" s="2" t="s">
        <v>229</v>
      </c>
      <c r="D2" s="2" t="s">
        <v>230</v>
      </c>
      <c r="E2" s="2" t="s">
        <v>231</v>
      </c>
      <c r="F2" s="15" t="n">
        <v>139.11</v>
      </c>
      <c r="G2" s="15" t="n">
        <v>33.82</v>
      </c>
      <c r="H2" s="15" t="n">
        <v>0</v>
      </c>
      <c r="I2" s="15" t="n">
        <v>11.06</v>
      </c>
      <c r="J2" s="15" t="n">
        <v>94.24</v>
      </c>
      <c r="K2" s="16" t="n">
        <f aca="false">IF(F2=0,"",G2/F2)</f>
        <v>0.243116957803177</v>
      </c>
    </row>
    <row r="3" customFormat="false" ht="15" hidden="false" customHeight="false" outlineLevel="0" collapsed="false">
      <c r="A3" s="2" t="s">
        <v>232</v>
      </c>
      <c r="B3" s="2" t="s">
        <v>23</v>
      </c>
      <c r="C3" s="2" t="s">
        <v>233</v>
      </c>
      <c r="D3" s="2" t="s">
        <v>234</v>
      </c>
      <c r="E3" s="2" t="s">
        <v>235</v>
      </c>
      <c r="F3" s="15" t="n">
        <v>53.11</v>
      </c>
      <c r="G3" s="15" t="n">
        <v>16.81</v>
      </c>
      <c r="H3" s="15" t="n">
        <v>27.17</v>
      </c>
      <c r="I3" s="15" t="n">
        <v>0</v>
      </c>
      <c r="J3" s="15" t="n">
        <v>9.13</v>
      </c>
      <c r="K3" s="16" t="n">
        <f aca="false">IF(F3=0,"",G3/F3)</f>
        <v>0.316512897759367</v>
      </c>
    </row>
    <row r="4" customFormat="false" ht="15" hidden="false" customHeight="false" outlineLevel="0" collapsed="false">
      <c r="A4" s="2" t="s">
        <v>236</v>
      </c>
      <c r="B4" s="2" t="s">
        <v>23</v>
      </c>
      <c r="C4" s="2" t="s">
        <v>237</v>
      </c>
      <c r="D4" s="2" t="s">
        <v>238</v>
      </c>
      <c r="E4" s="2" t="s">
        <v>131</v>
      </c>
      <c r="F4" s="15" t="n">
        <v>38.82</v>
      </c>
      <c r="G4" s="15" t="n">
        <v>5</v>
      </c>
      <c r="H4" s="15" t="n">
        <v>33.82</v>
      </c>
      <c r="I4" s="15" t="n">
        <v>0</v>
      </c>
      <c r="J4" s="15" t="n">
        <v>0</v>
      </c>
      <c r="K4" s="16" t="n">
        <f aca="false">IF(F4=0,"",G4/F4)</f>
        <v>0.128799587841319</v>
      </c>
    </row>
    <row r="5" customFormat="false" ht="15" hidden="false" customHeight="false" outlineLevel="0" collapsed="false">
      <c r="A5" s="2" t="s">
        <v>239</v>
      </c>
      <c r="B5" s="2" t="s">
        <v>22</v>
      </c>
      <c r="C5" s="2" t="s">
        <v>233</v>
      </c>
      <c r="D5" s="2" t="s">
        <v>240</v>
      </c>
      <c r="E5" s="2" t="s">
        <v>241</v>
      </c>
      <c r="F5" s="15" t="n">
        <v>15.93</v>
      </c>
      <c r="G5" s="15" t="n">
        <v>10.86</v>
      </c>
      <c r="H5" s="15" t="n">
        <v>5.08</v>
      </c>
      <c r="I5" s="15" t="n">
        <v>0</v>
      </c>
      <c r="J5" s="15" t="n">
        <v>0</v>
      </c>
      <c r="K5" s="16" t="n">
        <f aca="false">IF(F5=0,"",G5/F5)</f>
        <v>0.681732580037665</v>
      </c>
    </row>
    <row r="6" customFormat="false" ht="15" hidden="false" customHeight="false" outlineLevel="0" collapsed="false">
      <c r="A6" s="2" t="s">
        <v>242</v>
      </c>
      <c r="B6" s="2" t="s">
        <v>23</v>
      </c>
      <c r="C6" s="2" t="s">
        <v>233</v>
      </c>
      <c r="D6" s="2" t="s">
        <v>114</v>
      </c>
      <c r="E6" s="2" t="s">
        <v>243</v>
      </c>
      <c r="F6" s="15" t="n">
        <v>6.99</v>
      </c>
      <c r="G6" s="15" t="n">
        <v>1.88</v>
      </c>
      <c r="H6" s="15" t="n">
        <v>5.1</v>
      </c>
      <c r="I6" s="15" t="n">
        <v>0</v>
      </c>
      <c r="J6" s="15" t="n">
        <v>0</v>
      </c>
      <c r="K6" s="16" t="n">
        <f aca="false">IF(F6=0,"",G6/F6)</f>
        <v>0.2689556509299</v>
      </c>
    </row>
    <row r="7" customFormat="false" ht="15" hidden="false" customHeight="false" outlineLevel="0" collapsed="false">
      <c r="A7" s="2" t="s">
        <v>244</v>
      </c>
      <c r="B7" s="2" t="s">
        <v>22</v>
      </c>
      <c r="C7" s="2" t="s">
        <v>233</v>
      </c>
      <c r="D7" s="2" t="s">
        <v>245</v>
      </c>
      <c r="E7" s="2" t="s">
        <v>246</v>
      </c>
      <c r="F7" s="15" t="n">
        <v>439.99</v>
      </c>
      <c r="G7" s="15" t="n">
        <v>74.83</v>
      </c>
      <c r="H7" s="15" t="n">
        <v>0.78</v>
      </c>
      <c r="I7" s="15" t="n">
        <v>0</v>
      </c>
      <c r="J7" s="15" t="n">
        <v>364.38</v>
      </c>
      <c r="K7" s="16" t="n">
        <f aca="false">IF(F7=0,"",G7/F7)</f>
        <v>0.170072047091979</v>
      </c>
    </row>
    <row r="8" customFormat="false" ht="15" hidden="false" customHeight="false" outlineLevel="0" collapsed="false">
      <c r="A8" s="2" t="s">
        <v>247</v>
      </c>
      <c r="B8" s="2" t="s">
        <v>22</v>
      </c>
      <c r="C8" s="2" t="s">
        <v>248</v>
      </c>
      <c r="D8" s="2" t="s">
        <v>249</v>
      </c>
      <c r="E8" s="2" t="s">
        <v>250</v>
      </c>
      <c r="F8" s="15" t="n">
        <v>27.84</v>
      </c>
      <c r="G8" s="15" t="n">
        <v>12.89</v>
      </c>
      <c r="H8" s="15" t="n">
        <v>14.95</v>
      </c>
      <c r="I8" s="15" t="n">
        <v>0</v>
      </c>
      <c r="J8" s="15" t="n">
        <v>0</v>
      </c>
      <c r="K8" s="16" t="n">
        <f aca="false">IF(F8=0,"",G8/F8)</f>
        <v>0.463002873563218</v>
      </c>
    </row>
    <row r="9" customFormat="false" ht="15" hidden="false" customHeight="false" outlineLevel="0" collapsed="false">
      <c r="A9" s="2" t="s">
        <v>251</v>
      </c>
      <c r="B9" s="2" t="s">
        <v>23</v>
      </c>
      <c r="C9" s="2" t="s">
        <v>252</v>
      </c>
      <c r="D9" s="2" t="s">
        <v>253</v>
      </c>
      <c r="E9" s="2" t="s">
        <v>49</v>
      </c>
      <c r="F9" s="15" t="n">
        <v>42.92</v>
      </c>
      <c r="G9" s="15" t="n">
        <v>25.65</v>
      </c>
      <c r="H9" s="15" t="n">
        <v>0</v>
      </c>
      <c r="I9" s="15" t="n">
        <v>0</v>
      </c>
      <c r="J9" s="15" t="n">
        <v>17.28</v>
      </c>
      <c r="K9" s="16" t="n">
        <f aca="false">IF(F9=0,"",G9/F9)</f>
        <v>0.59762348555452</v>
      </c>
    </row>
    <row r="10" customFormat="false" ht="15" hidden="false" customHeight="false" outlineLevel="0" collapsed="false">
      <c r="A10" s="2" t="s">
        <v>254</v>
      </c>
      <c r="B10" s="2" t="s">
        <v>24</v>
      </c>
      <c r="C10" s="2" t="s">
        <v>233</v>
      </c>
      <c r="D10" s="2" t="s">
        <v>255</v>
      </c>
      <c r="E10" s="2" t="s">
        <v>256</v>
      </c>
      <c r="F10" s="15" t="n">
        <v>4.9</v>
      </c>
      <c r="G10" s="15" t="n">
        <v>4.9</v>
      </c>
      <c r="H10" s="15" t="n">
        <v>0</v>
      </c>
      <c r="I10" s="15" t="n">
        <v>0</v>
      </c>
      <c r="J10" s="15" t="n">
        <v>0</v>
      </c>
      <c r="K10" s="16" t="n">
        <f aca="false">IF(F10=0,"",G10/F10)</f>
        <v>1</v>
      </c>
    </row>
    <row r="11" customFormat="false" ht="15" hidden="false" customHeight="false" outlineLevel="0" collapsed="false">
      <c r="A11" s="2" t="s">
        <v>257</v>
      </c>
      <c r="B11" s="2" t="s">
        <v>24</v>
      </c>
      <c r="C11" s="2" t="s">
        <v>233</v>
      </c>
      <c r="D11" s="2" t="s">
        <v>258</v>
      </c>
      <c r="E11" s="2" t="s">
        <v>259</v>
      </c>
      <c r="F11" s="15" t="n">
        <v>84.11</v>
      </c>
      <c r="G11" s="15" t="n">
        <v>21.78</v>
      </c>
      <c r="H11" s="15" t="n">
        <v>4.26</v>
      </c>
      <c r="I11" s="15" t="n">
        <v>0</v>
      </c>
      <c r="J11" s="15" t="n">
        <v>58.07</v>
      </c>
      <c r="K11" s="16" t="n">
        <f aca="false">IF(F11=0,"",G11/F11)</f>
        <v>0.25894661752467</v>
      </c>
    </row>
    <row r="12" customFormat="false" ht="15" hidden="false" customHeight="false" outlineLevel="0" collapsed="false">
      <c r="A12" s="2" t="s">
        <v>260</v>
      </c>
      <c r="B12" s="2" t="s">
        <v>23</v>
      </c>
      <c r="C12" s="2" t="s">
        <v>229</v>
      </c>
      <c r="D12" s="2" t="s">
        <v>261</v>
      </c>
      <c r="E12" s="2" t="s">
        <v>262</v>
      </c>
      <c r="F12" s="15" t="n">
        <v>24.07</v>
      </c>
      <c r="G12" s="15" t="n">
        <v>3.12</v>
      </c>
      <c r="H12" s="15" t="n">
        <v>20.95</v>
      </c>
      <c r="I12" s="15" t="n">
        <v>0</v>
      </c>
      <c r="J12" s="15" t="n">
        <v>0</v>
      </c>
      <c r="K12" s="16" t="n">
        <f aca="false">IF(F12=0,"",G12/F12)</f>
        <v>0.129621936019942</v>
      </c>
    </row>
    <row r="13" customFormat="false" ht="15" hidden="false" customHeight="false" outlineLevel="0" collapsed="false">
      <c r="A13" s="2" t="s">
        <v>263</v>
      </c>
      <c r="B13" s="2" t="s">
        <v>22</v>
      </c>
      <c r="C13" s="2" t="s">
        <v>248</v>
      </c>
      <c r="D13" s="2" t="s">
        <v>259</v>
      </c>
      <c r="E13" s="2" t="s">
        <v>116</v>
      </c>
      <c r="F13" s="15" t="n">
        <v>2.12</v>
      </c>
      <c r="G13" s="15" t="n">
        <v>1.19</v>
      </c>
      <c r="H13" s="15" t="n">
        <v>0.93</v>
      </c>
      <c r="I13" s="15" t="n">
        <v>0</v>
      </c>
      <c r="J13" s="15" t="n">
        <v>0</v>
      </c>
      <c r="K13" s="16" t="n">
        <f aca="false">IF(F13=0,"",G13/F13)</f>
        <v>0.561320754716981</v>
      </c>
    </row>
    <row r="14" customFormat="false" ht="15" hidden="false" customHeight="false" outlineLevel="0" collapsed="false">
      <c r="A14" s="2" t="s">
        <v>264</v>
      </c>
      <c r="B14" s="2" t="s">
        <v>22</v>
      </c>
      <c r="C14" s="2" t="s">
        <v>248</v>
      </c>
      <c r="D14" s="2" t="s">
        <v>265</v>
      </c>
      <c r="E14" s="2" t="s">
        <v>266</v>
      </c>
      <c r="F14" s="15" t="n">
        <v>102.07</v>
      </c>
      <c r="G14" s="15" t="n">
        <v>12.33</v>
      </c>
      <c r="H14" s="15" t="n">
        <v>3.92</v>
      </c>
      <c r="I14" s="15" t="n">
        <v>4.57</v>
      </c>
      <c r="J14" s="15" t="n">
        <v>81.24</v>
      </c>
      <c r="K14" s="16" t="n">
        <f aca="false">IF(F14=0,"",G14/F14)</f>
        <v>0.120799451356912</v>
      </c>
    </row>
    <row r="15" customFormat="false" ht="15" hidden="false" customHeight="false" outlineLevel="0" collapsed="false">
      <c r="A15" s="2" t="s">
        <v>267</v>
      </c>
      <c r="B15" s="2" t="s">
        <v>22</v>
      </c>
      <c r="C15" s="2" t="s">
        <v>229</v>
      </c>
      <c r="D15" s="2" t="s">
        <v>268</v>
      </c>
      <c r="E15" s="2" t="s">
        <v>235</v>
      </c>
      <c r="F15" s="15" t="n">
        <v>32.14</v>
      </c>
      <c r="G15" s="15" t="n">
        <v>8.33</v>
      </c>
      <c r="H15" s="15" t="n">
        <v>4.22</v>
      </c>
      <c r="I15" s="15" t="n">
        <v>12.25</v>
      </c>
      <c r="J15" s="15" t="n">
        <v>7.35</v>
      </c>
      <c r="K15" s="16" t="n">
        <f aca="false">IF(F15=0,"",G15/F15)</f>
        <v>0.259178593652769</v>
      </c>
    </row>
    <row r="16" customFormat="false" ht="15" hidden="false" customHeight="false" outlineLevel="0" collapsed="false">
      <c r="A16" s="2" t="s">
        <v>269</v>
      </c>
      <c r="B16" s="2" t="s">
        <v>24</v>
      </c>
      <c r="C16" s="2" t="s">
        <v>233</v>
      </c>
      <c r="D16" s="2" t="s">
        <v>270</v>
      </c>
      <c r="E16" s="2" t="s">
        <v>259</v>
      </c>
      <c r="F16" s="15" t="n">
        <v>74.27</v>
      </c>
      <c r="G16" s="15" t="n">
        <v>8.52</v>
      </c>
      <c r="H16" s="15" t="n">
        <v>23.81</v>
      </c>
      <c r="I16" s="15" t="n">
        <v>0</v>
      </c>
      <c r="J16" s="15" t="n">
        <v>29.76</v>
      </c>
      <c r="K16" s="16" t="n">
        <f aca="false">IF(F16=0,"",G16/F16)</f>
        <v>0.114716574660024</v>
      </c>
    </row>
    <row r="17" customFormat="false" ht="15" hidden="false" customHeight="false" outlineLevel="0" collapsed="false">
      <c r="A17" s="2" t="s">
        <v>271</v>
      </c>
      <c r="B17" s="2" t="s">
        <v>23</v>
      </c>
      <c r="C17" s="2" t="s">
        <v>229</v>
      </c>
      <c r="D17" s="2" t="s">
        <v>235</v>
      </c>
      <c r="E17" s="2" t="s">
        <v>272</v>
      </c>
      <c r="F17" s="15" t="n">
        <v>37.23</v>
      </c>
      <c r="G17" s="15" t="n">
        <v>32.04</v>
      </c>
      <c r="H17" s="15" t="n">
        <v>5.18</v>
      </c>
      <c r="I17" s="15" t="n">
        <v>0</v>
      </c>
      <c r="J17" s="15" t="n">
        <v>0</v>
      </c>
      <c r="K17" s="16" t="n">
        <f aca="false">IF(F17=0,"",G17/F17)</f>
        <v>0.860596293311845</v>
      </c>
    </row>
    <row r="18" customFormat="false" ht="15" hidden="false" customHeight="false" outlineLevel="0" collapsed="false">
      <c r="A18" s="2" t="s">
        <v>273</v>
      </c>
      <c r="B18" s="2" t="s">
        <v>24</v>
      </c>
      <c r="C18" s="2" t="s">
        <v>252</v>
      </c>
      <c r="D18" s="2" t="s">
        <v>39</v>
      </c>
      <c r="E18" s="2" t="s">
        <v>42</v>
      </c>
      <c r="F18" s="15" t="n">
        <v>14.98</v>
      </c>
      <c r="G18" s="15" t="n">
        <v>6.44</v>
      </c>
      <c r="H18" s="15" t="n">
        <v>6.25</v>
      </c>
      <c r="I18" s="15" t="n">
        <v>0</v>
      </c>
      <c r="J18" s="15" t="n">
        <v>1.43</v>
      </c>
      <c r="K18" s="16" t="n">
        <f aca="false">IF(F18=0,"",G18/F18)</f>
        <v>0.429906542056075</v>
      </c>
    </row>
    <row r="19" customFormat="false" ht="15" hidden="false" customHeight="false" outlineLevel="0" collapsed="false">
      <c r="A19" s="2" t="s">
        <v>274</v>
      </c>
      <c r="B19" s="2" t="s">
        <v>22</v>
      </c>
      <c r="C19" s="2" t="s">
        <v>252</v>
      </c>
      <c r="D19" s="2" t="s">
        <v>275</v>
      </c>
      <c r="E19" s="2" t="s">
        <v>256</v>
      </c>
      <c r="F19" s="15" t="n">
        <v>57.1</v>
      </c>
      <c r="G19" s="15" t="n">
        <v>15.62</v>
      </c>
      <c r="H19" s="15" t="n">
        <v>0.99</v>
      </c>
      <c r="I19" s="15" t="n">
        <v>0</v>
      </c>
      <c r="J19" s="15" t="n">
        <v>40.49</v>
      </c>
      <c r="K19" s="16" t="n">
        <f aca="false">IF(F19=0,"",G19/F19)</f>
        <v>0.273555166374781</v>
      </c>
    </row>
    <row r="20" customFormat="false" ht="15" hidden="false" customHeight="false" outlineLevel="0" collapsed="false">
      <c r="A20" s="2" t="s">
        <v>276</v>
      </c>
      <c r="B20" s="2" t="s">
        <v>23</v>
      </c>
      <c r="C20" s="2" t="s">
        <v>248</v>
      </c>
      <c r="D20" s="2" t="s">
        <v>241</v>
      </c>
      <c r="E20" s="2" t="s">
        <v>277</v>
      </c>
      <c r="F20" s="15" t="n">
        <v>1.03</v>
      </c>
      <c r="G20" s="15" t="n">
        <v>0</v>
      </c>
      <c r="H20" s="15" t="n">
        <v>1.03</v>
      </c>
      <c r="I20" s="15" t="n">
        <v>0</v>
      </c>
      <c r="J20" s="15" t="n">
        <v>0</v>
      </c>
      <c r="K20" s="16" t="n">
        <f aca="false">IF(F20=0,"",G20/F20)</f>
        <v>0</v>
      </c>
    </row>
    <row r="21" customFormat="false" ht="15" hidden="false" customHeight="false" outlineLevel="0" collapsed="false">
      <c r="A21" s="2" t="s">
        <v>278</v>
      </c>
      <c r="B21" s="2" t="s">
        <v>22</v>
      </c>
      <c r="C21" s="2" t="s">
        <v>252</v>
      </c>
      <c r="D21" s="2" t="s">
        <v>279</v>
      </c>
      <c r="E21" s="2" t="s">
        <v>280</v>
      </c>
      <c r="F21" s="15" t="n">
        <v>32.77</v>
      </c>
      <c r="G21" s="15" t="n">
        <v>19.65</v>
      </c>
      <c r="H21" s="15" t="n">
        <v>2.89</v>
      </c>
      <c r="I21" s="15" t="n">
        <v>0</v>
      </c>
      <c r="J21" s="15" t="n">
        <v>10.23</v>
      </c>
      <c r="K21" s="16" t="n">
        <f aca="false">IF(F21=0,"",G21/F21)</f>
        <v>0.599633811412878</v>
      </c>
    </row>
    <row r="22" customFormat="false" ht="15" hidden="false" customHeight="false" outlineLevel="0" collapsed="false">
      <c r="A22" s="2" t="s">
        <v>281</v>
      </c>
      <c r="B22" s="2" t="s">
        <v>24</v>
      </c>
      <c r="C22" s="2" t="s">
        <v>229</v>
      </c>
      <c r="D22" s="2" t="s">
        <v>282</v>
      </c>
      <c r="E22" s="2" t="s">
        <v>43</v>
      </c>
      <c r="F22" s="15" t="n">
        <v>1.6</v>
      </c>
      <c r="G22" s="15" t="n">
        <v>0.02</v>
      </c>
      <c r="H22" s="15" t="n">
        <v>1.57</v>
      </c>
      <c r="I22" s="15" t="n">
        <v>0</v>
      </c>
      <c r="J22" s="15" t="n">
        <v>0</v>
      </c>
      <c r="K22" s="16" t="n">
        <f aca="false">IF(F22=0,"",G22/F22)</f>
        <v>0.0125</v>
      </c>
    </row>
    <row r="23" customFormat="false" ht="15" hidden="false" customHeight="false" outlineLevel="0" collapsed="false">
      <c r="A23" s="2" t="s">
        <v>283</v>
      </c>
      <c r="B23" s="2" t="s">
        <v>24</v>
      </c>
      <c r="C23" s="2" t="s">
        <v>229</v>
      </c>
      <c r="D23" s="2" t="s">
        <v>284</v>
      </c>
      <c r="E23" s="2" t="s">
        <v>285</v>
      </c>
      <c r="F23" s="15" t="n">
        <v>2.13</v>
      </c>
      <c r="G23" s="15" t="n">
        <v>2.13</v>
      </c>
      <c r="H23" s="15" t="n">
        <v>0</v>
      </c>
      <c r="I23" s="15" t="n">
        <v>0</v>
      </c>
      <c r="J23" s="15" t="n">
        <v>0</v>
      </c>
      <c r="K23" s="16" t="n">
        <f aca="false">IF(F23=0,"",G23/F23)</f>
        <v>1</v>
      </c>
    </row>
    <row r="24" customFormat="false" ht="15" hidden="false" customHeight="false" outlineLevel="0" collapsed="false">
      <c r="A24" s="2" t="s">
        <v>286</v>
      </c>
      <c r="B24" s="2" t="s">
        <v>24</v>
      </c>
      <c r="C24" s="2" t="s">
        <v>229</v>
      </c>
      <c r="D24" s="2" t="s">
        <v>287</v>
      </c>
      <c r="E24" s="2" t="s">
        <v>235</v>
      </c>
      <c r="F24" s="15" t="n">
        <v>3.9</v>
      </c>
      <c r="G24" s="15" t="n">
        <v>3.9</v>
      </c>
      <c r="H24" s="15" t="n">
        <v>0</v>
      </c>
      <c r="I24" s="15" t="n">
        <v>0</v>
      </c>
      <c r="J24" s="15" t="n">
        <v>0</v>
      </c>
      <c r="K24" s="16" t="n">
        <f aca="false">IF(F24=0,"",G24/F24)</f>
        <v>1</v>
      </c>
    </row>
    <row r="25" customFormat="false" ht="15" hidden="false" customHeight="false" outlineLevel="0" collapsed="false">
      <c r="A25" s="2" t="s">
        <v>288</v>
      </c>
      <c r="B25" s="2" t="s">
        <v>23</v>
      </c>
      <c r="C25" s="2" t="s">
        <v>233</v>
      </c>
      <c r="D25" s="2" t="s">
        <v>262</v>
      </c>
      <c r="E25" s="2" t="s">
        <v>235</v>
      </c>
      <c r="F25" s="15" t="n">
        <v>3.93</v>
      </c>
      <c r="G25" s="15" t="n">
        <v>0</v>
      </c>
      <c r="H25" s="15" t="n">
        <v>3.93</v>
      </c>
      <c r="I25" s="15" t="n">
        <v>0</v>
      </c>
      <c r="J25" s="15" t="n">
        <v>0</v>
      </c>
      <c r="K25" s="16" t="n">
        <f aca="false">IF(F25=0,"",G25/F25)</f>
        <v>0</v>
      </c>
    </row>
    <row r="26" customFormat="false" ht="15" hidden="false" customHeight="false" outlineLevel="0" collapsed="false">
      <c r="A26" s="2" t="s">
        <v>289</v>
      </c>
      <c r="B26" s="2" t="s">
        <v>24</v>
      </c>
      <c r="C26" s="2" t="s">
        <v>229</v>
      </c>
      <c r="D26" s="2" t="s">
        <v>290</v>
      </c>
      <c r="E26" s="2" t="s">
        <v>291</v>
      </c>
      <c r="F26" s="15" t="n">
        <v>14.15</v>
      </c>
      <c r="G26" s="15" t="n">
        <v>4.31</v>
      </c>
      <c r="H26" s="15" t="n">
        <v>9.83</v>
      </c>
      <c r="I26" s="15" t="n">
        <v>0</v>
      </c>
      <c r="J26" s="15" t="n">
        <v>0</v>
      </c>
      <c r="K26" s="16" t="n">
        <f aca="false">IF(F26=0,"",G26/F26)</f>
        <v>0.304593639575972</v>
      </c>
    </row>
    <row r="27" customFormat="false" ht="15" hidden="false" customHeight="false" outlineLevel="0" collapsed="false">
      <c r="A27" s="2" t="s">
        <v>292</v>
      </c>
      <c r="B27" s="2" t="s">
        <v>23</v>
      </c>
      <c r="C27" s="2" t="s">
        <v>233</v>
      </c>
      <c r="D27" s="2" t="s">
        <v>293</v>
      </c>
      <c r="E27" s="2" t="s">
        <v>114</v>
      </c>
      <c r="F27" s="15" t="n">
        <v>15.37</v>
      </c>
      <c r="G27" s="15" t="n">
        <v>0</v>
      </c>
      <c r="H27" s="15" t="n">
        <v>15.37</v>
      </c>
      <c r="I27" s="15" t="n">
        <v>0</v>
      </c>
      <c r="J27" s="15" t="n">
        <v>0</v>
      </c>
      <c r="K27" s="16" t="n">
        <f aca="false">IF(F27=0,"",G27/F27)</f>
        <v>0</v>
      </c>
    </row>
    <row r="28" customFormat="false" ht="15" hidden="false" customHeight="false" outlineLevel="0" collapsed="false">
      <c r="A28" s="2" t="s">
        <v>294</v>
      </c>
      <c r="B28" s="2" t="s">
        <v>24</v>
      </c>
      <c r="C28" s="2" t="s">
        <v>229</v>
      </c>
      <c r="D28" s="2" t="s">
        <v>295</v>
      </c>
      <c r="E28" s="2" t="s">
        <v>296</v>
      </c>
      <c r="F28" s="15" t="n">
        <v>13.96</v>
      </c>
      <c r="G28" s="15" t="n">
        <v>0.43</v>
      </c>
      <c r="H28" s="15" t="n">
        <v>13.52</v>
      </c>
      <c r="I28" s="15" t="n">
        <v>0</v>
      </c>
      <c r="J28" s="15" t="n">
        <v>0</v>
      </c>
      <c r="K28" s="16" t="n">
        <f aca="false">IF(F28=0,"",G28/F28)</f>
        <v>0.0308022922636103</v>
      </c>
    </row>
    <row r="29" customFormat="false" ht="15" hidden="false" customHeight="false" outlineLevel="0" collapsed="false">
      <c r="A29" s="2" t="s">
        <v>297</v>
      </c>
      <c r="B29" s="2" t="s">
        <v>22</v>
      </c>
      <c r="C29" s="2" t="s">
        <v>233</v>
      </c>
      <c r="D29" s="2" t="s">
        <v>266</v>
      </c>
      <c r="E29" s="2" t="s">
        <v>266</v>
      </c>
      <c r="F29" s="15" t="n">
        <v>0.07</v>
      </c>
      <c r="G29" s="15" t="n">
        <v>0.07</v>
      </c>
      <c r="H29" s="15" t="n">
        <v>0</v>
      </c>
      <c r="I29" s="15" t="n">
        <v>0</v>
      </c>
      <c r="J29" s="15" t="n">
        <v>0</v>
      </c>
      <c r="K29" s="16" t="n">
        <f aca="false">IF(F29=0,"",G29/F29)</f>
        <v>1</v>
      </c>
    </row>
    <row r="30" customFormat="false" ht="15" hidden="false" customHeight="false" outlineLevel="0" collapsed="false">
      <c r="A30" s="2" t="s">
        <v>298</v>
      </c>
      <c r="B30" s="2" t="s">
        <v>24</v>
      </c>
      <c r="C30" s="2" t="s">
        <v>233</v>
      </c>
      <c r="D30" s="2" t="s">
        <v>296</v>
      </c>
      <c r="E30" s="2" t="s">
        <v>114</v>
      </c>
      <c r="F30" s="15" t="n">
        <v>0.46</v>
      </c>
      <c r="G30" s="15" t="n">
        <v>0.01</v>
      </c>
      <c r="H30" s="15" t="n">
        <v>0.45</v>
      </c>
      <c r="I30" s="15" t="n">
        <v>0</v>
      </c>
      <c r="J30" s="15" t="n">
        <v>0</v>
      </c>
      <c r="K30" s="16" t="n">
        <f aca="false">IF(F30=0,"",G30/F30)</f>
        <v>0.0217391304347826</v>
      </c>
    </row>
    <row r="31" customFormat="false" ht="15" hidden="false" customHeight="false" outlineLevel="0" collapsed="false">
      <c r="A31" s="2" t="s">
        <v>299</v>
      </c>
      <c r="B31" s="2" t="s">
        <v>22</v>
      </c>
      <c r="C31" s="2" t="s">
        <v>233</v>
      </c>
      <c r="D31" s="2" t="s">
        <v>300</v>
      </c>
      <c r="E31" s="2" t="s">
        <v>277</v>
      </c>
      <c r="F31" s="15" t="n">
        <v>20.26</v>
      </c>
      <c r="G31" s="15" t="n">
        <v>0.16</v>
      </c>
      <c r="H31" s="15" t="n">
        <v>7.03</v>
      </c>
      <c r="I31" s="15" t="n">
        <v>13.06</v>
      </c>
      <c r="J31" s="15" t="n">
        <v>0</v>
      </c>
      <c r="K31" s="16" t="n">
        <f aca="false">IF(F31=0,"",G31/F31)</f>
        <v>0.00789733464955577</v>
      </c>
    </row>
    <row r="32" customFormat="false" ht="15" hidden="false" customHeight="false" outlineLevel="0" collapsed="false">
      <c r="A32" s="2" t="s">
        <v>301</v>
      </c>
      <c r="B32" s="2" t="s">
        <v>22</v>
      </c>
      <c r="C32" s="2" t="s">
        <v>233</v>
      </c>
      <c r="D32" s="2" t="s">
        <v>302</v>
      </c>
      <c r="E32" s="2" t="s">
        <v>40</v>
      </c>
      <c r="F32" s="15" t="n">
        <v>2.05</v>
      </c>
      <c r="G32" s="15" t="n">
        <v>0.05</v>
      </c>
      <c r="H32" s="15" t="n">
        <v>2</v>
      </c>
      <c r="I32" s="15" t="n">
        <v>0</v>
      </c>
      <c r="J32" s="15" t="n">
        <v>0</v>
      </c>
      <c r="K32" s="16" t="n">
        <f aca="false">IF(F32=0,"",G32/F32)</f>
        <v>0.024390243902439</v>
      </c>
    </row>
    <row r="33" customFormat="false" ht="15" hidden="false" customHeight="false" outlineLevel="0" collapsed="false">
      <c r="A33" s="2" t="s">
        <v>303</v>
      </c>
      <c r="B33" s="2" t="s">
        <v>24</v>
      </c>
      <c r="C33" s="2" t="s">
        <v>229</v>
      </c>
      <c r="D33" s="2" t="s">
        <v>304</v>
      </c>
      <c r="E33" s="2" t="s">
        <v>302</v>
      </c>
      <c r="F33" s="15" t="n">
        <v>2.94</v>
      </c>
      <c r="G33" s="15" t="n">
        <v>2.94</v>
      </c>
      <c r="H33" s="15" t="n">
        <v>0</v>
      </c>
      <c r="I33" s="15" t="n">
        <v>0</v>
      </c>
      <c r="J33" s="15" t="n">
        <v>0</v>
      </c>
      <c r="K33" s="16" t="n">
        <f aca="false">IF(F33=0,"",G33/F33)</f>
        <v>1</v>
      </c>
    </row>
    <row r="34" customFormat="false" ht="15" hidden="false" customHeight="false" outlineLevel="0" collapsed="false">
      <c r="A34" s="2" t="s">
        <v>305</v>
      </c>
      <c r="B34" s="2" t="s">
        <v>22</v>
      </c>
      <c r="C34" s="2" t="s">
        <v>252</v>
      </c>
      <c r="D34" s="2" t="s">
        <v>243</v>
      </c>
      <c r="E34" s="2" t="s">
        <v>306</v>
      </c>
      <c r="F34" s="15" t="n">
        <v>0.93</v>
      </c>
      <c r="G34" s="15" t="n">
        <v>0.63</v>
      </c>
      <c r="H34" s="15" t="n">
        <v>0.3</v>
      </c>
      <c r="I34" s="15" t="n">
        <v>0</v>
      </c>
      <c r="J34" s="15" t="n">
        <v>0</v>
      </c>
      <c r="K34" s="16" t="n">
        <f aca="false">IF(F34=0,"",G34/F34)</f>
        <v>0.67741935483871</v>
      </c>
    </row>
    <row r="35" customFormat="false" ht="15" hidden="false" customHeight="false" outlineLevel="0" collapsed="false">
      <c r="A35" s="2" t="s">
        <v>307</v>
      </c>
      <c r="B35" s="2" t="s">
        <v>23</v>
      </c>
      <c r="C35" s="2" t="s">
        <v>229</v>
      </c>
      <c r="D35" s="2" t="s">
        <v>308</v>
      </c>
      <c r="E35" s="2" t="s">
        <v>309</v>
      </c>
      <c r="F35" s="15" t="n">
        <v>28.01</v>
      </c>
      <c r="G35" s="15" t="n">
        <v>0.02</v>
      </c>
      <c r="H35" s="15" t="n">
        <v>7.6</v>
      </c>
      <c r="I35" s="15" t="n">
        <v>0</v>
      </c>
      <c r="J35" s="15" t="n">
        <v>2.52</v>
      </c>
      <c r="K35" s="16" t="n">
        <f aca="false">IF(F35=0,"",G35/F35)</f>
        <v>0.000714030703320243</v>
      </c>
    </row>
    <row r="36" customFormat="false" ht="15" hidden="false" customHeight="false" outlineLevel="0" collapsed="false">
      <c r="A36" s="2" t="s">
        <v>310</v>
      </c>
      <c r="B36" s="2" t="s">
        <v>24</v>
      </c>
      <c r="C36" s="2" t="s">
        <v>237</v>
      </c>
      <c r="D36" s="2" t="s">
        <v>311</v>
      </c>
      <c r="E36" s="2" t="s">
        <v>312</v>
      </c>
      <c r="F36" s="15" t="n">
        <v>14.67</v>
      </c>
      <c r="G36" s="15" t="n">
        <v>0</v>
      </c>
      <c r="H36" s="15" t="n">
        <v>0</v>
      </c>
      <c r="I36" s="15" t="n">
        <v>0</v>
      </c>
      <c r="J36" s="15" t="n">
        <v>14.67</v>
      </c>
      <c r="K36" s="16" t="n">
        <f aca="false">IF(F36=0,"",G36/F36)</f>
        <v>0</v>
      </c>
    </row>
    <row r="37" customFormat="false" ht="15" hidden="false" customHeight="false" outlineLevel="0" collapsed="false">
      <c r="A37" s="2" t="s">
        <v>313</v>
      </c>
      <c r="B37" s="2" t="s">
        <v>24</v>
      </c>
      <c r="C37" s="2" t="s">
        <v>229</v>
      </c>
      <c r="D37" s="2" t="s">
        <v>255</v>
      </c>
      <c r="E37" s="2" t="s">
        <v>256</v>
      </c>
      <c r="F37" s="15" t="n">
        <v>5.76</v>
      </c>
      <c r="G37" s="15" t="n">
        <v>0</v>
      </c>
      <c r="H37" s="15" t="n">
        <v>5.76</v>
      </c>
      <c r="I37" s="15" t="n">
        <v>0</v>
      </c>
      <c r="J37" s="15" t="n">
        <v>0</v>
      </c>
      <c r="K37" s="16" t="n">
        <f aca="false">IF(F37=0,"",G37/F37)</f>
        <v>0</v>
      </c>
    </row>
    <row r="38" customFormat="false" ht="15" hidden="false" customHeight="false" outlineLevel="0" collapsed="false">
      <c r="A38" s="2" t="s">
        <v>314</v>
      </c>
      <c r="B38" s="2" t="s">
        <v>24</v>
      </c>
      <c r="C38" s="2" t="s">
        <v>229</v>
      </c>
      <c r="D38" s="2" t="s">
        <v>315</v>
      </c>
      <c r="E38" s="2" t="s">
        <v>316</v>
      </c>
      <c r="F38" s="15" t="n">
        <v>6.2</v>
      </c>
      <c r="G38" s="15" t="n">
        <v>6.2</v>
      </c>
      <c r="H38" s="15" t="n">
        <v>0</v>
      </c>
      <c r="I38" s="15" t="n">
        <v>0</v>
      </c>
      <c r="J38" s="15" t="n">
        <v>0</v>
      </c>
      <c r="K38" s="16" t="n">
        <f aca="false">IF(F38=0,"",G38/F38)</f>
        <v>1</v>
      </c>
    </row>
    <row r="39" customFormat="false" ht="15" hidden="false" customHeight="false" outlineLevel="0" collapsed="false">
      <c r="A39" s="2" t="s">
        <v>317</v>
      </c>
      <c r="B39" s="2" t="s">
        <v>24</v>
      </c>
      <c r="C39" s="2" t="s">
        <v>252</v>
      </c>
      <c r="D39" s="2" t="s">
        <v>318</v>
      </c>
      <c r="E39" s="2" t="s">
        <v>318</v>
      </c>
      <c r="F39" s="15" t="n">
        <v>0.1</v>
      </c>
      <c r="G39" s="15" t="n">
        <v>0</v>
      </c>
      <c r="H39" s="15" t="n">
        <v>0.1</v>
      </c>
      <c r="I39" s="15" t="n">
        <v>0</v>
      </c>
      <c r="J39" s="15" t="n">
        <v>0</v>
      </c>
      <c r="K39" s="16" t="n">
        <f aca="false">IF(F39=0,"",G39/F39)</f>
        <v>0</v>
      </c>
    </row>
    <row r="40" customFormat="false" ht="15" hidden="false" customHeight="false" outlineLevel="0" collapsed="false">
      <c r="A40" s="2" t="s">
        <v>319</v>
      </c>
      <c r="B40" s="2" t="s">
        <v>24</v>
      </c>
      <c r="C40" s="2" t="s">
        <v>233</v>
      </c>
      <c r="D40" s="2" t="s">
        <v>259</v>
      </c>
      <c r="E40" s="2" t="s">
        <v>259</v>
      </c>
      <c r="F40" s="15" t="n">
        <v>0.41</v>
      </c>
      <c r="G40" s="15" t="n">
        <v>0</v>
      </c>
      <c r="H40" s="15" t="n">
        <v>0.41</v>
      </c>
      <c r="I40" s="15" t="n">
        <v>0</v>
      </c>
      <c r="J40" s="15" t="n">
        <v>0</v>
      </c>
      <c r="K40" s="16" t="n">
        <f aca="false">IF(F40=0,"",G40/F40)</f>
        <v>0</v>
      </c>
    </row>
    <row r="41" customFormat="false" ht="15" hidden="false" customHeight="false" outlineLevel="0" collapsed="false">
      <c r="A41" s="2" t="s">
        <v>320</v>
      </c>
      <c r="B41" s="2" t="s">
        <v>24</v>
      </c>
      <c r="C41" s="2" t="s">
        <v>229</v>
      </c>
      <c r="D41" s="2" t="s">
        <v>315</v>
      </c>
      <c r="E41" s="2" t="s">
        <v>255</v>
      </c>
      <c r="F41" s="15" t="n">
        <v>3.11</v>
      </c>
      <c r="G41" s="15" t="n">
        <v>1.91</v>
      </c>
      <c r="H41" s="15" t="n">
        <v>1.2</v>
      </c>
      <c r="I41" s="15" t="n">
        <v>0</v>
      </c>
      <c r="J41" s="15" t="n">
        <v>0</v>
      </c>
      <c r="K41" s="16" t="n">
        <f aca="false">IF(F41=0,"",G41/F41)</f>
        <v>0.614147909967846</v>
      </c>
    </row>
    <row r="42" customFormat="false" ht="15" hidden="false" customHeight="false" outlineLevel="0" collapsed="false">
      <c r="A42" s="2" t="s">
        <v>321</v>
      </c>
      <c r="B42" s="2" t="s">
        <v>22</v>
      </c>
      <c r="C42" s="2" t="s">
        <v>229</v>
      </c>
      <c r="D42" s="2" t="s">
        <v>322</v>
      </c>
      <c r="E42" s="2" t="s">
        <v>323</v>
      </c>
      <c r="F42" s="15" t="n">
        <v>22.02</v>
      </c>
      <c r="G42" s="15" t="n">
        <v>12.58</v>
      </c>
      <c r="H42" s="15" t="n">
        <v>0</v>
      </c>
      <c r="I42" s="15" t="n">
        <v>1.78</v>
      </c>
      <c r="J42" s="15" t="n">
        <v>7.67</v>
      </c>
      <c r="K42" s="16" t="n">
        <f aca="false">IF(F42=0,"",G42/F42)</f>
        <v>0.571298819255223</v>
      </c>
    </row>
    <row r="43" customFormat="false" ht="15" hidden="false" customHeight="false" outlineLevel="0" collapsed="false">
      <c r="A43" s="2" t="s">
        <v>324</v>
      </c>
      <c r="B43" s="2" t="s">
        <v>23</v>
      </c>
      <c r="C43" s="2" t="s">
        <v>248</v>
      </c>
      <c r="D43" s="2" t="s">
        <v>325</v>
      </c>
      <c r="E43" s="2" t="s">
        <v>326</v>
      </c>
      <c r="F43" s="15" t="n">
        <v>189.92</v>
      </c>
      <c r="G43" s="15" t="n">
        <v>6.49</v>
      </c>
      <c r="H43" s="15" t="n">
        <v>1.07</v>
      </c>
      <c r="I43" s="15" t="n">
        <v>0</v>
      </c>
      <c r="J43" s="15" t="n">
        <v>182.35</v>
      </c>
      <c r="K43" s="16" t="n">
        <f aca="false">IF(F43=0,"",G43/F43)</f>
        <v>0.0341722830665543</v>
      </c>
    </row>
    <row r="44" customFormat="false" ht="15" hidden="false" customHeight="false" outlineLevel="0" collapsed="false">
      <c r="A44" s="2" t="s">
        <v>327</v>
      </c>
      <c r="B44" s="2" t="s">
        <v>22</v>
      </c>
      <c r="C44" s="2" t="s">
        <v>248</v>
      </c>
      <c r="D44" s="2" t="s">
        <v>255</v>
      </c>
      <c r="E44" s="2" t="s">
        <v>309</v>
      </c>
      <c r="F44" s="15" t="n">
        <v>18.14</v>
      </c>
      <c r="G44" s="15" t="n">
        <v>7.24</v>
      </c>
      <c r="H44" s="15" t="n">
        <v>10.9</v>
      </c>
      <c r="I44" s="15" t="n">
        <v>0</v>
      </c>
      <c r="J44" s="15" t="n">
        <v>0</v>
      </c>
      <c r="K44" s="16" t="n">
        <f aca="false">IF(F44=0,"",G44/F44)</f>
        <v>0.399117971334068</v>
      </c>
    </row>
    <row r="45" customFormat="false" ht="15" hidden="false" customHeight="false" outlineLevel="0" collapsed="false">
      <c r="A45" s="2" t="s">
        <v>328</v>
      </c>
      <c r="B45" s="2" t="s">
        <v>23</v>
      </c>
      <c r="C45" s="2" t="s">
        <v>329</v>
      </c>
      <c r="D45" s="2" t="s">
        <v>255</v>
      </c>
      <c r="E45" s="2" t="s">
        <v>330</v>
      </c>
      <c r="F45" s="15" t="n">
        <v>412.14</v>
      </c>
      <c r="G45" s="15" t="n">
        <v>31.68</v>
      </c>
      <c r="H45" s="15" t="n">
        <v>0</v>
      </c>
      <c r="I45" s="15" t="n">
        <v>359.35</v>
      </c>
      <c r="J45" s="15" t="n">
        <v>21.11</v>
      </c>
      <c r="K45" s="16" t="n">
        <f aca="false">IF(F45=0,"",G45/F45)</f>
        <v>0.0768670840005823</v>
      </c>
    </row>
    <row r="46" customFormat="false" ht="15" hidden="false" customHeight="false" outlineLevel="0" collapsed="false">
      <c r="A46" s="2" t="s">
        <v>331</v>
      </c>
      <c r="B46" s="2" t="s">
        <v>22</v>
      </c>
      <c r="C46" s="2" t="s">
        <v>332</v>
      </c>
      <c r="D46" s="2" t="s">
        <v>333</v>
      </c>
      <c r="E46" s="2" t="s">
        <v>334</v>
      </c>
      <c r="F46" s="15" t="n">
        <v>4.06</v>
      </c>
      <c r="G46" s="15" t="n">
        <v>4.06</v>
      </c>
      <c r="H46" s="15" t="n">
        <v>0</v>
      </c>
      <c r="I46" s="15" t="n">
        <v>0</v>
      </c>
      <c r="J46" s="15" t="n">
        <v>0</v>
      </c>
      <c r="K46" s="16" t="n">
        <f aca="false">IF(F46=0,"",G46/F46)</f>
        <v>1</v>
      </c>
    </row>
    <row r="47" customFormat="false" ht="15" hidden="false" customHeight="false" outlineLevel="0" collapsed="false">
      <c r="A47" s="2" t="s">
        <v>335</v>
      </c>
      <c r="B47" s="2" t="s">
        <v>24</v>
      </c>
      <c r="C47" s="2" t="s">
        <v>233</v>
      </c>
      <c r="D47" s="2" t="s">
        <v>316</v>
      </c>
      <c r="E47" s="2" t="s">
        <v>47</v>
      </c>
      <c r="F47" s="15" t="n">
        <v>16.22</v>
      </c>
      <c r="G47" s="15" t="n">
        <v>12.41</v>
      </c>
      <c r="H47" s="15" t="n">
        <v>0</v>
      </c>
      <c r="I47" s="15" t="n">
        <v>0</v>
      </c>
      <c r="J47" s="15" t="n">
        <v>3.81</v>
      </c>
      <c r="K47" s="16" t="n">
        <f aca="false">IF(F47=0,"",G47/F47)</f>
        <v>0.765104808877929</v>
      </c>
    </row>
    <row r="48" customFormat="false" ht="15" hidden="false" customHeight="false" outlineLevel="0" collapsed="false">
      <c r="A48" s="2" t="s">
        <v>336</v>
      </c>
      <c r="B48" s="2" t="s">
        <v>24</v>
      </c>
      <c r="C48" s="2" t="s">
        <v>229</v>
      </c>
      <c r="D48" s="2" t="s">
        <v>316</v>
      </c>
      <c r="E48" s="2" t="s">
        <v>256</v>
      </c>
      <c r="F48" s="15" t="n">
        <v>1.21</v>
      </c>
      <c r="G48" s="15" t="n">
        <v>1.21</v>
      </c>
      <c r="H48" s="15" t="n">
        <v>0</v>
      </c>
      <c r="I48" s="15" t="n">
        <v>0</v>
      </c>
      <c r="J48" s="15" t="n">
        <v>0</v>
      </c>
      <c r="K48" s="16" t="n">
        <f aca="false">IF(F48=0,"",G48/F48)</f>
        <v>1</v>
      </c>
    </row>
    <row r="49" customFormat="false" ht="15" hidden="false" customHeight="false" outlineLevel="0" collapsed="false">
      <c r="A49" s="2" t="s">
        <v>337</v>
      </c>
      <c r="B49" s="2" t="s">
        <v>23</v>
      </c>
      <c r="C49" s="2" t="s">
        <v>229</v>
      </c>
      <c r="D49" s="2" t="s">
        <v>338</v>
      </c>
      <c r="E49" s="2" t="s">
        <v>339</v>
      </c>
      <c r="F49" s="15" t="n">
        <v>2.8</v>
      </c>
      <c r="G49" s="15" t="n">
        <v>2.8</v>
      </c>
      <c r="H49" s="15" t="n">
        <v>0</v>
      </c>
      <c r="I49" s="15" t="n">
        <v>0</v>
      </c>
      <c r="J49" s="15" t="n">
        <v>0</v>
      </c>
      <c r="K49" s="16" t="n">
        <f aca="false">IF(F49=0,"",G49/F49)</f>
        <v>1</v>
      </c>
    </row>
    <row r="50" customFormat="false" ht="15" hidden="false" customHeight="false" outlineLevel="0" collapsed="false">
      <c r="A50" s="2" t="s">
        <v>340</v>
      </c>
      <c r="B50" s="2" t="s">
        <v>23</v>
      </c>
      <c r="C50" s="2" t="s">
        <v>229</v>
      </c>
      <c r="D50" s="2" t="s">
        <v>341</v>
      </c>
      <c r="E50" s="2" t="s">
        <v>311</v>
      </c>
      <c r="F50" s="15" t="n">
        <v>7.17</v>
      </c>
      <c r="G50" s="15" t="n">
        <v>3.09</v>
      </c>
      <c r="H50" s="15" t="n">
        <v>4.07</v>
      </c>
      <c r="I50" s="15" t="n">
        <v>0</v>
      </c>
      <c r="J50" s="15" t="n">
        <v>0</v>
      </c>
      <c r="K50" s="16" t="n">
        <f aca="false">IF(F50=0,"",G50/F50)</f>
        <v>0.430962343096234</v>
      </c>
    </row>
    <row r="51" customFormat="false" ht="15" hidden="false" customHeight="false" outlineLevel="0" collapsed="false">
      <c r="A51" s="2" t="s">
        <v>342</v>
      </c>
      <c r="B51" s="2" t="s">
        <v>24</v>
      </c>
      <c r="C51" s="2" t="s">
        <v>229</v>
      </c>
      <c r="D51" s="2" t="s">
        <v>123</v>
      </c>
      <c r="E51" s="2" t="s">
        <v>343</v>
      </c>
      <c r="F51" s="15" t="n">
        <v>6.18</v>
      </c>
      <c r="G51" s="15" t="n">
        <v>6.18</v>
      </c>
      <c r="H51" s="15" t="n">
        <v>0</v>
      </c>
      <c r="I51" s="15" t="n">
        <v>0</v>
      </c>
      <c r="J51" s="15" t="n">
        <v>0</v>
      </c>
      <c r="K51" s="16" t="n">
        <f aca="false">IF(F51=0,"",G51/F51)</f>
        <v>1</v>
      </c>
    </row>
    <row r="52" customFormat="false" ht="15" hidden="false" customHeight="false" outlineLevel="0" collapsed="false">
      <c r="A52" s="2" t="s">
        <v>344</v>
      </c>
      <c r="B52" s="2" t="s">
        <v>24</v>
      </c>
      <c r="C52" s="2" t="s">
        <v>229</v>
      </c>
      <c r="D52" s="2" t="s">
        <v>345</v>
      </c>
      <c r="E52" s="2" t="s">
        <v>266</v>
      </c>
      <c r="F52" s="15" t="n">
        <v>3.43</v>
      </c>
      <c r="G52" s="15" t="n">
        <v>0.36</v>
      </c>
      <c r="H52" s="15" t="n">
        <v>3.07</v>
      </c>
      <c r="I52" s="15" t="n">
        <v>0</v>
      </c>
      <c r="J52" s="15" t="n">
        <v>0</v>
      </c>
      <c r="K52" s="16" t="n">
        <f aca="false">IF(F52=0,"",G52/F52)</f>
        <v>0.104956268221574</v>
      </c>
    </row>
    <row r="53" customFormat="false" ht="15" hidden="false" customHeight="false" outlineLevel="0" collapsed="false">
      <c r="A53" s="2" t="s">
        <v>346</v>
      </c>
      <c r="B53" s="2" t="s">
        <v>24</v>
      </c>
      <c r="C53" s="2" t="s">
        <v>229</v>
      </c>
      <c r="D53" s="2" t="s">
        <v>241</v>
      </c>
      <c r="E53" s="2" t="s">
        <v>241</v>
      </c>
      <c r="F53" s="15" t="n">
        <v>0</v>
      </c>
      <c r="G53" s="15" t="n">
        <v>0</v>
      </c>
      <c r="H53" s="15" t="n">
        <v>0</v>
      </c>
      <c r="I53" s="15" t="n">
        <v>0</v>
      </c>
      <c r="J53" s="15" t="n">
        <v>0</v>
      </c>
      <c r="K53" s="16" t="str">
        <f aca="false">IF(F53=0,"",G53/F53)</f>
        <v/>
      </c>
    </row>
    <row r="54" customFormat="false" ht="15" hidden="false" customHeight="false" outlineLevel="0" collapsed="false">
      <c r="A54" s="2" t="s">
        <v>347</v>
      </c>
      <c r="B54" s="2" t="s">
        <v>24</v>
      </c>
      <c r="C54" s="2" t="s">
        <v>229</v>
      </c>
      <c r="D54" s="2" t="s">
        <v>277</v>
      </c>
      <c r="E54" s="2" t="s">
        <v>47</v>
      </c>
      <c r="F54" s="15" t="n">
        <v>1.05</v>
      </c>
      <c r="G54" s="15" t="n">
        <v>1.05</v>
      </c>
      <c r="H54" s="15" t="n">
        <v>0</v>
      </c>
      <c r="I54" s="15" t="n">
        <v>0</v>
      </c>
      <c r="J54" s="15" t="n">
        <v>0</v>
      </c>
      <c r="K54" s="16" t="n">
        <f aca="false">IF(F54=0,"",G54/F54)</f>
        <v>1</v>
      </c>
    </row>
    <row r="55" customFormat="false" ht="15" hidden="false" customHeight="false" outlineLevel="0" collapsed="false">
      <c r="A55" s="2" t="s">
        <v>348</v>
      </c>
      <c r="B55" s="2" t="s">
        <v>22</v>
      </c>
      <c r="C55" s="2" t="s">
        <v>229</v>
      </c>
      <c r="D55" s="2" t="s">
        <v>349</v>
      </c>
      <c r="E55" s="2" t="s">
        <v>350</v>
      </c>
      <c r="F55" s="15" t="n">
        <v>12.02</v>
      </c>
      <c r="G55" s="15" t="n">
        <v>4.08</v>
      </c>
      <c r="H55" s="15" t="n">
        <v>7.93</v>
      </c>
      <c r="I55" s="15" t="n">
        <v>0</v>
      </c>
      <c r="J55" s="15" t="n">
        <v>0</v>
      </c>
      <c r="K55" s="16" t="n">
        <f aca="false">IF(F55=0,"",G55/F55)</f>
        <v>0.339434276206323</v>
      </c>
    </row>
    <row r="56" customFormat="false" ht="15" hidden="false" customHeight="false" outlineLevel="0" collapsed="false">
      <c r="A56" s="2" t="s">
        <v>351</v>
      </c>
      <c r="B56" s="2" t="s">
        <v>23</v>
      </c>
      <c r="C56" s="2" t="s">
        <v>229</v>
      </c>
      <c r="D56" s="2" t="s">
        <v>352</v>
      </c>
      <c r="E56" s="2" t="s">
        <v>352</v>
      </c>
      <c r="F56" s="15" t="n">
        <v>0</v>
      </c>
      <c r="G56" s="15" t="n">
        <v>0</v>
      </c>
      <c r="H56" s="15" t="n">
        <v>0</v>
      </c>
      <c r="I56" s="15" t="n">
        <v>0</v>
      </c>
      <c r="J56" s="15" t="n">
        <v>0</v>
      </c>
      <c r="K56" s="16" t="str">
        <f aca="false">IF(F56=0,"",G56/F56)</f>
        <v/>
      </c>
    </row>
    <row r="57" customFormat="false" ht="15" hidden="false" customHeight="false" outlineLevel="0" collapsed="false">
      <c r="A57" s="2" t="s">
        <v>353</v>
      </c>
      <c r="B57" s="2" t="s">
        <v>22</v>
      </c>
      <c r="C57" s="2" t="s">
        <v>252</v>
      </c>
      <c r="D57" s="2" t="s">
        <v>354</v>
      </c>
      <c r="E57" s="2" t="s">
        <v>355</v>
      </c>
      <c r="F57" s="15" t="n">
        <v>13.07</v>
      </c>
      <c r="G57" s="15" t="n">
        <v>6.54</v>
      </c>
      <c r="H57" s="15" t="n">
        <v>0</v>
      </c>
      <c r="I57" s="15" t="n">
        <v>0</v>
      </c>
      <c r="J57" s="15" t="n">
        <v>6.52</v>
      </c>
      <c r="K57" s="16" t="n">
        <f aca="false">IF(F57=0,"",G57/F57)</f>
        <v>0.500382555470543</v>
      </c>
    </row>
    <row r="58" customFormat="false" ht="15" hidden="false" customHeight="false" outlineLevel="0" collapsed="false">
      <c r="A58" s="2" t="s">
        <v>356</v>
      </c>
      <c r="B58" s="2" t="s">
        <v>22</v>
      </c>
      <c r="C58" s="2" t="s">
        <v>233</v>
      </c>
      <c r="D58" s="2" t="s">
        <v>272</v>
      </c>
      <c r="E58" s="2" t="s">
        <v>272</v>
      </c>
      <c r="F58" s="15" t="n">
        <v>0.3</v>
      </c>
      <c r="G58" s="15" t="n">
        <v>0</v>
      </c>
      <c r="H58" s="15" t="n">
        <v>0.3</v>
      </c>
      <c r="I58" s="15" t="n">
        <v>0</v>
      </c>
      <c r="J58" s="15" t="n">
        <v>0</v>
      </c>
      <c r="K58" s="16" t="n">
        <f aca="false">IF(F58=0,"",G58/F58)</f>
        <v>0</v>
      </c>
    </row>
    <row r="59" customFormat="false" ht="15" hidden="false" customHeight="false" outlineLevel="0" collapsed="false">
      <c r="A59" s="2" t="s">
        <v>357</v>
      </c>
      <c r="B59" s="2" t="s">
        <v>23</v>
      </c>
      <c r="C59" s="2" t="s">
        <v>252</v>
      </c>
      <c r="D59" s="2" t="s">
        <v>266</v>
      </c>
      <c r="E59" s="2" t="s">
        <v>241</v>
      </c>
      <c r="F59" s="15" t="n">
        <v>1.15</v>
      </c>
      <c r="G59" s="15" t="n">
        <v>1.15</v>
      </c>
      <c r="H59" s="15" t="n">
        <v>0</v>
      </c>
      <c r="I59" s="15" t="n">
        <v>0</v>
      </c>
      <c r="J59" s="15" t="n">
        <v>0</v>
      </c>
      <c r="K59" s="16" t="n">
        <f aca="false">IF(F59=0,"",G59/F59)</f>
        <v>1</v>
      </c>
    </row>
    <row r="60" customFormat="false" ht="15" hidden="false" customHeight="false" outlineLevel="0" collapsed="false">
      <c r="A60" s="2" t="s">
        <v>358</v>
      </c>
      <c r="B60" s="2" t="s">
        <v>24</v>
      </c>
      <c r="C60" s="2" t="s">
        <v>229</v>
      </c>
      <c r="D60" s="2" t="s">
        <v>341</v>
      </c>
      <c r="E60" s="2" t="s">
        <v>359</v>
      </c>
      <c r="F60" s="15" t="n">
        <v>2.04</v>
      </c>
      <c r="G60" s="15" t="n">
        <v>0.91</v>
      </c>
      <c r="H60" s="15" t="n">
        <v>1.13</v>
      </c>
      <c r="I60" s="15" t="n">
        <v>0</v>
      </c>
      <c r="J60" s="15" t="n">
        <v>0</v>
      </c>
      <c r="K60" s="16" t="n">
        <f aca="false">IF(F60=0,"",G60/F60)</f>
        <v>0.446078431372549</v>
      </c>
    </row>
    <row r="61" customFormat="false" ht="15" hidden="false" customHeight="false" outlineLevel="0" collapsed="false">
      <c r="A61" s="2" t="s">
        <v>360</v>
      </c>
      <c r="B61" s="2" t="s">
        <v>24</v>
      </c>
      <c r="C61" s="2" t="s">
        <v>252</v>
      </c>
      <c r="D61" s="2" t="s">
        <v>241</v>
      </c>
      <c r="E61" s="2" t="s">
        <v>341</v>
      </c>
      <c r="F61" s="15" t="n">
        <v>5</v>
      </c>
      <c r="G61" s="15" t="n">
        <v>1.49</v>
      </c>
      <c r="H61" s="15" t="n">
        <v>3.51</v>
      </c>
      <c r="I61" s="15" t="n">
        <v>0</v>
      </c>
      <c r="J61" s="15" t="n">
        <v>0</v>
      </c>
      <c r="K61" s="16" t="n">
        <f aca="false">IF(F61=0,"",G61/F61)</f>
        <v>0.298</v>
      </c>
    </row>
    <row r="62" customFormat="false" ht="15" hidden="false" customHeight="false" outlineLevel="0" collapsed="false">
      <c r="A62" s="2" t="s">
        <v>361</v>
      </c>
      <c r="B62" s="2" t="s">
        <v>24</v>
      </c>
      <c r="C62" s="2" t="s">
        <v>248</v>
      </c>
      <c r="D62" s="2" t="s">
        <v>241</v>
      </c>
      <c r="E62" s="2" t="s">
        <v>359</v>
      </c>
      <c r="F62" s="15" t="n">
        <v>7.08</v>
      </c>
      <c r="G62" s="15" t="n">
        <v>7.08</v>
      </c>
      <c r="H62" s="15" t="n">
        <v>0</v>
      </c>
      <c r="I62" s="15" t="n">
        <v>0</v>
      </c>
      <c r="J62" s="15" t="n">
        <v>0</v>
      </c>
      <c r="K62" s="16" t="n">
        <f aca="false">IF(F62=0,"",G62/F62)</f>
        <v>1</v>
      </c>
    </row>
    <row r="63" customFormat="false" ht="15" hidden="false" customHeight="false" outlineLevel="0" collapsed="false">
      <c r="A63" s="2" t="s">
        <v>362</v>
      </c>
      <c r="B63" s="2" t="s">
        <v>23</v>
      </c>
      <c r="C63" s="2" t="s">
        <v>229</v>
      </c>
      <c r="D63" s="2" t="s">
        <v>363</v>
      </c>
      <c r="E63" s="2" t="s">
        <v>359</v>
      </c>
      <c r="F63" s="15" t="n">
        <v>0.74</v>
      </c>
      <c r="G63" s="15" t="n">
        <v>0</v>
      </c>
      <c r="H63" s="15" t="n">
        <v>0</v>
      </c>
      <c r="I63" s="15" t="n">
        <v>0</v>
      </c>
      <c r="J63" s="15" t="n">
        <v>0.74</v>
      </c>
      <c r="K63" s="16" t="n">
        <f aca="false">IF(F63=0,"",G63/F63)</f>
        <v>0</v>
      </c>
    </row>
    <row r="64" customFormat="false" ht="15" hidden="false" customHeight="false" outlineLevel="0" collapsed="false">
      <c r="A64" s="2" t="s">
        <v>364</v>
      </c>
      <c r="B64" s="2" t="s">
        <v>24</v>
      </c>
      <c r="C64" s="2" t="s">
        <v>229</v>
      </c>
      <c r="D64" s="2" t="s">
        <v>341</v>
      </c>
      <c r="E64" s="2" t="s">
        <v>341</v>
      </c>
      <c r="F64" s="15" t="n">
        <v>0.15</v>
      </c>
      <c r="G64" s="15" t="n">
        <v>0.02</v>
      </c>
      <c r="H64" s="15" t="n">
        <v>0.13</v>
      </c>
      <c r="I64" s="15" t="n">
        <v>0</v>
      </c>
      <c r="J64" s="15" t="n">
        <v>0</v>
      </c>
      <c r="K64" s="16" t="n">
        <f aca="false">IF(F64=0,"",G64/F64)</f>
        <v>0.133333333333333</v>
      </c>
    </row>
    <row r="65" customFormat="false" ht="15" hidden="false" customHeight="false" outlineLevel="0" collapsed="false">
      <c r="A65" s="2" t="s">
        <v>365</v>
      </c>
      <c r="B65" s="2" t="s">
        <v>24</v>
      </c>
      <c r="C65" s="2" t="s">
        <v>248</v>
      </c>
      <c r="D65" s="2" t="s">
        <v>366</v>
      </c>
      <c r="E65" s="2" t="s">
        <v>312</v>
      </c>
      <c r="F65" s="15" t="n">
        <v>17.74</v>
      </c>
      <c r="G65" s="15" t="n">
        <v>0</v>
      </c>
      <c r="H65" s="15" t="n">
        <v>0</v>
      </c>
      <c r="I65" s="15" t="n">
        <v>0</v>
      </c>
      <c r="J65" s="15" t="n">
        <v>0</v>
      </c>
      <c r="K65" s="16" t="n">
        <f aca="false">IF(F65=0,"",G65/F65)</f>
        <v>0</v>
      </c>
    </row>
    <row r="66" customFormat="false" ht="15" hidden="false" customHeight="false" outlineLevel="0" collapsed="false">
      <c r="A66" s="2" t="s">
        <v>367</v>
      </c>
      <c r="B66" s="2" t="s">
        <v>24</v>
      </c>
      <c r="C66" s="2" t="s">
        <v>233</v>
      </c>
      <c r="D66" s="2" t="s">
        <v>368</v>
      </c>
      <c r="E66" s="2" t="s">
        <v>339</v>
      </c>
      <c r="F66" s="15" t="n">
        <v>9.18</v>
      </c>
      <c r="G66" s="15" t="n">
        <v>9.18</v>
      </c>
      <c r="H66" s="15" t="n">
        <v>0</v>
      </c>
      <c r="I66" s="15" t="n">
        <v>0</v>
      </c>
      <c r="J66" s="15" t="n">
        <v>0</v>
      </c>
      <c r="K66" s="16" t="n">
        <f aca="false">IF(F66=0,"",G66/F66)</f>
        <v>1</v>
      </c>
    </row>
    <row r="67" customFormat="false" ht="15" hidden="false" customHeight="false" outlineLevel="0" collapsed="false">
      <c r="A67" s="2" t="s">
        <v>369</v>
      </c>
      <c r="B67" s="2" t="s">
        <v>24</v>
      </c>
      <c r="C67" s="2" t="s">
        <v>237</v>
      </c>
      <c r="D67" s="2" t="s">
        <v>65</v>
      </c>
      <c r="E67" s="2" t="s">
        <v>370</v>
      </c>
      <c r="F67" s="15" t="n">
        <v>228.34</v>
      </c>
      <c r="G67" s="15" t="n">
        <v>2.26</v>
      </c>
      <c r="H67" s="15" t="n">
        <v>0</v>
      </c>
      <c r="I67" s="15" t="n">
        <v>0</v>
      </c>
      <c r="J67" s="15" t="n">
        <v>226.08</v>
      </c>
      <c r="K67" s="16" t="n">
        <f aca="false">IF(F67=0,"",G67/F67)</f>
        <v>0.00989752124025576</v>
      </c>
    </row>
    <row r="68" customFormat="false" ht="15" hidden="false" customHeight="false" outlineLevel="0" collapsed="false">
      <c r="A68" s="2" t="s">
        <v>371</v>
      </c>
      <c r="B68" s="2" t="s">
        <v>24</v>
      </c>
      <c r="C68" s="2" t="s">
        <v>229</v>
      </c>
      <c r="D68" s="2" t="s">
        <v>343</v>
      </c>
      <c r="E68" s="2" t="s">
        <v>290</v>
      </c>
      <c r="F68" s="15" t="n">
        <v>9.95</v>
      </c>
      <c r="G68" s="15" t="n">
        <v>7.19</v>
      </c>
      <c r="H68" s="15" t="n">
        <v>2.76</v>
      </c>
      <c r="I68" s="15" t="n">
        <v>0</v>
      </c>
      <c r="J68" s="15" t="n">
        <v>0</v>
      </c>
      <c r="K68" s="16" t="n">
        <f aca="false">IF(F68=0,"",G68/F68)</f>
        <v>0.722613065326633</v>
      </c>
    </row>
    <row r="69" customFormat="false" ht="15" hidden="false" customHeight="false" outlineLevel="0" collapsed="false">
      <c r="A69" s="2" t="s">
        <v>372</v>
      </c>
      <c r="B69" s="2" t="s">
        <v>23</v>
      </c>
      <c r="C69" s="2" t="s">
        <v>229</v>
      </c>
      <c r="D69" s="2" t="s">
        <v>373</v>
      </c>
      <c r="E69" s="2" t="s">
        <v>355</v>
      </c>
      <c r="F69" s="15" t="n">
        <v>45.08</v>
      </c>
      <c r="G69" s="15" t="n">
        <v>21.16</v>
      </c>
      <c r="H69" s="15" t="n">
        <v>4.02</v>
      </c>
      <c r="I69" s="15" t="n">
        <v>0</v>
      </c>
      <c r="J69" s="15" t="n">
        <v>19.9</v>
      </c>
      <c r="K69" s="16" t="n">
        <f aca="false">IF(F69=0,"",G69/F69)</f>
        <v>0.469387755102041</v>
      </c>
    </row>
    <row r="70" customFormat="false" ht="15" hidden="false" customHeight="false" outlineLevel="0" collapsed="false">
      <c r="A70" s="2" t="s">
        <v>374</v>
      </c>
      <c r="B70" s="2" t="s">
        <v>24</v>
      </c>
      <c r="C70" s="2" t="s">
        <v>229</v>
      </c>
      <c r="D70" s="2" t="s">
        <v>355</v>
      </c>
      <c r="E70" s="2" t="s">
        <v>375</v>
      </c>
      <c r="F70" s="15" t="n">
        <v>1.09</v>
      </c>
      <c r="G70" s="15" t="n">
        <v>0</v>
      </c>
      <c r="H70" s="15" t="n">
        <v>1.08</v>
      </c>
      <c r="I70" s="15" t="n">
        <v>0</v>
      </c>
      <c r="J70" s="15" t="n">
        <v>0</v>
      </c>
      <c r="K70" s="16" t="n">
        <f aca="false">IF(F70=0,"",G70/F70)</f>
        <v>0</v>
      </c>
    </row>
    <row r="71" customFormat="false" ht="15" hidden="false" customHeight="false" outlineLevel="0" collapsed="false">
      <c r="A71" s="2" t="s">
        <v>376</v>
      </c>
      <c r="B71" s="2" t="s">
        <v>24</v>
      </c>
      <c r="C71" s="2" t="s">
        <v>248</v>
      </c>
      <c r="D71" s="2" t="s">
        <v>129</v>
      </c>
      <c r="E71" s="2" t="s">
        <v>131</v>
      </c>
      <c r="F71" s="15" t="n">
        <v>4.12</v>
      </c>
      <c r="G71" s="15" t="n">
        <v>0.19</v>
      </c>
      <c r="H71" s="15" t="n">
        <v>3.93</v>
      </c>
      <c r="I71" s="15" t="n">
        <v>0</v>
      </c>
      <c r="J71" s="15" t="n">
        <v>0</v>
      </c>
      <c r="K71" s="16" t="n">
        <f aca="false">IF(F71=0,"",G71/F71)</f>
        <v>0.0461165048543689</v>
      </c>
    </row>
    <row r="72" customFormat="false" ht="15" hidden="false" customHeight="false" outlineLevel="0" collapsed="false">
      <c r="A72" s="2" t="s">
        <v>377</v>
      </c>
      <c r="B72" s="2" t="s">
        <v>22</v>
      </c>
      <c r="C72" s="2" t="s">
        <v>229</v>
      </c>
      <c r="D72" s="2" t="s">
        <v>378</v>
      </c>
      <c r="E72" s="2" t="s">
        <v>129</v>
      </c>
      <c r="F72" s="15" t="n">
        <v>24.26</v>
      </c>
      <c r="G72" s="15" t="n">
        <v>22.66</v>
      </c>
      <c r="H72" s="15" t="n">
        <v>0</v>
      </c>
      <c r="I72" s="15" t="n">
        <v>0</v>
      </c>
      <c r="J72" s="15" t="n">
        <v>1.6</v>
      </c>
      <c r="K72" s="16" t="n">
        <f aca="false">IF(F72=0,"",G72/F72)</f>
        <v>0.934047815333883</v>
      </c>
    </row>
    <row r="73" customFormat="false" ht="15" hidden="false" customHeight="false" outlineLevel="0" collapsed="false">
      <c r="A73" s="2" t="s">
        <v>379</v>
      </c>
      <c r="B73" s="2" t="s">
        <v>24</v>
      </c>
      <c r="C73" s="2" t="s">
        <v>248</v>
      </c>
      <c r="D73" s="2" t="s">
        <v>380</v>
      </c>
      <c r="E73" s="2" t="s">
        <v>381</v>
      </c>
      <c r="F73" s="15" t="n">
        <v>2.7</v>
      </c>
      <c r="G73" s="15" t="n">
        <v>2.7</v>
      </c>
      <c r="H73" s="15" t="n">
        <v>0</v>
      </c>
      <c r="I73" s="15" t="n">
        <v>0</v>
      </c>
      <c r="J73" s="15" t="n">
        <v>0</v>
      </c>
      <c r="K73" s="16" t="n">
        <f aca="false">IF(F73=0,"",G73/F73)</f>
        <v>1</v>
      </c>
    </row>
    <row r="74" customFormat="false" ht="15" hidden="false" customHeight="false" outlineLevel="0" collapsed="false">
      <c r="A74" s="2" t="s">
        <v>382</v>
      </c>
      <c r="B74" s="2" t="s">
        <v>24</v>
      </c>
      <c r="C74" s="2" t="s">
        <v>233</v>
      </c>
      <c r="D74" s="2" t="s">
        <v>383</v>
      </c>
      <c r="E74" s="2" t="s">
        <v>383</v>
      </c>
      <c r="F74" s="15" t="n">
        <v>0.02</v>
      </c>
      <c r="G74" s="15" t="n">
        <v>0.02</v>
      </c>
      <c r="H74" s="15" t="n">
        <v>0</v>
      </c>
      <c r="I74" s="15" t="n">
        <v>0</v>
      </c>
      <c r="J74" s="15" t="n">
        <v>0</v>
      </c>
      <c r="K74" s="16" t="n">
        <f aca="false">IF(F74=0,"",G74/F74)</f>
        <v>1</v>
      </c>
    </row>
    <row r="75" customFormat="false" ht="15" hidden="false" customHeight="false" outlineLevel="0" collapsed="false">
      <c r="A75" s="2" t="s">
        <v>384</v>
      </c>
      <c r="B75" s="2" t="s">
        <v>22</v>
      </c>
      <c r="C75" s="2" t="s">
        <v>329</v>
      </c>
      <c r="D75" s="2" t="s">
        <v>53</v>
      </c>
      <c r="E75" s="2" t="s">
        <v>385</v>
      </c>
      <c r="F75" s="15" t="n">
        <v>12.68</v>
      </c>
      <c r="G75" s="15" t="n">
        <v>5.96</v>
      </c>
      <c r="H75" s="15" t="n">
        <v>6.72</v>
      </c>
      <c r="I75" s="15" t="n">
        <v>0</v>
      </c>
      <c r="J75" s="15" t="n">
        <v>0</v>
      </c>
      <c r="K75" s="16" t="n">
        <f aca="false">IF(F75=0,"",G75/F75)</f>
        <v>0.470031545741325</v>
      </c>
    </row>
    <row r="76" customFormat="false" ht="15" hidden="false" customHeight="false" outlineLevel="0" collapsed="false">
      <c r="A76" s="2" t="s">
        <v>386</v>
      </c>
      <c r="B76" s="2" t="s">
        <v>24</v>
      </c>
      <c r="C76" s="2" t="s">
        <v>229</v>
      </c>
      <c r="D76" s="2" t="s">
        <v>387</v>
      </c>
      <c r="E76" s="2" t="s">
        <v>66</v>
      </c>
      <c r="F76" s="15" t="n">
        <v>2.55</v>
      </c>
      <c r="G76" s="15" t="n">
        <v>1.19</v>
      </c>
      <c r="H76" s="15" t="n">
        <v>1.36</v>
      </c>
      <c r="I76" s="15" t="n">
        <v>0</v>
      </c>
      <c r="J76" s="15" t="n">
        <v>0</v>
      </c>
      <c r="K76" s="16" t="n">
        <f aca="false">IF(F76=0,"",G76/F76)</f>
        <v>0.466666666666667</v>
      </c>
    </row>
    <row r="77" customFormat="false" ht="15" hidden="false" customHeight="false" outlineLevel="0" collapsed="false">
      <c r="A77" s="2" t="s">
        <v>388</v>
      </c>
      <c r="B77" s="2" t="s">
        <v>24</v>
      </c>
      <c r="C77" s="2" t="s">
        <v>252</v>
      </c>
      <c r="D77" s="2" t="s">
        <v>389</v>
      </c>
      <c r="E77" s="2" t="s">
        <v>322</v>
      </c>
      <c r="F77" s="15" t="n">
        <v>0.06</v>
      </c>
      <c r="G77" s="15" t="n">
        <v>0.01</v>
      </c>
      <c r="H77" s="15" t="n">
        <v>0.04</v>
      </c>
      <c r="I77" s="15" t="n">
        <v>0</v>
      </c>
      <c r="J77" s="15" t="n">
        <v>0</v>
      </c>
      <c r="K77" s="16" t="n">
        <f aca="false">IF(F77=0,"",G77/F77)</f>
        <v>0.166666666666667</v>
      </c>
    </row>
    <row r="78" customFormat="false" ht="15" hidden="false" customHeight="false" outlineLevel="0" collapsed="false">
      <c r="A78" s="2" t="s">
        <v>390</v>
      </c>
      <c r="B78" s="2" t="s">
        <v>24</v>
      </c>
      <c r="C78" s="2" t="s">
        <v>229</v>
      </c>
      <c r="D78" s="2" t="s">
        <v>322</v>
      </c>
      <c r="E78" s="2" t="s">
        <v>131</v>
      </c>
      <c r="F78" s="15" t="n">
        <v>13.16</v>
      </c>
      <c r="G78" s="15" t="n">
        <v>13.15</v>
      </c>
      <c r="H78" s="15" t="n">
        <v>0.01</v>
      </c>
      <c r="I78" s="15" t="n">
        <v>0</v>
      </c>
      <c r="J78" s="15" t="n">
        <v>0</v>
      </c>
      <c r="K78" s="16" t="n">
        <f aca="false">IF(F78=0,"",G78/F78)</f>
        <v>0.999240121580547</v>
      </c>
    </row>
    <row r="79" customFormat="false" ht="15" hidden="false" customHeight="false" outlineLevel="0" collapsed="false">
      <c r="A79" s="2" t="s">
        <v>391</v>
      </c>
      <c r="B79" s="2" t="s">
        <v>22</v>
      </c>
      <c r="C79" s="2" t="s">
        <v>248</v>
      </c>
      <c r="D79" s="2" t="s">
        <v>389</v>
      </c>
      <c r="E79" s="2" t="s">
        <v>375</v>
      </c>
      <c r="F79" s="15" t="n">
        <v>7.91</v>
      </c>
      <c r="G79" s="15" t="n">
        <v>0.99</v>
      </c>
      <c r="H79" s="15" t="n">
        <v>6.92</v>
      </c>
      <c r="I79" s="15" t="n">
        <v>0</v>
      </c>
      <c r="J79" s="15" t="n">
        <v>0</v>
      </c>
      <c r="K79" s="16" t="n">
        <f aca="false">IF(F79=0,"",G79/F79)</f>
        <v>0.125158027812895</v>
      </c>
    </row>
    <row r="80" customFormat="false" ht="15" hidden="false" customHeight="false" outlineLevel="0" collapsed="false">
      <c r="A80" s="2" t="s">
        <v>392</v>
      </c>
      <c r="B80" s="2" t="s">
        <v>24</v>
      </c>
      <c r="C80" s="2" t="s">
        <v>237</v>
      </c>
      <c r="D80" s="2" t="s">
        <v>322</v>
      </c>
      <c r="E80" s="2" t="s">
        <v>355</v>
      </c>
      <c r="F80" s="15" t="n">
        <v>6.29</v>
      </c>
      <c r="G80" s="15" t="n">
        <v>6.29</v>
      </c>
      <c r="H80" s="15" t="n">
        <v>0</v>
      </c>
      <c r="I80" s="15" t="n">
        <v>0</v>
      </c>
      <c r="J80" s="15" t="n">
        <v>0</v>
      </c>
      <c r="K80" s="16" t="n">
        <f aca="false">IF(F80=0,"",G80/F80)</f>
        <v>1</v>
      </c>
    </row>
    <row r="81" customFormat="false" ht="15" hidden="false" customHeight="false" outlineLevel="0" collapsed="false">
      <c r="A81" s="2" t="s">
        <v>393</v>
      </c>
      <c r="B81" s="2" t="s">
        <v>24</v>
      </c>
      <c r="C81" s="2" t="s">
        <v>233</v>
      </c>
      <c r="D81" s="2" t="s">
        <v>394</v>
      </c>
      <c r="E81" s="2" t="s">
        <v>394</v>
      </c>
      <c r="F81" s="15" t="n">
        <v>0.55</v>
      </c>
      <c r="G81" s="15" t="n">
        <v>0.55</v>
      </c>
      <c r="H81" s="15" t="n">
        <v>0</v>
      </c>
      <c r="I81" s="15" t="n">
        <v>0</v>
      </c>
      <c r="J81" s="15" t="n">
        <v>0</v>
      </c>
      <c r="K81" s="16" t="n">
        <f aca="false">IF(F81=0,"",G81/F81)</f>
        <v>1</v>
      </c>
    </row>
    <row r="82" customFormat="false" ht="15" hidden="false" customHeight="false" outlineLevel="0" collapsed="false">
      <c r="A82" s="2" t="s">
        <v>395</v>
      </c>
      <c r="B82" s="2" t="s">
        <v>24</v>
      </c>
      <c r="C82" s="2" t="s">
        <v>252</v>
      </c>
      <c r="D82" s="2" t="s">
        <v>396</v>
      </c>
      <c r="E82" s="2" t="s">
        <v>397</v>
      </c>
      <c r="F82" s="15" t="n">
        <v>7.18</v>
      </c>
      <c r="G82" s="15" t="n">
        <v>7.18</v>
      </c>
      <c r="H82" s="15" t="n">
        <v>0</v>
      </c>
      <c r="I82" s="15" t="n">
        <v>0</v>
      </c>
      <c r="J82" s="15" t="n">
        <v>0</v>
      </c>
      <c r="K82" s="16" t="n">
        <f aca="false">IF(F82=0,"",G82/F82)</f>
        <v>1</v>
      </c>
    </row>
    <row r="83" customFormat="false" ht="15" hidden="false" customHeight="false" outlineLevel="0" collapsed="false">
      <c r="A83" s="2" t="s">
        <v>398</v>
      </c>
      <c r="B83" s="2" t="s">
        <v>22</v>
      </c>
      <c r="C83" s="2" t="s">
        <v>233</v>
      </c>
      <c r="D83" s="2" t="s">
        <v>399</v>
      </c>
      <c r="E83" s="2" t="s">
        <v>400</v>
      </c>
      <c r="F83" s="15" t="n">
        <v>3.01</v>
      </c>
      <c r="G83" s="15" t="n">
        <v>0.02</v>
      </c>
      <c r="H83" s="15" t="n">
        <v>3</v>
      </c>
      <c r="I83" s="15" t="n">
        <v>0</v>
      </c>
      <c r="J83" s="15" t="n">
        <v>0</v>
      </c>
      <c r="K83" s="16" t="n">
        <f aca="false">IF(F83=0,"",G83/F83)</f>
        <v>0.00664451827242525</v>
      </c>
    </row>
    <row r="84" customFormat="false" ht="15" hidden="false" customHeight="false" outlineLevel="0" collapsed="false">
      <c r="A84" s="2" t="s">
        <v>401</v>
      </c>
      <c r="B84" s="2" t="s">
        <v>22</v>
      </c>
      <c r="C84" s="2" t="s">
        <v>229</v>
      </c>
      <c r="D84" s="2" t="s">
        <v>57</v>
      </c>
      <c r="E84" s="2" t="s">
        <v>131</v>
      </c>
      <c r="F84" s="15" t="n">
        <v>2.12</v>
      </c>
      <c r="G84" s="15" t="n">
        <v>0</v>
      </c>
      <c r="H84" s="15" t="n">
        <v>2.12</v>
      </c>
      <c r="I84" s="15" t="n">
        <v>0</v>
      </c>
      <c r="J84" s="15" t="n">
        <v>0</v>
      </c>
      <c r="K84" s="16" t="n">
        <f aca="false">IF(F84=0,"",G84/F84)</f>
        <v>0</v>
      </c>
    </row>
    <row r="85" customFormat="false" ht="15" hidden="false" customHeight="false" outlineLevel="0" collapsed="false">
      <c r="A85" s="2" t="s">
        <v>402</v>
      </c>
      <c r="B85" s="2" t="s">
        <v>24</v>
      </c>
      <c r="C85" s="2" t="s">
        <v>229</v>
      </c>
      <c r="D85" s="2" t="s">
        <v>403</v>
      </c>
      <c r="E85" s="2" t="s">
        <v>404</v>
      </c>
      <c r="F85" s="15" t="n">
        <v>19.13</v>
      </c>
      <c r="G85" s="15" t="n">
        <v>19.13</v>
      </c>
      <c r="H85" s="15" t="n">
        <v>0</v>
      </c>
      <c r="I85" s="15" t="n">
        <v>0</v>
      </c>
      <c r="J85" s="15" t="n">
        <v>0</v>
      </c>
      <c r="K85" s="16" t="n">
        <f aca="false">IF(F85=0,"",G85/F85)</f>
        <v>1</v>
      </c>
    </row>
    <row r="86" customFormat="false" ht="15" hidden="false" customHeight="false" outlineLevel="0" collapsed="false">
      <c r="A86" s="2" t="s">
        <v>405</v>
      </c>
      <c r="B86" s="2" t="s">
        <v>24</v>
      </c>
      <c r="C86" s="2" t="s">
        <v>229</v>
      </c>
      <c r="D86" s="2" t="s">
        <v>399</v>
      </c>
      <c r="E86" s="2" t="s">
        <v>406</v>
      </c>
      <c r="F86" s="15" t="n">
        <v>5.84</v>
      </c>
      <c r="G86" s="15" t="n">
        <v>5.84</v>
      </c>
      <c r="H86" s="15" t="n">
        <v>0</v>
      </c>
      <c r="I86" s="15" t="n">
        <v>0</v>
      </c>
      <c r="J86" s="15" t="n">
        <v>0</v>
      </c>
      <c r="K86" s="16" t="n">
        <f aca="false">IF(F86=0,"",G86/F86)</f>
        <v>1</v>
      </c>
    </row>
    <row r="87" customFormat="false" ht="15" hidden="false" customHeight="false" outlineLevel="0" collapsed="false">
      <c r="A87" s="2" t="s">
        <v>407</v>
      </c>
      <c r="B87" s="2" t="s">
        <v>22</v>
      </c>
      <c r="C87" s="2" t="s">
        <v>229</v>
      </c>
      <c r="D87" s="2" t="s">
        <v>403</v>
      </c>
      <c r="E87" s="2" t="s">
        <v>408</v>
      </c>
      <c r="F87" s="15" t="n">
        <v>17.19</v>
      </c>
      <c r="G87" s="15" t="n">
        <v>0.02</v>
      </c>
      <c r="H87" s="15" t="n">
        <v>17.17</v>
      </c>
      <c r="I87" s="15" t="n">
        <v>0</v>
      </c>
      <c r="J87" s="15" t="n">
        <v>0</v>
      </c>
      <c r="K87" s="16" t="n">
        <f aca="false">IF(F87=0,"",G87/F87)</f>
        <v>0.00116346713205352</v>
      </c>
    </row>
    <row r="88" customFormat="false" ht="15" hidden="false" customHeight="false" outlineLevel="0" collapsed="false">
      <c r="A88" s="2" t="s">
        <v>409</v>
      </c>
      <c r="B88" s="2" t="s">
        <v>24</v>
      </c>
      <c r="C88" s="2" t="s">
        <v>229</v>
      </c>
      <c r="D88" s="2" t="s">
        <v>410</v>
      </c>
      <c r="E88" s="2" t="s">
        <v>411</v>
      </c>
      <c r="F88" s="15" t="n">
        <v>12.3</v>
      </c>
      <c r="G88" s="15" t="n">
        <v>0.11</v>
      </c>
      <c r="H88" s="15" t="n">
        <v>12.19</v>
      </c>
      <c r="I88" s="15" t="n">
        <v>0</v>
      </c>
      <c r="J88" s="15" t="n">
        <v>0</v>
      </c>
      <c r="K88" s="16" t="n">
        <f aca="false">IF(F88=0,"",G88/F88)</f>
        <v>0.00894308943089431</v>
      </c>
    </row>
    <row r="89" customFormat="false" ht="15" hidden="false" customHeight="false" outlineLevel="0" collapsed="false">
      <c r="A89" s="2" t="s">
        <v>412</v>
      </c>
      <c r="B89" s="2" t="s">
        <v>22</v>
      </c>
      <c r="C89" s="2" t="s">
        <v>252</v>
      </c>
      <c r="D89" s="2" t="s">
        <v>413</v>
      </c>
      <c r="E89" s="2" t="s">
        <v>414</v>
      </c>
      <c r="F89" s="15" t="n">
        <v>1.03</v>
      </c>
      <c r="G89" s="15" t="n">
        <v>0.94</v>
      </c>
      <c r="H89" s="15" t="n">
        <v>0.08</v>
      </c>
      <c r="I89" s="15" t="n">
        <v>0</v>
      </c>
      <c r="J89" s="15" t="n">
        <v>0</v>
      </c>
      <c r="K89" s="16" t="n">
        <f aca="false">IF(F89=0,"",G89/F89)</f>
        <v>0.912621359223301</v>
      </c>
    </row>
    <row r="90" customFormat="false" ht="15" hidden="false" customHeight="false" outlineLevel="0" collapsed="false">
      <c r="A90" s="2" t="s">
        <v>415</v>
      </c>
      <c r="B90" s="2" t="s">
        <v>24</v>
      </c>
      <c r="C90" s="2" t="s">
        <v>229</v>
      </c>
      <c r="D90" s="2" t="s">
        <v>416</v>
      </c>
      <c r="E90" s="2" t="s">
        <v>76</v>
      </c>
      <c r="F90" s="15" t="n">
        <v>6.97</v>
      </c>
      <c r="G90" s="15" t="n">
        <v>0.8</v>
      </c>
      <c r="H90" s="15" t="n">
        <v>6.17</v>
      </c>
      <c r="I90" s="15" t="n">
        <v>0</v>
      </c>
      <c r="J90" s="15" t="n">
        <v>0</v>
      </c>
      <c r="K90" s="16" t="n">
        <f aca="false">IF(F90=0,"",G90/F90)</f>
        <v>0.114777618364419</v>
      </c>
    </row>
    <row r="91" customFormat="false" ht="15" hidden="false" customHeight="false" outlineLevel="0" collapsed="false">
      <c r="A91" s="2" t="s">
        <v>417</v>
      </c>
      <c r="B91" s="2" t="s">
        <v>24</v>
      </c>
      <c r="C91" s="2" t="s">
        <v>237</v>
      </c>
      <c r="D91" s="2" t="s">
        <v>397</v>
      </c>
      <c r="E91" s="2" t="s">
        <v>137</v>
      </c>
      <c r="F91" s="15" t="n">
        <v>5.79</v>
      </c>
      <c r="G91" s="15" t="n">
        <v>0</v>
      </c>
      <c r="H91" s="15" t="n">
        <v>5.79</v>
      </c>
      <c r="I91" s="15" t="n">
        <v>0</v>
      </c>
      <c r="J91" s="15" t="n">
        <v>0</v>
      </c>
      <c r="K91" s="16" t="n">
        <f aca="false">IF(F91=0,"",G91/F91)</f>
        <v>0</v>
      </c>
    </row>
    <row r="92" customFormat="false" ht="15" hidden="false" customHeight="false" outlineLevel="0" collapsed="false">
      <c r="A92" s="2" t="s">
        <v>418</v>
      </c>
      <c r="B92" s="2" t="s">
        <v>22</v>
      </c>
      <c r="C92" s="2" t="s">
        <v>229</v>
      </c>
      <c r="D92" s="2" t="s">
        <v>419</v>
      </c>
      <c r="E92" s="2" t="s">
        <v>420</v>
      </c>
      <c r="F92" s="15" t="n">
        <v>0.78</v>
      </c>
      <c r="G92" s="15" t="n">
        <v>0</v>
      </c>
      <c r="H92" s="15" t="n">
        <v>0.78</v>
      </c>
      <c r="I92" s="15" t="n">
        <v>0</v>
      </c>
      <c r="J92" s="15" t="n">
        <v>0</v>
      </c>
      <c r="K92" s="16" t="n">
        <f aca="false">IF(F92=0,"",G92/F92)</f>
        <v>0</v>
      </c>
    </row>
    <row r="93" customFormat="false" ht="15" hidden="false" customHeight="false" outlineLevel="0" collapsed="false">
      <c r="A93" s="2" t="s">
        <v>421</v>
      </c>
      <c r="B93" s="2" t="s">
        <v>24</v>
      </c>
      <c r="C93" s="2" t="s">
        <v>237</v>
      </c>
      <c r="D93" s="2" t="s">
        <v>419</v>
      </c>
      <c r="E93" s="2" t="s">
        <v>408</v>
      </c>
      <c r="F93" s="15" t="n">
        <v>5.88</v>
      </c>
      <c r="G93" s="15" t="n">
        <v>0.01</v>
      </c>
      <c r="H93" s="15" t="n">
        <v>5.87</v>
      </c>
      <c r="I93" s="15" t="n">
        <v>0</v>
      </c>
      <c r="J93" s="15" t="n">
        <v>0</v>
      </c>
      <c r="K93" s="16" t="n">
        <f aca="false">IF(F93=0,"",G93/F93)</f>
        <v>0.00170068027210884</v>
      </c>
    </row>
    <row r="94" customFormat="false" ht="15" hidden="false" customHeight="false" outlineLevel="0" collapsed="false">
      <c r="A94" s="2" t="s">
        <v>422</v>
      </c>
      <c r="B94" s="2" t="s">
        <v>24</v>
      </c>
      <c r="C94" s="2" t="s">
        <v>229</v>
      </c>
      <c r="D94" s="2" t="s">
        <v>397</v>
      </c>
      <c r="E94" s="2" t="s">
        <v>423</v>
      </c>
      <c r="F94" s="15" t="n">
        <v>132.83</v>
      </c>
      <c r="G94" s="15" t="n">
        <v>6.65</v>
      </c>
      <c r="H94" s="15" t="n">
        <v>0</v>
      </c>
      <c r="I94" s="15" t="n">
        <v>0</v>
      </c>
      <c r="J94" s="15" t="n">
        <v>122.54</v>
      </c>
      <c r="K94" s="16" t="n">
        <f aca="false">IF(F94=0,"",G94/F94)</f>
        <v>0.0500639915681698</v>
      </c>
    </row>
    <row r="95" customFormat="false" ht="15" hidden="false" customHeight="false" outlineLevel="0" collapsed="false">
      <c r="A95" s="2" t="s">
        <v>424</v>
      </c>
      <c r="B95" s="2" t="s">
        <v>24</v>
      </c>
      <c r="C95" s="2" t="s">
        <v>248</v>
      </c>
      <c r="D95" s="2" t="s">
        <v>404</v>
      </c>
      <c r="E95" s="2" t="s">
        <v>425</v>
      </c>
      <c r="F95" s="15" t="n">
        <v>210.14</v>
      </c>
      <c r="G95" s="15" t="n">
        <v>0.01</v>
      </c>
      <c r="H95" s="15" t="n">
        <v>210.13</v>
      </c>
      <c r="I95" s="15" t="n">
        <v>0</v>
      </c>
      <c r="J95" s="15" t="n">
        <v>0</v>
      </c>
      <c r="K95" s="16" t="n">
        <f aca="false">IF(F95=0,"",G95/F95)</f>
        <v>4.75873227372228E-005</v>
      </c>
    </row>
    <row r="96" customFormat="false" ht="15" hidden="false" customHeight="false" outlineLevel="0" collapsed="false">
      <c r="A96" s="2" t="s">
        <v>426</v>
      </c>
      <c r="B96" s="2" t="s">
        <v>22</v>
      </c>
      <c r="C96" s="2" t="s">
        <v>248</v>
      </c>
      <c r="D96" s="2" t="s">
        <v>134</v>
      </c>
      <c r="E96" s="2" t="s">
        <v>61</v>
      </c>
      <c r="F96" s="15" t="n">
        <v>1.15</v>
      </c>
      <c r="G96" s="15" t="n">
        <v>0.07</v>
      </c>
      <c r="H96" s="15" t="n">
        <v>1.08</v>
      </c>
      <c r="I96" s="15" t="n">
        <v>0</v>
      </c>
      <c r="J96" s="15" t="n">
        <v>0</v>
      </c>
      <c r="K96" s="16" t="n">
        <f aca="false">IF(F96=0,"",G96/F96)</f>
        <v>0.0608695652173913</v>
      </c>
    </row>
    <row r="97" customFormat="false" ht="15" hidden="false" customHeight="false" outlineLevel="0" collapsed="false">
      <c r="A97" s="2" t="s">
        <v>427</v>
      </c>
      <c r="B97" s="2" t="s">
        <v>24</v>
      </c>
      <c r="C97" s="2" t="s">
        <v>229</v>
      </c>
      <c r="D97" s="2" t="s">
        <v>428</v>
      </c>
      <c r="E97" s="2" t="s">
        <v>429</v>
      </c>
      <c r="F97" s="15" t="n">
        <v>56.88</v>
      </c>
      <c r="G97" s="15" t="n">
        <v>11.75</v>
      </c>
      <c r="H97" s="15" t="n">
        <v>1</v>
      </c>
      <c r="I97" s="15" t="n">
        <v>0</v>
      </c>
      <c r="J97" s="15" t="n">
        <v>44.13</v>
      </c>
      <c r="K97" s="16" t="n">
        <f aca="false">IF(F97=0,"",G97/F97)</f>
        <v>0.206575246132208</v>
      </c>
    </row>
    <row r="98" customFormat="false" ht="15" hidden="false" customHeight="false" outlineLevel="0" collapsed="false">
      <c r="A98" s="2" t="s">
        <v>430</v>
      </c>
      <c r="B98" s="2" t="s">
        <v>24</v>
      </c>
      <c r="C98" s="2" t="s">
        <v>248</v>
      </c>
      <c r="D98" s="2" t="s">
        <v>88</v>
      </c>
      <c r="E98" s="2" t="s">
        <v>88</v>
      </c>
      <c r="F98" s="15" t="n">
        <v>0.54</v>
      </c>
      <c r="G98" s="15" t="n">
        <v>0.06</v>
      </c>
      <c r="H98" s="15" t="n">
        <v>0.48</v>
      </c>
      <c r="I98" s="15" t="n">
        <v>0</v>
      </c>
      <c r="J98" s="15" t="n">
        <v>0</v>
      </c>
      <c r="K98" s="16" t="n">
        <f aca="false">IF(F98=0,"",G98/F98)</f>
        <v>0.111111111111111</v>
      </c>
    </row>
    <row r="99" customFormat="false" ht="15" hidden="false" customHeight="false" outlineLevel="0" collapsed="false">
      <c r="A99" s="2" t="s">
        <v>431</v>
      </c>
      <c r="B99" s="2" t="s">
        <v>24</v>
      </c>
      <c r="C99" s="2" t="s">
        <v>229</v>
      </c>
      <c r="D99" s="2" t="s">
        <v>432</v>
      </c>
      <c r="E99" s="2" t="s">
        <v>433</v>
      </c>
      <c r="F99" s="15" t="n">
        <v>23.32</v>
      </c>
      <c r="G99" s="15" t="n">
        <v>6.09</v>
      </c>
      <c r="H99" s="15" t="n">
        <v>17.23</v>
      </c>
      <c r="I99" s="15" t="n">
        <v>0</v>
      </c>
      <c r="J99" s="15" t="n">
        <v>0</v>
      </c>
      <c r="K99" s="16" t="n">
        <f aca="false">IF(F99=0,"",G99/F99)</f>
        <v>0.26114922813036</v>
      </c>
    </row>
    <row r="100" customFormat="false" ht="15" hidden="false" customHeight="false" outlineLevel="0" collapsed="false">
      <c r="A100" s="2" t="s">
        <v>434</v>
      </c>
      <c r="B100" s="2" t="s">
        <v>22</v>
      </c>
      <c r="C100" s="2" t="s">
        <v>252</v>
      </c>
      <c r="D100" s="2" t="s">
        <v>435</v>
      </c>
      <c r="E100" s="2" t="s">
        <v>435</v>
      </c>
      <c r="F100" s="15" t="n">
        <v>0.12</v>
      </c>
      <c r="G100" s="15" t="n">
        <v>0</v>
      </c>
      <c r="H100" s="15" t="n">
        <v>0.12</v>
      </c>
      <c r="I100" s="15" t="n">
        <v>0</v>
      </c>
      <c r="J100" s="15" t="n">
        <v>0</v>
      </c>
      <c r="K100" s="16" t="n">
        <f aca="false">IF(F100=0,"",G100/F100)</f>
        <v>0</v>
      </c>
    </row>
    <row r="101" customFormat="false" ht="15" hidden="false" customHeight="false" outlineLevel="0" collapsed="false">
      <c r="A101" s="2" t="s">
        <v>436</v>
      </c>
      <c r="B101" s="2" t="s">
        <v>22</v>
      </c>
      <c r="C101" s="2" t="s">
        <v>229</v>
      </c>
      <c r="D101" s="2" t="s">
        <v>437</v>
      </c>
      <c r="E101" s="2" t="s">
        <v>66</v>
      </c>
      <c r="F101" s="15" t="n">
        <v>1.09</v>
      </c>
      <c r="G101" s="15" t="n">
        <v>1.05</v>
      </c>
      <c r="H101" s="15" t="n">
        <v>0.05</v>
      </c>
      <c r="I101" s="15" t="n">
        <v>0</v>
      </c>
      <c r="J101" s="15" t="n">
        <v>0</v>
      </c>
      <c r="K101" s="16" t="n">
        <f aca="false">IF(F101=0,"",G101/F101)</f>
        <v>0.963302752293578</v>
      </c>
    </row>
    <row r="102" customFormat="false" ht="15" hidden="false" customHeight="false" outlineLevel="0" collapsed="false">
      <c r="A102" s="2" t="s">
        <v>438</v>
      </c>
      <c r="B102" s="2" t="s">
        <v>23</v>
      </c>
      <c r="C102" s="2" t="s">
        <v>229</v>
      </c>
      <c r="D102" s="2" t="s">
        <v>439</v>
      </c>
      <c r="E102" s="2" t="s">
        <v>439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6" t="str">
        <f aca="false">IF(F102=0,"",G102/F102)</f>
        <v/>
      </c>
    </row>
    <row r="103" customFormat="false" ht="15" hidden="false" customHeight="false" outlineLevel="0" collapsed="false">
      <c r="A103" s="2" t="s">
        <v>440</v>
      </c>
      <c r="B103" s="2" t="s">
        <v>22</v>
      </c>
      <c r="C103" s="2" t="s">
        <v>229</v>
      </c>
      <c r="D103" s="2" t="s">
        <v>65</v>
      </c>
      <c r="E103" s="2" t="s">
        <v>66</v>
      </c>
      <c r="F103" s="15" t="n">
        <v>11.47</v>
      </c>
      <c r="G103" s="15" t="n">
        <v>11.47</v>
      </c>
      <c r="H103" s="15" t="n">
        <v>0</v>
      </c>
      <c r="I103" s="15" t="n">
        <v>0</v>
      </c>
      <c r="J103" s="15" t="n">
        <v>0</v>
      </c>
      <c r="K103" s="16" t="n">
        <f aca="false">IF(F103=0,"",G103/F103)</f>
        <v>1</v>
      </c>
    </row>
    <row r="104" customFormat="false" ht="15" hidden="false" customHeight="false" outlineLevel="0" collapsed="false">
      <c r="A104" s="2" t="s">
        <v>441</v>
      </c>
      <c r="B104" s="2" t="s">
        <v>23</v>
      </c>
      <c r="C104" s="2" t="s">
        <v>233</v>
      </c>
      <c r="D104" s="2" t="s">
        <v>442</v>
      </c>
      <c r="E104" s="2" t="s">
        <v>437</v>
      </c>
      <c r="F104" s="15" t="n">
        <v>6.78</v>
      </c>
      <c r="G104" s="15" t="n">
        <v>4.93</v>
      </c>
      <c r="H104" s="15" t="n">
        <v>1.84</v>
      </c>
      <c r="I104" s="15" t="n">
        <v>0</v>
      </c>
      <c r="J104" s="15" t="n">
        <v>0</v>
      </c>
      <c r="K104" s="16" t="n">
        <f aca="false">IF(F104=0,"",G104/F104)</f>
        <v>0.727138643067847</v>
      </c>
    </row>
    <row r="105" customFormat="false" ht="15" hidden="false" customHeight="false" outlineLevel="0" collapsed="false">
      <c r="A105" s="2" t="s">
        <v>443</v>
      </c>
      <c r="B105" s="2" t="s">
        <v>22</v>
      </c>
      <c r="C105" s="2" t="s">
        <v>229</v>
      </c>
      <c r="D105" s="2" t="s">
        <v>444</v>
      </c>
      <c r="E105" s="2" t="s">
        <v>66</v>
      </c>
      <c r="F105" s="15" t="n">
        <v>8.08</v>
      </c>
      <c r="G105" s="15" t="n">
        <v>8.08</v>
      </c>
      <c r="H105" s="15" t="n">
        <v>0</v>
      </c>
      <c r="I105" s="15" t="n">
        <v>0</v>
      </c>
      <c r="J105" s="15" t="n">
        <v>0</v>
      </c>
      <c r="K105" s="16" t="n">
        <f aca="false">IF(F105=0,"",G105/F105)</f>
        <v>1</v>
      </c>
    </row>
    <row r="106" customFormat="false" ht="15" hidden="false" customHeight="false" outlineLevel="0" collapsed="false">
      <c r="A106" s="2" t="s">
        <v>445</v>
      </c>
      <c r="B106" s="2" t="s">
        <v>23</v>
      </c>
      <c r="C106" s="2" t="s">
        <v>229</v>
      </c>
      <c r="D106" s="2" t="s">
        <v>444</v>
      </c>
      <c r="E106" s="2" t="s">
        <v>442</v>
      </c>
      <c r="F106" s="15" t="n">
        <v>1.02</v>
      </c>
      <c r="G106" s="15" t="n">
        <v>0.98</v>
      </c>
      <c r="H106" s="15" t="n">
        <v>0.05</v>
      </c>
      <c r="I106" s="15" t="n">
        <v>0</v>
      </c>
      <c r="J106" s="15" t="n">
        <v>0</v>
      </c>
      <c r="K106" s="16" t="n">
        <f aca="false">IF(F106=0,"",G106/F106)</f>
        <v>0.96078431372549</v>
      </c>
    </row>
    <row r="107" customFormat="false" ht="15" hidden="false" customHeight="false" outlineLevel="0" collapsed="false">
      <c r="A107" s="2" t="s">
        <v>446</v>
      </c>
      <c r="B107" s="2" t="s">
        <v>22</v>
      </c>
      <c r="C107" s="2" t="s">
        <v>229</v>
      </c>
      <c r="D107" s="2" t="s">
        <v>442</v>
      </c>
      <c r="E107" s="2" t="s">
        <v>250</v>
      </c>
      <c r="F107" s="15" t="n">
        <v>0.24</v>
      </c>
      <c r="G107" s="15" t="n">
        <v>0.15</v>
      </c>
      <c r="H107" s="15" t="n">
        <v>0.09</v>
      </c>
      <c r="I107" s="15" t="n">
        <v>0</v>
      </c>
      <c r="J107" s="15" t="n">
        <v>0</v>
      </c>
      <c r="K107" s="16" t="n">
        <f aca="false">IF(F107=0,"",G107/F107)</f>
        <v>0.625</v>
      </c>
    </row>
    <row r="108" customFormat="false" ht="15" hidden="false" customHeight="false" outlineLevel="0" collapsed="false">
      <c r="A108" s="2" t="s">
        <v>447</v>
      </c>
      <c r="B108" s="2" t="s">
        <v>24</v>
      </c>
      <c r="C108" s="2" t="s">
        <v>233</v>
      </c>
      <c r="D108" s="2" t="s">
        <v>250</v>
      </c>
      <c r="E108" s="2" t="s">
        <v>250</v>
      </c>
      <c r="F108" s="15" t="n">
        <v>0.21</v>
      </c>
      <c r="G108" s="15" t="n">
        <v>0</v>
      </c>
      <c r="H108" s="15" t="n">
        <v>0.21</v>
      </c>
      <c r="I108" s="15" t="n">
        <v>0</v>
      </c>
      <c r="J108" s="15" t="n">
        <v>0</v>
      </c>
      <c r="K108" s="16" t="n">
        <f aca="false">IF(F108=0,"",G108/F108)</f>
        <v>0</v>
      </c>
    </row>
    <row r="109" customFormat="false" ht="15" hidden="false" customHeight="false" outlineLevel="0" collapsed="false">
      <c r="A109" s="2" t="s">
        <v>448</v>
      </c>
      <c r="B109" s="2" t="s">
        <v>24</v>
      </c>
      <c r="C109" s="2" t="s">
        <v>229</v>
      </c>
      <c r="D109" s="2" t="s">
        <v>449</v>
      </c>
      <c r="E109" s="2" t="s">
        <v>433</v>
      </c>
      <c r="F109" s="15" t="n">
        <v>1.34</v>
      </c>
      <c r="G109" s="15" t="n">
        <v>0.51</v>
      </c>
      <c r="H109" s="15" t="n">
        <v>0.83</v>
      </c>
      <c r="I109" s="15" t="n">
        <v>0</v>
      </c>
      <c r="J109" s="15" t="n">
        <v>0</v>
      </c>
      <c r="K109" s="16" t="n">
        <f aca="false">IF(F109=0,"",G109/F109)</f>
        <v>0.380597014925373</v>
      </c>
    </row>
    <row r="110" customFormat="false" ht="15" hidden="false" customHeight="false" outlineLevel="0" collapsed="false">
      <c r="A110" s="2" t="s">
        <v>450</v>
      </c>
      <c r="B110" s="2" t="s">
        <v>23</v>
      </c>
      <c r="C110" s="2" t="s">
        <v>229</v>
      </c>
      <c r="D110" s="2" t="s">
        <v>451</v>
      </c>
      <c r="E110" s="2" t="s">
        <v>452</v>
      </c>
      <c r="F110" s="15" t="n">
        <v>2.14</v>
      </c>
      <c r="G110" s="15" t="n">
        <v>2.14</v>
      </c>
      <c r="H110" s="15" t="n">
        <v>0</v>
      </c>
      <c r="I110" s="15" t="n">
        <v>0</v>
      </c>
      <c r="J110" s="15" t="n">
        <v>0</v>
      </c>
      <c r="K110" s="16" t="n">
        <f aca="false">IF(F110=0,"",G110/F110)</f>
        <v>1</v>
      </c>
    </row>
    <row r="111" customFormat="false" ht="15" hidden="false" customHeight="false" outlineLevel="0" collapsed="false">
      <c r="A111" s="2" t="s">
        <v>453</v>
      </c>
      <c r="B111" s="2" t="s">
        <v>23</v>
      </c>
      <c r="C111" s="2" t="s">
        <v>248</v>
      </c>
      <c r="D111" s="2" t="s">
        <v>454</v>
      </c>
      <c r="E111" s="2" t="s">
        <v>455</v>
      </c>
      <c r="F111" s="15" t="n">
        <v>1</v>
      </c>
      <c r="G111" s="15" t="n">
        <v>1</v>
      </c>
      <c r="H111" s="15" t="n">
        <v>0</v>
      </c>
      <c r="I111" s="15" t="n">
        <v>0</v>
      </c>
      <c r="J111" s="15" t="n">
        <v>0</v>
      </c>
      <c r="K111" s="16" t="n">
        <f aca="false">IF(F111=0,"",G111/F111)</f>
        <v>1</v>
      </c>
    </row>
    <row r="112" customFormat="false" ht="15" hidden="false" customHeight="false" outlineLevel="0" collapsed="false">
      <c r="A112" s="2" t="s">
        <v>456</v>
      </c>
      <c r="B112" s="2" t="s">
        <v>22</v>
      </c>
      <c r="C112" s="2" t="s">
        <v>248</v>
      </c>
      <c r="D112" s="2" t="s">
        <v>141</v>
      </c>
      <c r="E112" s="2" t="s">
        <v>457</v>
      </c>
      <c r="F112" s="15" t="n">
        <v>2.82</v>
      </c>
      <c r="G112" s="15" t="n">
        <v>0</v>
      </c>
      <c r="H112" s="15" t="n">
        <v>2.82</v>
      </c>
      <c r="I112" s="15" t="n">
        <v>0</v>
      </c>
      <c r="J112" s="15" t="n">
        <v>0</v>
      </c>
      <c r="K112" s="16" t="n">
        <f aca="false">IF(F112=0,"",G112/F112)</f>
        <v>0</v>
      </c>
    </row>
    <row r="113" customFormat="false" ht="15" hidden="false" customHeight="false" outlineLevel="0" collapsed="false">
      <c r="A113" s="2" t="s">
        <v>458</v>
      </c>
      <c r="B113" s="2" t="s">
        <v>23</v>
      </c>
      <c r="C113" s="2" t="s">
        <v>229</v>
      </c>
      <c r="D113" s="2" t="s">
        <v>433</v>
      </c>
      <c r="E113" s="2" t="s">
        <v>459</v>
      </c>
      <c r="F113" s="15" t="n">
        <v>5.92</v>
      </c>
      <c r="G113" s="15" t="n">
        <v>5.64</v>
      </c>
      <c r="H113" s="15" t="n">
        <v>0</v>
      </c>
      <c r="I113" s="15" t="n">
        <v>0</v>
      </c>
      <c r="J113" s="15" t="n">
        <v>0.28</v>
      </c>
      <c r="K113" s="16" t="n">
        <f aca="false">IF(F113=0,"",G113/F113)</f>
        <v>0.952702702702703</v>
      </c>
    </row>
    <row r="114" customFormat="false" ht="15" hidden="false" customHeight="false" outlineLevel="0" collapsed="false">
      <c r="A114" s="2" t="s">
        <v>460</v>
      </c>
      <c r="B114" s="2" t="s">
        <v>23</v>
      </c>
      <c r="C114" s="2" t="s">
        <v>229</v>
      </c>
      <c r="D114" s="2" t="s">
        <v>449</v>
      </c>
      <c r="E114" s="2" t="s">
        <v>433</v>
      </c>
      <c r="F114" s="15" t="n">
        <v>1.77</v>
      </c>
      <c r="G114" s="15" t="n">
        <v>1.77</v>
      </c>
      <c r="H114" s="15" t="n">
        <v>0</v>
      </c>
      <c r="I114" s="15" t="n">
        <v>0</v>
      </c>
      <c r="J114" s="15" t="n">
        <v>0</v>
      </c>
      <c r="K114" s="16" t="n">
        <f aca="false">IF(F114=0,"",G114/F114)</f>
        <v>1</v>
      </c>
    </row>
    <row r="115" customFormat="false" ht="15" hidden="false" customHeight="false" outlineLevel="0" collapsed="false">
      <c r="A115" s="2" t="s">
        <v>461</v>
      </c>
      <c r="B115" s="2" t="s">
        <v>23</v>
      </c>
      <c r="C115" s="2" t="s">
        <v>229</v>
      </c>
      <c r="D115" s="2" t="s">
        <v>462</v>
      </c>
      <c r="E115" s="2" t="s">
        <v>463</v>
      </c>
      <c r="F115" s="15" t="n">
        <v>24.15</v>
      </c>
      <c r="G115" s="15" t="n">
        <v>3.75</v>
      </c>
      <c r="H115" s="15" t="n">
        <v>0.08</v>
      </c>
      <c r="I115" s="15" t="n">
        <v>0</v>
      </c>
      <c r="J115" s="15" t="n">
        <v>20.32</v>
      </c>
      <c r="K115" s="16" t="n">
        <f aca="false">IF(F115=0,"",G115/F115)</f>
        <v>0.15527950310559</v>
      </c>
    </row>
    <row r="116" customFormat="false" ht="15" hidden="false" customHeight="false" outlineLevel="0" collapsed="false">
      <c r="A116" s="2" t="s">
        <v>464</v>
      </c>
      <c r="B116" s="2" t="s">
        <v>23</v>
      </c>
      <c r="C116" s="2" t="s">
        <v>229</v>
      </c>
      <c r="D116" s="2" t="s">
        <v>449</v>
      </c>
      <c r="E116" s="2" t="s">
        <v>433</v>
      </c>
      <c r="F116" s="15" t="n">
        <v>1.77</v>
      </c>
      <c r="G116" s="15" t="n">
        <v>1.77</v>
      </c>
      <c r="H116" s="15" t="n">
        <v>0</v>
      </c>
      <c r="I116" s="15" t="n">
        <v>0</v>
      </c>
      <c r="J116" s="15" t="n">
        <v>0</v>
      </c>
      <c r="K116" s="16" t="n">
        <f aca="false">IF(F116=0,"",G116/F116)</f>
        <v>1</v>
      </c>
    </row>
    <row r="117" customFormat="false" ht="15" hidden="false" customHeight="false" outlineLevel="0" collapsed="false">
      <c r="A117" s="2" t="s">
        <v>465</v>
      </c>
      <c r="B117" s="2" t="s">
        <v>23</v>
      </c>
      <c r="C117" s="2" t="s">
        <v>229</v>
      </c>
      <c r="D117" s="2" t="s">
        <v>466</v>
      </c>
      <c r="E117" s="2" t="s">
        <v>467</v>
      </c>
      <c r="F117" s="15" t="n">
        <v>2.9</v>
      </c>
      <c r="G117" s="15" t="n">
        <v>0.02</v>
      </c>
      <c r="H117" s="15" t="n">
        <v>2.88</v>
      </c>
      <c r="I117" s="15" t="n">
        <v>0</v>
      </c>
      <c r="J117" s="15" t="n">
        <v>0</v>
      </c>
      <c r="K117" s="16" t="n">
        <f aca="false">IF(F117=0,"",G117/F117)</f>
        <v>0.00689655172413793</v>
      </c>
    </row>
    <row r="118" customFormat="false" ht="15" hidden="false" customHeight="false" outlineLevel="0" collapsed="false">
      <c r="A118" s="2" t="s">
        <v>468</v>
      </c>
      <c r="B118" s="2" t="s">
        <v>23</v>
      </c>
      <c r="C118" s="2" t="s">
        <v>229</v>
      </c>
      <c r="D118" s="2" t="s">
        <v>433</v>
      </c>
      <c r="E118" s="2" t="s">
        <v>414</v>
      </c>
      <c r="F118" s="15" t="n">
        <v>18.1</v>
      </c>
      <c r="G118" s="15" t="n">
        <v>18.1</v>
      </c>
      <c r="H118" s="15" t="n">
        <v>0</v>
      </c>
      <c r="I118" s="15" t="n">
        <v>0</v>
      </c>
      <c r="J118" s="15" t="n">
        <v>0</v>
      </c>
      <c r="K118" s="16" t="n">
        <f aca="false">IF(F118=0,"",G118/F118)</f>
        <v>1</v>
      </c>
    </row>
    <row r="119" customFormat="false" ht="15" hidden="false" customHeight="false" outlineLevel="0" collapsed="false">
      <c r="A119" s="2" t="s">
        <v>469</v>
      </c>
      <c r="B119" s="2" t="s">
        <v>23</v>
      </c>
      <c r="C119" s="2" t="s">
        <v>229</v>
      </c>
      <c r="D119" s="2" t="s">
        <v>462</v>
      </c>
      <c r="E119" s="2" t="s">
        <v>470</v>
      </c>
      <c r="F119" s="15" t="n">
        <v>23.95</v>
      </c>
      <c r="G119" s="15" t="n">
        <v>4.18</v>
      </c>
      <c r="H119" s="15" t="n">
        <v>4.5</v>
      </c>
      <c r="I119" s="15" t="n">
        <v>0</v>
      </c>
      <c r="J119" s="15" t="n">
        <v>15.26</v>
      </c>
      <c r="K119" s="16" t="n">
        <f aca="false">IF(F119=0,"",G119/F119)</f>
        <v>0.174530271398747</v>
      </c>
    </row>
    <row r="120" customFormat="false" ht="15" hidden="false" customHeight="false" outlineLevel="0" collapsed="false">
      <c r="A120" s="2" t="s">
        <v>471</v>
      </c>
      <c r="B120" s="2" t="s">
        <v>23</v>
      </c>
      <c r="C120" s="2" t="s">
        <v>252</v>
      </c>
      <c r="D120" s="2" t="s">
        <v>433</v>
      </c>
      <c r="E120" s="2" t="s">
        <v>472</v>
      </c>
      <c r="F120" s="15" t="n">
        <v>263.56</v>
      </c>
      <c r="G120" s="15" t="n">
        <v>6.3</v>
      </c>
      <c r="H120" s="15" t="n">
        <v>0.55</v>
      </c>
      <c r="I120" s="15" t="n">
        <v>4.37</v>
      </c>
      <c r="J120" s="15" t="n">
        <v>252.34</v>
      </c>
      <c r="K120" s="16" t="n">
        <f aca="false">IF(F120=0,"",G120/F120)</f>
        <v>0.0239034754894521</v>
      </c>
    </row>
    <row r="121" customFormat="false" ht="15" hidden="false" customHeight="false" outlineLevel="0" collapsed="false">
      <c r="A121" s="2" t="s">
        <v>473</v>
      </c>
      <c r="B121" s="2" t="s">
        <v>24</v>
      </c>
      <c r="C121" s="2" t="s">
        <v>248</v>
      </c>
      <c r="D121" s="2" t="s">
        <v>433</v>
      </c>
      <c r="E121" s="2" t="s">
        <v>433</v>
      </c>
      <c r="F121" s="15" t="n">
        <v>0.1</v>
      </c>
      <c r="G121" s="15" t="n">
        <v>0.03</v>
      </c>
      <c r="H121" s="15" t="n">
        <v>0.07</v>
      </c>
      <c r="I121" s="15" t="n">
        <v>0</v>
      </c>
      <c r="J121" s="15" t="n">
        <v>0</v>
      </c>
      <c r="K121" s="16" t="n">
        <f aca="false">IF(F121=0,"",G121/F121)</f>
        <v>0.3</v>
      </c>
    </row>
    <row r="122" customFormat="false" ht="15" hidden="false" customHeight="false" outlineLevel="0" collapsed="false">
      <c r="A122" s="2" t="s">
        <v>474</v>
      </c>
      <c r="B122" s="2" t="s">
        <v>24</v>
      </c>
      <c r="C122" s="2" t="s">
        <v>248</v>
      </c>
      <c r="D122" s="2" t="s">
        <v>475</v>
      </c>
      <c r="E122" s="2" t="s">
        <v>414</v>
      </c>
      <c r="F122" s="15" t="n">
        <v>14.07</v>
      </c>
      <c r="G122" s="15" t="n">
        <v>3.01</v>
      </c>
      <c r="H122" s="15" t="n">
        <v>11.06</v>
      </c>
      <c r="I122" s="15" t="n">
        <v>0</v>
      </c>
      <c r="J122" s="15" t="n">
        <v>0</v>
      </c>
      <c r="K122" s="16" t="n">
        <f aca="false">IF(F122=0,"",G122/F122)</f>
        <v>0.213930348258706</v>
      </c>
    </row>
    <row r="123" customFormat="false" ht="15" hidden="false" customHeight="false" outlineLevel="0" collapsed="false">
      <c r="A123" s="2" t="s">
        <v>476</v>
      </c>
      <c r="B123" s="2" t="s">
        <v>23</v>
      </c>
      <c r="C123" s="2" t="s">
        <v>229</v>
      </c>
      <c r="D123" s="2" t="s">
        <v>477</v>
      </c>
      <c r="E123" s="2" t="s">
        <v>246</v>
      </c>
      <c r="F123" s="15" t="n">
        <v>1.91</v>
      </c>
      <c r="G123" s="15" t="n">
        <v>1.75</v>
      </c>
      <c r="H123" s="15" t="n">
        <v>0.16</v>
      </c>
      <c r="I123" s="15" t="n">
        <v>0</v>
      </c>
      <c r="J123" s="15" t="n">
        <v>0</v>
      </c>
      <c r="K123" s="16" t="n">
        <f aca="false">IF(F123=0,"",G123/F123)</f>
        <v>0.916230366492147</v>
      </c>
    </row>
    <row r="124" customFormat="false" ht="15" hidden="false" customHeight="false" outlineLevel="0" collapsed="false">
      <c r="A124" s="2" t="s">
        <v>478</v>
      </c>
      <c r="B124" s="2" t="s">
        <v>23</v>
      </c>
      <c r="C124" s="2" t="s">
        <v>229</v>
      </c>
      <c r="D124" s="2" t="s">
        <v>246</v>
      </c>
      <c r="E124" s="2" t="s">
        <v>479</v>
      </c>
      <c r="F124" s="15" t="n">
        <v>3.89</v>
      </c>
      <c r="G124" s="15" t="n">
        <v>3.89</v>
      </c>
      <c r="H124" s="15" t="n">
        <v>0</v>
      </c>
      <c r="I124" s="15" t="n">
        <v>0</v>
      </c>
      <c r="J124" s="15" t="n">
        <v>0</v>
      </c>
      <c r="K124" s="16" t="n">
        <f aca="false">IF(F124=0,"",G124/F124)</f>
        <v>1</v>
      </c>
    </row>
    <row r="125" customFormat="false" ht="15" hidden="false" customHeight="false" outlineLevel="0" collapsed="false">
      <c r="A125" s="2" t="s">
        <v>480</v>
      </c>
      <c r="B125" s="2" t="s">
        <v>23</v>
      </c>
      <c r="C125" s="2" t="s">
        <v>229</v>
      </c>
      <c r="D125" s="2" t="s">
        <v>246</v>
      </c>
      <c r="E125" s="2" t="s">
        <v>414</v>
      </c>
      <c r="F125" s="15" t="n">
        <v>4.15</v>
      </c>
      <c r="G125" s="15" t="n">
        <v>3.97</v>
      </c>
      <c r="H125" s="15" t="n">
        <v>0</v>
      </c>
      <c r="I125" s="15" t="n">
        <v>0</v>
      </c>
      <c r="J125" s="15" t="n">
        <v>0.18</v>
      </c>
      <c r="K125" s="16" t="n">
        <f aca="false">IF(F125=0,"",G125/F125)</f>
        <v>0.956626506024096</v>
      </c>
    </row>
    <row r="126" customFormat="false" ht="15" hidden="false" customHeight="false" outlineLevel="0" collapsed="false">
      <c r="A126" s="2" t="s">
        <v>481</v>
      </c>
      <c r="B126" s="2" t="s">
        <v>23</v>
      </c>
      <c r="C126" s="2" t="s">
        <v>229</v>
      </c>
      <c r="D126" s="2" t="s">
        <v>482</v>
      </c>
      <c r="E126" s="2" t="s">
        <v>246</v>
      </c>
      <c r="F126" s="15" t="n">
        <v>0.83</v>
      </c>
      <c r="G126" s="15" t="n">
        <v>0.67</v>
      </c>
      <c r="H126" s="15" t="n">
        <v>0.16</v>
      </c>
      <c r="I126" s="15" t="n">
        <v>0</v>
      </c>
      <c r="J126" s="15" t="n">
        <v>0</v>
      </c>
      <c r="K126" s="16" t="n">
        <f aca="false">IF(F126=0,"",G126/F126)</f>
        <v>0.807228915662651</v>
      </c>
    </row>
    <row r="127" customFormat="false" ht="15" hidden="false" customHeight="false" outlineLevel="0" collapsed="false">
      <c r="A127" s="2" t="s">
        <v>483</v>
      </c>
      <c r="B127" s="2" t="s">
        <v>23</v>
      </c>
      <c r="C127" s="2" t="s">
        <v>229</v>
      </c>
      <c r="D127" s="2" t="s">
        <v>482</v>
      </c>
      <c r="E127" s="2" t="s">
        <v>246</v>
      </c>
      <c r="F127" s="15" t="n">
        <v>0.79</v>
      </c>
      <c r="G127" s="15" t="n">
        <v>0.63</v>
      </c>
      <c r="H127" s="15" t="n">
        <v>0.16</v>
      </c>
      <c r="I127" s="15" t="n">
        <v>0</v>
      </c>
      <c r="J127" s="15" t="n">
        <v>0</v>
      </c>
      <c r="K127" s="16" t="n">
        <f aca="false">IF(F127=0,"",G127/F127)</f>
        <v>0.79746835443038</v>
      </c>
    </row>
    <row r="128" customFormat="false" ht="15" hidden="false" customHeight="false" outlineLevel="0" collapsed="false">
      <c r="A128" s="2" t="s">
        <v>484</v>
      </c>
      <c r="B128" s="2" t="s">
        <v>24</v>
      </c>
      <c r="C128" s="2" t="s">
        <v>229</v>
      </c>
      <c r="D128" s="2" t="s">
        <v>246</v>
      </c>
      <c r="E128" s="2" t="s">
        <v>485</v>
      </c>
      <c r="F128" s="15" t="n">
        <v>1.02</v>
      </c>
      <c r="G128" s="15" t="n">
        <v>0.01</v>
      </c>
      <c r="H128" s="15" t="n">
        <v>1.01</v>
      </c>
      <c r="I128" s="15" t="n">
        <v>0</v>
      </c>
      <c r="J128" s="15" t="n">
        <v>0</v>
      </c>
      <c r="K128" s="16" t="n">
        <f aca="false">IF(F128=0,"",G128/F128)</f>
        <v>0.00980392156862745</v>
      </c>
    </row>
    <row r="129" customFormat="false" ht="15" hidden="false" customHeight="false" outlineLevel="0" collapsed="false">
      <c r="A129" s="2" t="s">
        <v>486</v>
      </c>
      <c r="B129" s="2" t="s">
        <v>23</v>
      </c>
      <c r="C129" s="2" t="s">
        <v>229</v>
      </c>
      <c r="D129" s="2" t="s">
        <v>485</v>
      </c>
      <c r="E129" s="2" t="s">
        <v>479</v>
      </c>
      <c r="F129" s="15" t="n">
        <v>3.01</v>
      </c>
      <c r="G129" s="15" t="n">
        <v>3.01</v>
      </c>
      <c r="H129" s="15" t="n">
        <v>0</v>
      </c>
      <c r="I129" s="15" t="n">
        <v>0</v>
      </c>
      <c r="J129" s="15" t="n">
        <v>0</v>
      </c>
      <c r="K129" s="16" t="n">
        <f aca="false">IF(F129=0,"",G129/F129)</f>
        <v>1</v>
      </c>
    </row>
    <row r="130" customFormat="false" ht="15" hidden="false" customHeight="false" outlineLevel="0" collapsed="false">
      <c r="A130" s="2" t="s">
        <v>487</v>
      </c>
      <c r="B130" s="2" t="s">
        <v>23</v>
      </c>
      <c r="C130" s="2" t="s">
        <v>229</v>
      </c>
      <c r="D130" s="2" t="s">
        <v>485</v>
      </c>
      <c r="E130" s="2" t="s">
        <v>414</v>
      </c>
      <c r="F130" s="15" t="n">
        <v>3.87</v>
      </c>
      <c r="G130" s="15" t="n">
        <v>3.87</v>
      </c>
      <c r="H130" s="15" t="n">
        <v>0</v>
      </c>
      <c r="I130" s="15" t="n">
        <v>0</v>
      </c>
      <c r="J130" s="15" t="n">
        <v>0</v>
      </c>
      <c r="K130" s="16" t="n">
        <f aca="false">IF(F130=0,"",G130/F130)</f>
        <v>1</v>
      </c>
    </row>
    <row r="131" customFormat="false" ht="15" hidden="false" customHeight="false" outlineLevel="0" collapsed="false">
      <c r="A131" s="2" t="s">
        <v>488</v>
      </c>
      <c r="B131" s="2" t="s">
        <v>23</v>
      </c>
      <c r="C131" s="2" t="s">
        <v>229</v>
      </c>
      <c r="D131" s="2" t="s">
        <v>414</v>
      </c>
      <c r="E131" s="2" t="s">
        <v>429</v>
      </c>
      <c r="F131" s="15" t="n">
        <v>1.83</v>
      </c>
      <c r="G131" s="15" t="n">
        <v>1.83</v>
      </c>
      <c r="H131" s="15" t="n">
        <v>0</v>
      </c>
      <c r="I131" s="15" t="n">
        <v>0</v>
      </c>
      <c r="J131" s="15" t="n">
        <v>0</v>
      </c>
      <c r="K131" s="16" t="n">
        <f aca="false">IF(F131=0,"",G131/F131)</f>
        <v>1</v>
      </c>
    </row>
    <row r="132" customFormat="false" ht="15" hidden="false" customHeight="false" outlineLevel="0" collapsed="false">
      <c r="A132" s="2" t="s">
        <v>489</v>
      </c>
      <c r="B132" s="2" t="s">
        <v>23</v>
      </c>
      <c r="C132" s="2" t="s">
        <v>229</v>
      </c>
      <c r="D132" s="2" t="s">
        <v>71</v>
      </c>
      <c r="E132" s="2" t="s">
        <v>71</v>
      </c>
      <c r="F132" s="15" t="n">
        <v>0.9</v>
      </c>
      <c r="G132" s="15" t="n">
        <v>0.37</v>
      </c>
      <c r="H132" s="15" t="n">
        <v>0.53</v>
      </c>
      <c r="I132" s="15" t="n">
        <v>0</v>
      </c>
      <c r="J132" s="15" t="n">
        <v>0</v>
      </c>
      <c r="K132" s="16" t="n">
        <f aca="false">IF(F132=0,"",G132/F132)</f>
        <v>0.411111111111111</v>
      </c>
    </row>
    <row r="133" customFormat="false" ht="15" hidden="false" customHeight="false" outlineLevel="0" collapsed="false">
      <c r="A133" s="2" t="s">
        <v>490</v>
      </c>
      <c r="B133" s="2" t="s">
        <v>24</v>
      </c>
      <c r="C133" s="2" t="s">
        <v>233</v>
      </c>
      <c r="D133" s="2" t="s">
        <v>491</v>
      </c>
      <c r="E133" s="2" t="s">
        <v>492</v>
      </c>
      <c r="F133" s="15" t="n">
        <v>6.97</v>
      </c>
      <c r="G133" s="15" t="n">
        <v>6.53</v>
      </c>
      <c r="H133" s="15" t="n">
        <v>0</v>
      </c>
      <c r="I133" s="15" t="n">
        <v>0</v>
      </c>
      <c r="J133" s="15" t="n">
        <v>0.44</v>
      </c>
      <c r="K133" s="16" t="n">
        <f aca="false">IF(F133=0,"",G133/F133)</f>
        <v>0.93687230989957</v>
      </c>
    </row>
    <row r="134" customFormat="false" ht="15" hidden="false" customHeight="false" outlineLevel="0" collapsed="false">
      <c r="A134" s="2" t="s">
        <v>493</v>
      </c>
      <c r="B134" s="2" t="s">
        <v>22</v>
      </c>
      <c r="C134" s="2" t="s">
        <v>248</v>
      </c>
      <c r="D134" s="2" t="s">
        <v>463</v>
      </c>
      <c r="E134" s="2" t="s">
        <v>494</v>
      </c>
      <c r="F134" s="15" t="n">
        <v>1.91</v>
      </c>
      <c r="G134" s="15" t="n">
        <v>0.13</v>
      </c>
      <c r="H134" s="15" t="n">
        <v>1.09</v>
      </c>
      <c r="I134" s="15" t="n">
        <v>0</v>
      </c>
      <c r="J134" s="15" t="n">
        <v>0.69</v>
      </c>
      <c r="K134" s="16" t="n">
        <f aca="false">IF(F134=0,"",G134/F134)</f>
        <v>0.0680628272251309</v>
      </c>
    </row>
    <row r="135" customFormat="false" ht="15" hidden="false" customHeight="false" outlineLevel="0" collapsed="false">
      <c r="A135" s="2" t="s">
        <v>495</v>
      </c>
      <c r="B135" s="2" t="s">
        <v>23</v>
      </c>
      <c r="C135" s="2" t="s">
        <v>248</v>
      </c>
      <c r="D135" s="2" t="s">
        <v>463</v>
      </c>
      <c r="E135" s="2" t="s">
        <v>463</v>
      </c>
      <c r="F135" s="15" t="n">
        <v>0.11</v>
      </c>
      <c r="G135" s="15" t="n">
        <v>0.11</v>
      </c>
      <c r="H135" s="15" t="n">
        <v>0</v>
      </c>
      <c r="I135" s="15" t="n">
        <v>0</v>
      </c>
      <c r="J135" s="15" t="n">
        <v>0</v>
      </c>
      <c r="K135" s="16" t="n">
        <f aca="false">IF(F135=0,"",G135/F135)</f>
        <v>1</v>
      </c>
    </row>
    <row r="136" customFormat="false" ht="15" hidden="false" customHeight="false" outlineLevel="0" collapsed="false">
      <c r="A136" s="2" t="s">
        <v>496</v>
      </c>
      <c r="B136" s="2" t="s">
        <v>23</v>
      </c>
      <c r="C136" s="2" t="s">
        <v>248</v>
      </c>
      <c r="D136" s="2" t="s">
        <v>463</v>
      </c>
      <c r="E136" s="2" t="s">
        <v>463</v>
      </c>
      <c r="F136" s="15" t="n">
        <v>0.64</v>
      </c>
      <c r="G136" s="15" t="n">
        <v>0.64</v>
      </c>
      <c r="H136" s="15" t="n">
        <v>0</v>
      </c>
      <c r="I136" s="15" t="n">
        <v>0</v>
      </c>
      <c r="J136" s="15" t="n">
        <v>0</v>
      </c>
      <c r="K136" s="16" t="n">
        <f aca="false">IF(F136=0,"",G136/F136)</f>
        <v>1</v>
      </c>
    </row>
    <row r="137" customFormat="false" ht="15" hidden="false" customHeight="false" outlineLevel="0" collapsed="false">
      <c r="A137" s="2" t="s">
        <v>497</v>
      </c>
      <c r="B137" s="2" t="s">
        <v>23</v>
      </c>
      <c r="C137" s="2" t="s">
        <v>248</v>
      </c>
      <c r="D137" s="2" t="s">
        <v>494</v>
      </c>
      <c r="E137" s="2" t="s">
        <v>498</v>
      </c>
      <c r="F137" s="15" t="n">
        <v>0.81</v>
      </c>
      <c r="G137" s="15" t="n">
        <v>0.08</v>
      </c>
      <c r="H137" s="15" t="n">
        <v>0.73</v>
      </c>
      <c r="I137" s="15" t="n">
        <v>0</v>
      </c>
      <c r="J137" s="15" t="n">
        <v>0</v>
      </c>
      <c r="K137" s="16" t="n">
        <f aca="false">IF(F137=0,"",G137/F137)</f>
        <v>0.0987654320987654</v>
      </c>
    </row>
    <row r="138" customFormat="false" ht="15" hidden="false" customHeight="false" outlineLevel="0" collapsed="false">
      <c r="A138" s="2" t="s">
        <v>499</v>
      </c>
      <c r="B138" s="2" t="s">
        <v>24</v>
      </c>
      <c r="C138" s="2" t="s">
        <v>233</v>
      </c>
      <c r="D138" s="2" t="s">
        <v>500</v>
      </c>
      <c r="E138" s="2" t="s">
        <v>500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6" t="str">
        <f aca="false">IF(F138=0,"",G138/F138)</f>
        <v/>
      </c>
    </row>
    <row r="139" customFormat="false" ht="15" hidden="false" customHeight="false" outlineLevel="0" collapsed="false">
      <c r="A139" s="2" t="s">
        <v>501</v>
      </c>
      <c r="B139" s="2" t="s">
        <v>23</v>
      </c>
      <c r="C139" s="2" t="s">
        <v>229</v>
      </c>
      <c r="D139" s="2" t="s">
        <v>498</v>
      </c>
      <c r="E139" s="2" t="s">
        <v>502</v>
      </c>
      <c r="F139" s="15" t="n">
        <v>4.1</v>
      </c>
      <c r="G139" s="15" t="n">
        <v>0.36</v>
      </c>
      <c r="H139" s="15" t="n">
        <v>3.75</v>
      </c>
      <c r="I139" s="15" t="n">
        <v>0</v>
      </c>
      <c r="J139" s="15" t="n">
        <v>0</v>
      </c>
      <c r="K139" s="16" t="n">
        <f aca="false">IF(F139=0,"",G139/F139)</f>
        <v>0.0878048780487805</v>
      </c>
    </row>
    <row r="140" customFormat="false" ht="15" hidden="false" customHeight="false" outlineLevel="0" collapsed="false">
      <c r="A140" s="2" t="s">
        <v>503</v>
      </c>
      <c r="B140" s="2" t="s">
        <v>23</v>
      </c>
      <c r="C140" s="2" t="s">
        <v>248</v>
      </c>
      <c r="D140" s="2" t="s">
        <v>502</v>
      </c>
      <c r="E140" s="2" t="s">
        <v>504</v>
      </c>
      <c r="F140" s="15" t="n">
        <v>0.98</v>
      </c>
      <c r="G140" s="15" t="n">
        <v>0.03</v>
      </c>
      <c r="H140" s="15" t="n">
        <v>0.95</v>
      </c>
      <c r="I140" s="15" t="n">
        <v>0</v>
      </c>
      <c r="J140" s="15" t="n">
        <v>0</v>
      </c>
      <c r="K140" s="16" t="n">
        <f aca="false">IF(F140=0,"",G140/F140)</f>
        <v>0.0306122448979592</v>
      </c>
    </row>
    <row r="141" customFormat="false" ht="15" hidden="false" customHeight="false" outlineLevel="0" collapsed="false">
      <c r="A141" s="2" t="s">
        <v>505</v>
      </c>
      <c r="B141" s="2" t="s">
        <v>23</v>
      </c>
      <c r="C141" s="2" t="s">
        <v>248</v>
      </c>
      <c r="D141" s="2" t="s">
        <v>502</v>
      </c>
      <c r="E141" s="2" t="s">
        <v>143</v>
      </c>
      <c r="F141" s="15" t="n">
        <v>3.85</v>
      </c>
      <c r="G141" s="15" t="n">
        <v>1.86</v>
      </c>
      <c r="H141" s="15" t="n">
        <v>1.98</v>
      </c>
      <c r="I141" s="15" t="n">
        <v>0</v>
      </c>
      <c r="J141" s="15" t="n">
        <v>0</v>
      </c>
      <c r="K141" s="16" t="n">
        <f aca="false">IF(F141=0,"",G141/F141)</f>
        <v>0.483116883116883</v>
      </c>
    </row>
    <row r="142" customFormat="false" ht="15" hidden="false" customHeight="false" outlineLevel="0" collapsed="false">
      <c r="A142" s="2" t="s">
        <v>506</v>
      </c>
      <c r="B142" s="2" t="s">
        <v>23</v>
      </c>
      <c r="C142" s="2" t="s">
        <v>248</v>
      </c>
      <c r="D142" s="2" t="s">
        <v>502</v>
      </c>
      <c r="E142" s="2" t="s">
        <v>502</v>
      </c>
      <c r="F142" s="15" t="n">
        <v>0.64</v>
      </c>
      <c r="G142" s="15" t="n">
        <v>0.12</v>
      </c>
      <c r="H142" s="15" t="n">
        <v>0.52</v>
      </c>
      <c r="I142" s="15" t="n">
        <v>0</v>
      </c>
      <c r="J142" s="15" t="n">
        <v>0</v>
      </c>
      <c r="K142" s="16" t="n">
        <f aca="false">IF(F142=0,"",G142/F142)</f>
        <v>0.1875</v>
      </c>
    </row>
    <row r="143" customFormat="false" ht="15" hidden="false" customHeight="false" outlineLevel="0" collapsed="false">
      <c r="A143" s="2" t="s">
        <v>507</v>
      </c>
      <c r="B143" s="2" t="s">
        <v>23</v>
      </c>
      <c r="C143" s="2" t="s">
        <v>248</v>
      </c>
      <c r="D143" s="2" t="s">
        <v>502</v>
      </c>
      <c r="E143" s="2" t="s">
        <v>500</v>
      </c>
      <c r="F143" s="15" t="n">
        <v>2.93</v>
      </c>
      <c r="G143" s="15" t="n">
        <v>0.01</v>
      </c>
      <c r="H143" s="15" t="n">
        <v>2.92</v>
      </c>
      <c r="I143" s="15" t="n">
        <v>0</v>
      </c>
      <c r="J143" s="15" t="n">
        <v>0</v>
      </c>
      <c r="K143" s="16" t="n">
        <f aca="false">IF(F143=0,"",G143/F143)</f>
        <v>0.00341296928327645</v>
      </c>
    </row>
    <row r="144" customFormat="false" ht="15" hidden="false" customHeight="false" outlineLevel="0" collapsed="false">
      <c r="A144" s="2" t="s">
        <v>508</v>
      </c>
      <c r="B144" s="2" t="s">
        <v>24</v>
      </c>
      <c r="C144" s="2" t="s">
        <v>229</v>
      </c>
      <c r="D144" s="2" t="s">
        <v>509</v>
      </c>
      <c r="E144" s="2" t="s">
        <v>510</v>
      </c>
      <c r="F144" s="15" t="n">
        <v>7.9</v>
      </c>
      <c r="G144" s="15" t="n">
        <v>0.08</v>
      </c>
      <c r="H144" s="15" t="n">
        <v>7.81</v>
      </c>
      <c r="I144" s="15" t="n">
        <v>0</v>
      </c>
      <c r="J144" s="15" t="n">
        <v>0</v>
      </c>
      <c r="K144" s="16" t="n">
        <f aca="false">IF(F144=0,"",G144/F144)</f>
        <v>0.010126582278481</v>
      </c>
    </row>
    <row r="145" customFormat="false" ht="15" hidden="false" customHeight="false" outlineLevel="0" collapsed="false">
      <c r="A145" s="2" t="s">
        <v>511</v>
      </c>
      <c r="B145" s="2" t="s">
        <v>24</v>
      </c>
      <c r="C145" s="2" t="s">
        <v>229</v>
      </c>
      <c r="D145" s="2" t="s">
        <v>512</v>
      </c>
      <c r="E145" s="2" t="s">
        <v>513</v>
      </c>
      <c r="F145" s="15" t="n">
        <v>1.27</v>
      </c>
      <c r="G145" s="15" t="n">
        <v>1.27</v>
      </c>
      <c r="H145" s="15" t="n">
        <v>0</v>
      </c>
      <c r="I145" s="15" t="n">
        <v>0</v>
      </c>
      <c r="J145" s="15" t="n">
        <v>0</v>
      </c>
      <c r="K145" s="16" t="n">
        <f aca="false">IF(F145=0,"",G145/F145)</f>
        <v>1</v>
      </c>
    </row>
    <row r="146" customFormat="false" ht="15" hidden="false" customHeight="false" outlineLevel="0" collapsed="false">
      <c r="A146" s="2" t="s">
        <v>514</v>
      </c>
      <c r="B146" s="2" t="s">
        <v>24</v>
      </c>
      <c r="C146" s="2" t="s">
        <v>229</v>
      </c>
      <c r="D146" s="2" t="s">
        <v>515</v>
      </c>
      <c r="E146" s="2" t="s">
        <v>516</v>
      </c>
      <c r="F146" s="15" t="n">
        <v>0.91</v>
      </c>
      <c r="G146" s="15" t="n">
        <v>0.91</v>
      </c>
      <c r="H146" s="15" t="n">
        <v>0</v>
      </c>
      <c r="I146" s="15" t="n">
        <v>0</v>
      </c>
      <c r="J146" s="15" t="n">
        <v>0</v>
      </c>
      <c r="K146" s="16" t="n">
        <f aca="false">IF(F146=0,"",G146/F146)</f>
        <v>1</v>
      </c>
    </row>
    <row r="147" customFormat="false" ht="15" hidden="false" customHeight="false" outlineLevel="0" collapsed="false">
      <c r="A147" s="2" t="s">
        <v>517</v>
      </c>
      <c r="B147" s="2" t="s">
        <v>24</v>
      </c>
      <c r="C147" s="2" t="s">
        <v>248</v>
      </c>
      <c r="D147" s="2" t="s">
        <v>518</v>
      </c>
      <c r="E147" s="2" t="s">
        <v>164</v>
      </c>
      <c r="F147" s="15" t="n">
        <v>3.28</v>
      </c>
      <c r="G147" s="15" t="n">
        <v>3.28</v>
      </c>
      <c r="H147" s="15" t="n">
        <v>0</v>
      </c>
      <c r="I147" s="15" t="n">
        <v>0</v>
      </c>
      <c r="J147" s="15" t="n">
        <v>0</v>
      </c>
      <c r="K147" s="16" t="n">
        <f aca="false">IF(F147=0,"",G147/F147)</f>
        <v>1</v>
      </c>
    </row>
    <row r="148" customFormat="false" ht="15" hidden="false" customHeight="false" outlineLevel="0" collapsed="false">
      <c r="A148" s="2" t="s">
        <v>519</v>
      </c>
      <c r="B148" s="2" t="s">
        <v>24</v>
      </c>
      <c r="C148" s="2" t="s">
        <v>229</v>
      </c>
      <c r="D148" s="2" t="s">
        <v>512</v>
      </c>
      <c r="E148" s="2" t="s">
        <v>513</v>
      </c>
      <c r="F148" s="15" t="n">
        <v>0.9</v>
      </c>
      <c r="G148" s="15" t="n">
        <v>0.04</v>
      </c>
      <c r="H148" s="15" t="n">
        <v>0.86</v>
      </c>
      <c r="I148" s="15" t="n">
        <v>0</v>
      </c>
      <c r="J148" s="15" t="n">
        <v>0</v>
      </c>
      <c r="K148" s="16" t="n">
        <f aca="false">IF(F148=0,"",G148/F148)</f>
        <v>0.0444444444444444</v>
      </c>
    </row>
    <row r="149" customFormat="false" ht="15" hidden="false" customHeight="false" outlineLevel="0" collapsed="false">
      <c r="A149" s="2" t="s">
        <v>520</v>
      </c>
      <c r="B149" s="2" t="s">
        <v>23</v>
      </c>
      <c r="C149" s="2" t="s">
        <v>521</v>
      </c>
      <c r="D149" s="2" t="s">
        <v>73</v>
      </c>
      <c r="E149" s="2" t="s">
        <v>522</v>
      </c>
      <c r="F149" s="15" t="n">
        <v>25.09</v>
      </c>
      <c r="G149" s="15" t="n">
        <v>25.09</v>
      </c>
      <c r="H149" s="15" t="n">
        <v>0</v>
      </c>
      <c r="I149" s="15" t="n">
        <v>0</v>
      </c>
      <c r="J149" s="15" t="n">
        <v>0</v>
      </c>
      <c r="K149" s="16" t="n">
        <f aca="false">IF(F149=0,"",G149/F149)</f>
        <v>1</v>
      </c>
    </row>
    <row r="150" customFormat="false" ht="15" hidden="false" customHeight="false" outlineLevel="0" collapsed="false">
      <c r="A150" s="2" t="s">
        <v>523</v>
      </c>
      <c r="B150" s="2" t="s">
        <v>23</v>
      </c>
      <c r="C150" s="2" t="s">
        <v>233</v>
      </c>
      <c r="D150" s="2" t="s">
        <v>524</v>
      </c>
      <c r="E150" s="2" t="s">
        <v>525</v>
      </c>
      <c r="F150" s="15" t="n">
        <v>4.02</v>
      </c>
      <c r="G150" s="15" t="n">
        <v>3.29</v>
      </c>
      <c r="H150" s="15" t="n">
        <v>0.73</v>
      </c>
      <c r="I150" s="15" t="n">
        <v>0</v>
      </c>
      <c r="J150" s="15" t="n">
        <v>0</v>
      </c>
      <c r="K150" s="16" t="n">
        <f aca="false">IF(F150=0,"",G150/F150)</f>
        <v>0.818407960199005</v>
      </c>
    </row>
    <row r="151" customFormat="false" ht="15" hidden="false" customHeight="false" outlineLevel="0" collapsed="false">
      <c r="A151" s="2" t="s">
        <v>526</v>
      </c>
      <c r="B151" s="2" t="s">
        <v>23</v>
      </c>
      <c r="C151" s="2" t="s">
        <v>233</v>
      </c>
      <c r="D151" s="2" t="s">
        <v>515</v>
      </c>
      <c r="E151" s="2" t="s">
        <v>527</v>
      </c>
      <c r="F151" s="15" t="n">
        <v>3.03</v>
      </c>
      <c r="G151" s="15" t="n">
        <v>1.97</v>
      </c>
      <c r="H151" s="15" t="n">
        <v>1.05</v>
      </c>
      <c r="I151" s="15" t="n">
        <v>0</v>
      </c>
      <c r="J151" s="15" t="n">
        <v>0</v>
      </c>
      <c r="K151" s="16" t="n">
        <f aca="false">IF(F151=0,"",G151/F151)</f>
        <v>0.65016501650165</v>
      </c>
    </row>
    <row r="152" customFormat="false" ht="15" hidden="false" customHeight="false" outlineLevel="0" collapsed="false">
      <c r="A152" s="2" t="s">
        <v>528</v>
      </c>
      <c r="B152" s="2" t="s">
        <v>23</v>
      </c>
      <c r="C152" s="2" t="s">
        <v>233</v>
      </c>
      <c r="D152" s="2" t="s">
        <v>527</v>
      </c>
      <c r="E152" s="2" t="s">
        <v>525</v>
      </c>
      <c r="F152" s="15" t="n">
        <v>3.24</v>
      </c>
      <c r="G152" s="15" t="n">
        <v>0.17</v>
      </c>
      <c r="H152" s="15" t="n">
        <v>3.07</v>
      </c>
      <c r="I152" s="15" t="n">
        <v>0</v>
      </c>
      <c r="J152" s="15" t="n">
        <v>0</v>
      </c>
      <c r="K152" s="16" t="n">
        <f aca="false">IF(F152=0,"",G152/F152)</f>
        <v>0.0524691358024691</v>
      </c>
    </row>
    <row r="153" customFormat="false" ht="15" hidden="false" customHeight="false" outlineLevel="0" collapsed="false">
      <c r="A153" s="2" t="s">
        <v>529</v>
      </c>
      <c r="B153" s="2" t="s">
        <v>23</v>
      </c>
      <c r="C153" s="2" t="s">
        <v>229</v>
      </c>
      <c r="D153" s="2" t="s">
        <v>530</v>
      </c>
      <c r="E153" s="2" t="s">
        <v>531</v>
      </c>
      <c r="F153" s="15" t="n">
        <v>4.96</v>
      </c>
      <c r="G153" s="15" t="n">
        <v>4.01</v>
      </c>
      <c r="H153" s="15" t="n">
        <v>0.96</v>
      </c>
      <c r="I153" s="15" t="n">
        <v>0</v>
      </c>
      <c r="J153" s="15" t="n">
        <v>0</v>
      </c>
      <c r="K153" s="16" t="n">
        <f aca="false">IF(F153=0,"",G153/F153)</f>
        <v>0.808467741935484</v>
      </c>
    </row>
    <row r="154" customFormat="false" ht="15" hidden="false" customHeight="false" outlineLevel="0" collapsed="false">
      <c r="A154" s="2" t="s">
        <v>532</v>
      </c>
      <c r="B154" s="2" t="s">
        <v>23</v>
      </c>
      <c r="C154" s="2" t="s">
        <v>233</v>
      </c>
      <c r="D154" s="2" t="s">
        <v>416</v>
      </c>
      <c r="E154" s="2" t="s">
        <v>516</v>
      </c>
      <c r="F154" s="15" t="n">
        <v>9.89</v>
      </c>
      <c r="G154" s="15" t="n">
        <v>8.03</v>
      </c>
      <c r="H154" s="15" t="n">
        <v>1.86</v>
      </c>
      <c r="I154" s="15" t="n">
        <v>0</v>
      </c>
      <c r="J154" s="15" t="n">
        <v>0</v>
      </c>
      <c r="K154" s="16" t="n">
        <f aca="false">IF(F154=0,"",G154/F154)</f>
        <v>0.811931243680485</v>
      </c>
    </row>
    <row r="155" customFormat="false" ht="15" hidden="false" customHeight="false" outlineLevel="0" collapsed="false">
      <c r="A155" s="2" t="s">
        <v>533</v>
      </c>
      <c r="B155" s="2" t="s">
        <v>24</v>
      </c>
      <c r="C155" s="2" t="s">
        <v>248</v>
      </c>
      <c r="D155" s="2" t="s">
        <v>516</v>
      </c>
      <c r="E155" s="2" t="s">
        <v>516</v>
      </c>
      <c r="F155" s="15" t="n">
        <v>0.68</v>
      </c>
      <c r="G155" s="15" t="n">
        <v>0</v>
      </c>
      <c r="H155" s="15" t="n">
        <v>0.68</v>
      </c>
      <c r="I155" s="15" t="n">
        <v>0</v>
      </c>
      <c r="J155" s="15" t="n">
        <v>0</v>
      </c>
      <c r="K155" s="16" t="n">
        <f aca="false">IF(F155=0,"",G155/F155)</f>
        <v>0</v>
      </c>
    </row>
    <row r="156" customFormat="false" ht="15" hidden="false" customHeight="false" outlineLevel="0" collapsed="false">
      <c r="A156" s="2" t="s">
        <v>534</v>
      </c>
      <c r="B156" s="2" t="s">
        <v>24</v>
      </c>
      <c r="C156" s="2" t="s">
        <v>248</v>
      </c>
      <c r="D156" s="2" t="s">
        <v>516</v>
      </c>
      <c r="E156" s="2" t="s">
        <v>522</v>
      </c>
      <c r="F156" s="15" t="n">
        <v>5.62</v>
      </c>
      <c r="G156" s="15" t="n">
        <v>0</v>
      </c>
      <c r="H156" s="15" t="n">
        <v>5.62</v>
      </c>
      <c r="I156" s="15" t="n">
        <v>0</v>
      </c>
      <c r="J156" s="15" t="n">
        <v>0</v>
      </c>
      <c r="K156" s="16" t="n">
        <f aca="false">IF(F156=0,"",G156/F156)</f>
        <v>0</v>
      </c>
    </row>
    <row r="157" customFormat="false" ht="15" hidden="false" customHeight="false" outlineLevel="0" collapsed="false">
      <c r="A157" s="2" t="s">
        <v>535</v>
      </c>
      <c r="B157" s="2" t="s">
        <v>24</v>
      </c>
      <c r="C157" s="2" t="s">
        <v>229</v>
      </c>
      <c r="D157" s="2" t="s">
        <v>522</v>
      </c>
      <c r="E157" s="2" t="s">
        <v>536</v>
      </c>
      <c r="F157" s="15" t="n">
        <v>1.15</v>
      </c>
      <c r="G157" s="15" t="n">
        <v>0.01</v>
      </c>
      <c r="H157" s="15" t="n">
        <v>1.14</v>
      </c>
      <c r="I157" s="15" t="n">
        <v>0</v>
      </c>
      <c r="J157" s="15" t="n">
        <v>0</v>
      </c>
      <c r="K157" s="16" t="n">
        <f aca="false">IF(F157=0,"",G157/F157)</f>
        <v>0.00869565217391304</v>
      </c>
    </row>
    <row r="158" customFormat="false" ht="15" hidden="false" customHeight="false" outlineLevel="0" collapsed="false">
      <c r="A158" s="2" t="s">
        <v>537</v>
      </c>
      <c r="B158" s="2" t="s">
        <v>24</v>
      </c>
      <c r="C158" s="2" t="s">
        <v>229</v>
      </c>
      <c r="D158" s="2" t="s">
        <v>530</v>
      </c>
      <c r="E158" s="2" t="s">
        <v>530</v>
      </c>
      <c r="F158" s="15" t="n">
        <v>0.13</v>
      </c>
      <c r="G158" s="15" t="n">
        <v>0.01</v>
      </c>
      <c r="H158" s="15" t="n">
        <v>0.12</v>
      </c>
      <c r="I158" s="15" t="n">
        <v>0</v>
      </c>
      <c r="J158" s="15" t="n">
        <v>0</v>
      </c>
      <c r="K158" s="16" t="n">
        <f aca="false">IF(F158=0,"",G158/F158)</f>
        <v>0.0769230769230769</v>
      </c>
    </row>
    <row r="159" customFormat="false" ht="15" hidden="false" customHeight="false" outlineLevel="0" collapsed="false">
      <c r="A159" s="2" t="s">
        <v>538</v>
      </c>
      <c r="B159" s="2" t="s">
        <v>24</v>
      </c>
      <c r="C159" s="2" t="s">
        <v>248</v>
      </c>
      <c r="D159" s="2" t="s">
        <v>539</v>
      </c>
      <c r="E159" s="2" t="s">
        <v>540</v>
      </c>
      <c r="F159" s="15" t="n">
        <v>7.27</v>
      </c>
      <c r="G159" s="15" t="n">
        <v>0.04</v>
      </c>
      <c r="H159" s="15" t="n">
        <v>7.23</v>
      </c>
      <c r="I159" s="15" t="n">
        <v>0</v>
      </c>
      <c r="J159" s="15" t="n">
        <v>0</v>
      </c>
      <c r="K159" s="16" t="n">
        <f aca="false">IF(F159=0,"",G159/F159)</f>
        <v>0.00550206327372765</v>
      </c>
    </row>
    <row r="160" customFormat="false" ht="15" hidden="false" customHeight="false" outlineLevel="0" collapsed="false">
      <c r="A160" s="2" t="s">
        <v>541</v>
      </c>
      <c r="B160" s="2" t="s">
        <v>24</v>
      </c>
      <c r="C160" s="2" t="s">
        <v>229</v>
      </c>
      <c r="D160" s="2" t="s">
        <v>542</v>
      </c>
      <c r="E160" s="2" t="s">
        <v>542</v>
      </c>
      <c r="F160" s="15" t="n">
        <v>0.07</v>
      </c>
      <c r="G160" s="15" t="n">
        <v>0.07</v>
      </c>
      <c r="H160" s="15" t="n">
        <v>0</v>
      </c>
      <c r="I160" s="15" t="n">
        <v>0</v>
      </c>
      <c r="J160" s="15" t="n">
        <v>0</v>
      </c>
      <c r="K160" s="16" t="n">
        <f aca="false">IF(F160=0,"",G160/F160)</f>
        <v>1</v>
      </c>
    </row>
    <row r="161" customFormat="false" ht="15" hidden="false" customHeight="false" outlineLevel="0" collapsed="false">
      <c r="A161" s="2" t="s">
        <v>543</v>
      </c>
      <c r="B161" s="2" t="s">
        <v>24</v>
      </c>
      <c r="C161" s="2" t="s">
        <v>229</v>
      </c>
      <c r="D161" s="2" t="s">
        <v>544</v>
      </c>
      <c r="E161" s="2" t="s">
        <v>544</v>
      </c>
      <c r="F161" s="15" t="n">
        <v>0.3</v>
      </c>
      <c r="G161" s="15" t="n">
        <v>0.3</v>
      </c>
      <c r="H161" s="15" t="n">
        <v>0</v>
      </c>
      <c r="I161" s="15" t="n">
        <v>0</v>
      </c>
      <c r="J161" s="15" t="n">
        <v>0</v>
      </c>
      <c r="K161" s="16" t="n">
        <f aca="false">IF(F161=0,"",G161/F161)</f>
        <v>1</v>
      </c>
    </row>
    <row r="162" customFormat="false" ht="15" hidden="false" customHeight="false" outlineLevel="0" collapsed="false">
      <c r="A162" s="2" t="s">
        <v>545</v>
      </c>
      <c r="B162" s="2" t="s">
        <v>23</v>
      </c>
      <c r="C162" s="2" t="s">
        <v>248</v>
      </c>
      <c r="D162" s="2" t="s">
        <v>546</v>
      </c>
      <c r="E162" s="2" t="s">
        <v>547</v>
      </c>
      <c r="F162" s="15" t="n">
        <v>2.9</v>
      </c>
      <c r="G162" s="15" t="n">
        <v>2.89</v>
      </c>
      <c r="H162" s="15" t="n">
        <v>0.01</v>
      </c>
      <c r="I162" s="15" t="n">
        <v>0</v>
      </c>
      <c r="J162" s="15" t="n">
        <v>0</v>
      </c>
      <c r="K162" s="16" t="n">
        <f aca="false">IF(F162=0,"",G162/F162)</f>
        <v>0.996551724137931</v>
      </c>
    </row>
    <row r="163" customFormat="false" ht="15" hidden="false" customHeight="false" outlineLevel="0" collapsed="false">
      <c r="A163" s="2" t="s">
        <v>548</v>
      </c>
      <c r="B163" s="2" t="s">
        <v>24</v>
      </c>
      <c r="C163" s="2" t="s">
        <v>252</v>
      </c>
      <c r="D163" s="2" t="s">
        <v>549</v>
      </c>
      <c r="E163" s="2" t="s">
        <v>550</v>
      </c>
      <c r="F163" s="15" t="n">
        <v>7.77</v>
      </c>
      <c r="G163" s="15" t="n">
        <v>6.43</v>
      </c>
      <c r="H163" s="15" t="n">
        <v>0</v>
      </c>
      <c r="I163" s="15" t="n">
        <v>0</v>
      </c>
      <c r="J163" s="15" t="n">
        <v>1.35</v>
      </c>
      <c r="K163" s="16" t="n">
        <f aca="false">IF(F163=0,"",G163/F163)</f>
        <v>0.827541827541828</v>
      </c>
    </row>
    <row r="164" customFormat="false" ht="15" hidden="false" customHeight="false" outlineLevel="0" collapsed="false">
      <c r="A164" s="2" t="s">
        <v>551</v>
      </c>
      <c r="B164" s="2" t="s">
        <v>24</v>
      </c>
      <c r="C164" s="2" t="s">
        <v>229</v>
      </c>
      <c r="D164" s="2" t="s">
        <v>552</v>
      </c>
      <c r="E164" s="2" t="s">
        <v>553</v>
      </c>
      <c r="F164" s="15" t="n">
        <v>3.07</v>
      </c>
      <c r="G164" s="15" t="n">
        <v>1.04</v>
      </c>
      <c r="H164" s="15" t="n">
        <v>2.03</v>
      </c>
      <c r="I164" s="15" t="n">
        <v>0</v>
      </c>
      <c r="J164" s="15" t="n">
        <v>0</v>
      </c>
      <c r="K164" s="16" t="n">
        <f aca="false">IF(F164=0,"",G164/F164)</f>
        <v>0.338762214983713</v>
      </c>
    </row>
    <row r="165" customFormat="false" ht="15" hidden="false" customHeight="false" outlineLevel="0" collapsed="false">
      <c r="A165" s="2" t="s">
        <v>554</v>
      </c>
      <c r="B165" s="2" t="s">
        <v>23</v>
      </c>
      <c r="C165" s="2" t="s">
        <v>229</v>
      </c>
      <c r="D165" s="2" t="s">
        <v>161</v>
      </c>
      <c r="E165" s="2" t="s">
        <v>161</v>
      </c>
      <c r="F165" s="15" t="n">
        <v>0.01</v>
      </c>
      <c r="G165" s="15" t="n">
        <v>0.01</v>
      </c>
      <c r="H165" s="15" t="n">
        <v>0</v>
      </c>
      <c r="I165" s="15" t="n">
        <v>0</v>
      </c>
      <c r="J165" s="15" t="n">
        <v>0</v>
      </c>
      <c r="K165" s="16" t="n">
        <f aca="false">IF(F165=0,"",G165/F165)</f>
        <v>1</v>
      </c>
    </row>
    <row r="166" customFormat="false" ht="15" hidden="false" customHeight="false" outlineLevel="0" collapsed="false">
      <c r="A166" s="2" t="s">
        <v>555</v>
      </c>
      <c r="B166" s="2" t="s">
        <v>24</v>
      </c>
      <c r="C166" s="2" t="s">
        <v>252</v>
      </c>
      <c r="D166" s="2" t="s">
        <v>106</v>
      </c>
      <c r="E166" s="2" t="s">
        <v>106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6" t="str">
        <f aca="false">IF(F166=0,"",G166/F166)</f>
        <v/>
      </c>
    </row>
    <row r="167" customFormat="false" ht="15" hidden="false" customHeight="false" outlineLevel="0" collapsed="false">
      <c r="A167" s="2" t="s">
        <v>556</v>
      </c>
      <c r="B167" s="2" t="s">
        <v>24</v>
      </c>
      <c r="C167" s="2" t="s">
        <v>233</v>
      </c>
      <c r="D167" s="2" t="s">
        <v>455</v>
      </c>
      <c r="E167" s="2" t="s">
        <v>557</v>
      </c>
      <c r="F167" s="15" t="n">
        <v>1.08</v>
      </c>
      <c r="G167" s="15" t="n">
        <v>0</v>
      </c>
      <c r="H167" s="15" t="n">
        <v>1.08</v>
      </c>
      <c r="I167" s="15" t="n">
        <v>0</v>
      </c>
      <c r="J167" s="15" t="n">
        <v>0</v>
      </c>
      <c r="K167" s="16" t="n">
        <f aca="false">IF(F167=0,"",G167/F167)</f>
        <v>0</v>
      </c>
    </row>
    <row r="168" customFormat="false" ht="15" hidden="false" customHeight="false" outlineLevel="0" collapsed="false">
      <c r="A168" s="2" t="s">
        <v>558</v>
      </c>
      <c r="B168" s="2" t="s">
        <v>24</v>
      </c>
      <c r="C168" s="2" t="s">
        <v>229</v>
      </c>
      <c r="D168" s="2" t="s">
        <v>410</v>
      </c>
      <c r="E168" s="2" t="s">
        <v>559</v>
      </c>
      <c r="F168" s="15" t="n">
        <v>15.07</v>
      </c>
      <c r="G168" s="15" t="n">
        <v>1.02</v>
      </c>
      <c r="H168" s="15" t="n">
        <v>14.05</v>
      </c>
      <c r="I168" s="15" t="n">
        <v>0</v>
      </c>
      <c r="J168" s="15" t="n">
        <v>0</v>
      </c>
      <c r="K168" s="16" t="n">
        <f aca="false">IF(F168=0,"",G168/F168)</f>
        <v>0.0676841406768414</v>
      </c>
    </row>
    <row r="169" customFormat="false" ht="15" hidden="false" customHeight="false" outlineLevel="0" collapsed="false">
      <c r="A169" s="2" t="s">
        <v>560</v>
      </c>
      <c r="B169" s="2" t="s">
        <v>24</v>
      </c>
      <c r="C169" s="2" t="s">
        <v>229</v>
      </c>
      <c r="D169" s="2" t="s">
        <v>561</v>
      </c>
      <c r="E169" s="2" t="s">
        <v>561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6" t="str">
        <f aca="false">IF(F169=0,"",G169/F169)</f>
        <v/>
      </c>
    </row>
    <row r="170" customFormat="false" ht="15" hidden="false" customHeight="false" outlineLevel="0" collapsed="false">
      <c r="A170" s="2" t="s">
        <v>562</v>
      </c>
      <c r="B170" s="2" t="s">
        <v>24</v>
      </c>
      <c r="C170" s="2" t="s">
        <v>229</v>
      </c>
      <c r="D170" s="2" t="s">
        <v>557</v>
      </c>
      <c r="E170" s="2" t="s">
        <v>557</v>
      </c>
      <c r="F170" s="15" t="n">
        <v>0.02</v>
      </c>
      <c r="G170" s="15" t="n">
        <v>0</v>
      </c>
      <c r="H170" s="15" t="n">
        <v>0.02</v>
      </c>
      <c r="I170" s="15" t="n">
        <v>0</v>
      </c>
      <c r="J170" s="15" t="n">
        <v>0</v>
      </c>
      <c r="K170" s="16" t="n">
        <f aca="false">IF(F170=0,"",G170/F170)</f>
        <v>0</v>
      </c>
    </row>
    <row r="171" customFormat="false" ht="15" hidden="false" customHeight="false" outlineLevel="0" collapsed="false">
      <c r="A171" s="2" t="s">
        <v>563</v>
      </c>
      <c r="B171" s="2" t="s">
        <v>23</v>
      </c>
      <c r="C171" s="2" t="s">
        <v>233</v>
      </c>
      <c r="D171" s="2" t="s">
        <v>564</v>
      </c>
      <c r="E171" s="2" t="s">
        <v>565</v>
      </c>
      <c r="F171" s="15" t="n">
        <v>2.89</v>
      </c>
      <c r="G171" s="15" t="n">
        <v>0.01</v>
      </c>
      <c r="H171" s="15" t="n">
        <v>2.88</v>
      </c>
      <c r="I171" s="15" t="n">
        <v>0</v>
      </c>
      <c r="J171" s="15" t="n">
        <v>0</v>
      </c>
      <c r="K171" s="16" t="n">
        <f aca="false">IF(F171=0,"",G171/F171)</f>
        <v>0.00346020761245675</v>
      </c>
    </row>
    <row r="172" customFormat="false" ht="15" hidden="false" customHeight="false" outlineLevel="0" collapsed="false">
      <c r="A172" s="2" t="s">
        <v>566</v>
      </c>
      <c r="B172" s="2" t="s">
        <v>24</v>
      </c>
      <c r="C172" s="2" t="s">
        <v>229</v>
      </c>
      <c r="D172" s="2" t="s">
        <v>567</v>
      </c>
      <c r="E172" s="2" t="s">
        <v>568</v>
      </c>
      <c r="F172" s="15" t="n">
        <v>6.39</v>
      </c>
      <c r="G172" s="15" t="n">
        <v>6.39</v>
      </c>
      <c r="H172" s="15" t="n">
        <v>0</v>
      </c>
      <c r="I172" s="15" t="n">
        <v>0</v>
      </c>
      <c r="J172" s="15" t="n">
        <v>0</v>
      </c>
      <c r="K172" s="16" t="n">
        <f aca="false">IF(F172=0,"",G172/F172)</f>
        <v>1</v>
      </c>
    </row>
    <row r="173" customFormat="false" ht="15" hidden="false" customHeight="false" outlineLevel="0" collapsed="false">
      <c r="A173" s="2" t="s">
        <v>569</v>
      </c>
      <c r="B173" s="2" t="s">
        <v>24</v>
      </c>
      <c r="C173" s="2" t="s">
        <v>229</v>
      </c>
      <c r="D173" s="2" t="s">
        <v>570</v>
      </c>
      <c r="E173" s="2" t="s">
        <v>571</v>
      </c>
      <c r="F173" s="15" t="n">
        <v>6.64</v>
      </c>
      <c r="G173" s="15" t="n">
        <v>6.55</v>
      </c>
      <c r="H173" s="15" t="n">
        <v>0</v>
      </c>
      <c r="I173" s="15" t="n">
        <v>0</v>
      </c>
      <c r="J173" s="15" t="n">
        <v>0.08</v>
      </c>
      <c r="K173" s="16" t="n">
        <f aca="false">IF(F173=0,"",G173/F173)</f>
        <v>0.98644578313253</v>
      </c>
    </row>
    <row r="174" customFormat="false" ht="15" hidden="false" customHeight="false" outlineLevel="0" collapsed="false">
      <c r="A174" s="2" t="s">
        <v>572</v>
      </c>
      <c r="B174" s="2" t="s">
        <v>23</v>
      </c>
      <c r="C174" s="2" t="s">
        <v>573</v>
      </c>
      <c r="D174" s="2" t="s">
        <v>574</v>
      </c>
      <c r="E174" s="2" t="s">
        <v>518</v>
      </c>
      <c r="F174" s="15" t="n">
        <v>70.29</v>
      </c>
      <c r="G174" s="15" t="n">
        <v>15.75</v>
      </c>
      <c r="H174" s="15" t="n">
        <v>0</v>
      </c>
      <c r="I174" s="15" t="n">
        <v>1.93</v>
      </c>
      <c r="J174" s="15" t="n">
        <v>52.6</v>
      </c>
      <c r="K174" s="16" t="n">
        <f aca="false">IF(F174=0,"",G174/F174)</f>
        <v>0.224071702944942</v>
      </c>
    </row>
    <row r="175" customFormat="false" ht="15" hidden="false" customHeight="false" outlineLevel="0" collapsed="false">
      <c r="A175" s="2" t="s">
        <v>575</v>
      </c>
      <c r="B175" s="2" t="s">
        <v>22</v>
      </c>
      <c r="C175" s="2" t="s">
        <v>229</v>
      </c>
      <c r="D175" s="2" t="s">
        <v>540</v>
      </c>
      <c r="E175" s="2" t="s">
        <v>576</v>
      </c>
      <c r="F175" s="15" t="n">
        <v>20.38</v>
      </c>
      <c r="G175" s="15" t="n">
        <v>6.62</v>
      </c>
      <c r="H175" s="15" t="n">
        <v>13.54</v>
      </c>
      <c r="I175" s="15" t="n">
        <v>0</v>
      </c>
      <c r="J175" s="15" t="n">
        <v>0.22</v>
      </c>
      <c r="K175" s="16" t="n">
        <f aca="false">IF(F175=0,"",G175/F175)</f>
        <v>0.324828263002944</v>
      </c>
    </row>
    <row r="176" customFormat="false" ht="15" hidden="false" customHeight="false" outlineLevel="0" collapsed="false">
      <c r="A176" s="2" t="s">
        <v>577</v>
      </c>
      <c r="B176" s="2" t="s">
        <v>23</v>
      </c>
      <c r="C176" s="2" t="s">
        <v>229</v>
      </c>
      <c r="D176" s="2" t="s">
        <v>571</v>
      </c>
      <c r="E176" s="2" t="s">
        <v>571</v>
      </c>
      <c r="F176" s="15" t="n">
        <v>0.77</v>
      </c>
      <c r="G176" s="15" t="n">
        <v>0</v>
      </c>
      <c r="H176" s="15" t="n">
        <v>0.77</v>
      </c>
      <c r="I176" s="15" t="n">
        <v>0</v>
      </c>
      <c r="J176" s="15" t="n">
        <v>0</v>
      </c>
      <c r="K176" s="16" t="n">
        <f aca="false">IF(F176=0,"",G176/F176)</f>
        <v>0</v>
      </c>
    </row>
    <row r="177" customFormat="false" ht="15" hidden="false" customHeight="false" outlineLevel="0" collapsed="false">
      <c r="A177" s="2" t="s">
        <v>578</v>
      </c>
      <c r="B177" s="2" t="s">
        <v>22</v>
      </c>
      <c r="C177" s="2" t="s">
        <v>229</v>
      </c>
      <c r="D177" s="2" t="s">
        <v>579</v>
      </c>
      <c r="E177" s="2" t="s">
        <v>580</v>
      </c>
      <c r="F177" s="15" t="n">
        <v>19.95</v>
      </c>
      <c r="G177" s="15" t="n">
        <v>1.91</v>
      </c>
      <c r="H177" s="15" t="n">
        <v>18.04</v>
      </c>
      <c r="I177" s="15" t="n">
        <v>0</v>
      </c>
      <c r="J177" s="15" t="n">
        <v>0</v>
      </c>
      <c r="K177" s="16" t="n">
        <f aca="false">IF(F177=0,"",G177/F177)</f>
        <v>0.0957393483709273</v>
      </c>
    </row>
    <row r="178" customFormat="false" ht="15" hidden="false" customHeight="false" outlineLevel="0" collapsed="false">
      <c r="A178" s="2" t="s">
        <v>581</v>
      </c>
      <c r="B178" s="2" t="s">
        <v>22</v>
      </c>
      <c r="C178" s="2" t="s">
        <v>229</v>
      </c>
      <c r="D178" s="2" t="s">
        <v>582</v>
      </c>
      <c r="E178" s="2" t="s">
        <v>583</v>
      </c>
      <c r="F178" s="15" t="n">
        <v>21.06</v>
      </c>
      <c r="G178" s="15" t="n">
        <v>16.56</v>
      </c>
      <c r="H178" s="15" t="n">
        <v>2.93</v>
      </c>
      <c r="I178" s="15" t="n">
        <v>0</v>
      </c>
      <c r="J178" s="15" t="n">
        <v>1.57</v>
      </c>
      <c r="K178" s="16" t="n">
        <f aca="false">IF(F178=0,"",G178/F178)</f>
        <v>0.786324786324786</v>
      </c>
    </row>
    <row r="179" customFormat="false" ht="15" hidden="false" customHeight="false" outlineLevel="0" collapsed="false">
      <c r="A179" s="2" t="s">
        <v>584</v>
      </c>
      <c r="B179" s="2" t="s">
        <v>22</v>
      </c>
      <c r="C179" s="2" t="s">
        <v>229</v>
      </c>
      <c r="D179" s="2" t="s">
        <v>160</v>
      </c>
      <c r="E179" s="2" t="s">
        <v>509</v>
      </c>
      <c r="F179" s="15" t="n">
        <v>25.13</v>
      </c>
      <c r="G179" s="15" t="n">
        <v>6.76</v>
      </c>
      <c r="H179" s="15" t="n">
        <v>17.98</v>
      </c>
      <c r="I179" s="15" t="n">
        <v>0</v>
      </c>
      <c r="J179" s="15" t="n">
        <v>0.39</v>
      </c>
      <c r="K179" s="16" t="n">
        <f aca="false">IF(F179=0,"",G179/F179)</f>
        <v>0.26900119379228</v>
      </c>
    </row>
    <row r="180" customFormat="false" ht="15" hidden="false" customHeight="false" outlineLevel="0" collapsed="false">
      <c r="A180" s="2" t="s">
        <v>585</v>
      </c>
      <c r="B180" s="2" t="s">
        <v>23</v>
      </c>
      <c r="C180" s="2" t="s">
        <v>521</v>
      </c>
      <c r="D180" s="2" t="s">
        <v>586</v>
      </c>
      <c r="E180" s="2" t="s">
        <v>587</v>
      </c>
      <c r="F180" s="15" t="n">
        <v>41.91</v>
      </c>
      <c r="G180" s="15" t="n">
        <v>15.6</v>
      </c>
      <c r="H180" s="15" t="n">
        <v>0</v>
      </c>
      <c r="I180" s="15" t="n">
        <v>0</v>
      </c>
      <c r="J180" s="15" t="n">
        <v>26.31</v>
      </c>
      <c r="K180" s="16" t="n">
        <f aca="false">IF(F180=0,"",G180/F180)</f>
        <v>0.372226198997853</v>
      </c>
    </row>
    <row r="181" customFormat="false" ht="15" hidden="false" customHeight="false" outlineLevel="0" collapsed="false">
      <c r="A181" s="2" t="s">
        <v>588</v>
      </c>
      <c r="B181" s="2" t="s">
        <v>23</v>
      </c>
      <c r="C181" s="2" t="s">
        <v>229</v>
      </c>
      <c r="D181" s="2" t="s">
        <v>589</v>
      </c>
      <c r="E181" s="2" t="s">
        <v>590</v>
      </c>
      <c r="F181" s="15" t="n">
        <v>0.88</v>
      </c>
      <c r="G181" s="15" t="n">
        <v>0.88</v>
      </c>
      <c r="H181" s="15" t="n">
        <v>0</v>
      </c>
      <c r="I181" s="15" t="n">
        <v>0</v>
      </c>
      <c r="J181" s="15" t="n">
        <v>0</v>
      </c>
      <c r="K181" s="16" t="n">
        <f aca="false">IF(F181=0,"",G181/F181)</f>
        <v>1</v>
      </c>
    </row>
    <row r="182" customFormat="false" ht="15" hidden="false" customHeight="false" outlineLevel="0" collapsed="false">
      <c r="A182" s="2" t="s">
        <v>591</v>
      </c>
      <c r="B182" s="2" t="s">
        <v>24</v>
      </c>
      <c r="C182" s="2" t="s">
        <v>229</v>
      </c>
      <c r="D182" s="2" t="s">
        <v>592</v>
      </c>
      <c r="E182" s="2" t="s">
        <v>593</v>
      </c>
      <c r="F182" s="15" t="n">
        <v>4.33</v>
      </c>
      <c r="G182" s="15" t="n">
        <v>0.11</v>
      </c>
      <c r="H182" s="15" t="n">
        <v>4.22</v>
      </c>
      <c r="I182" s="15" t="n">
        <v>0</v>
      </c>
      <c r="J182" s="15" t="n">
        <v>0</v>
      </c>
      <c r="K182" s="16" t="n">
        <f aca="false">IF(F182=0,"",G182/F182)</f>
        <v>0.0254041570438799</v>
      </c>
    </row>
    <row r="183" customFormat="false" ht="15" hidden="false" customHeight="false" outlineLevel="0" collapsed="false">
      <c r="A183" s="2" t="s">
        <v>594</v>
      </c>
      <c r="B183" s="2" t="s">
        <v>24</v>
      </c>
      <c r="C183" s="2" t="s">
        <v>229</v>
      </c>
      <c r="D183" s="2" t="s">
        <v>595</v>
      </c>
      <c r="E183" s="2" t="s">
        <v>425</v>
      </c>
      <c r="F183" s="15" t="n">
        <v>5.9</v>
      </c>
      <c r="G183" s="15" t="n">
        <v>5.64</v>
      </c>
      <c r="H183" s="15" t="n">
        <v>0.25</v>
      </c>
      <c r="I183" s="15" t="n">
        <v>0</v>
      </c>
      <c r="J183" s="15" t="n">
        <v>0</v>
      </c>
      <c r="K183" s="16" t="n">
        <f aca="false">IF(F183=0,"",G183/F183)</f>
        <v>0.95593220338983</v>
      </c>
    </row>
    <row r="184" customFormat="false" ht="15" hidden="false" customHeight="false" outlineLevel="0" collapsed="false">
      <c r="A184" s="2" t="s">
        <v>596</v>
      </c>
      <c r="B184" s="2" t="s">
        <v>24</v>
      </c>
      <c r="C184" s="2" t="s">
        <v>233</v>
      </c>
      <c r="D184" s="2" t="s">
        <v>597</v>
      </c>
      <c r="E184" s="2" t="s">
        <v>598</v>
      </c>
      <c r="F184" s="15" t="n">
        <v>4.88</v>
      </c>
      <c r="G184" s="15" t="n">
        <v>0</v>
      </c>
      <c r="H184" s="15" t="n">
        <v>4.88</v>
      </c>
      <c r="I184" s="15" t="n">
        <v>0</v>
      </c>
      <c r="J184" s="15" t="n">
        <v>0</v>
      </c>
      <c r="K184" s="16" t="n">
        <f aca="false">IF(F184=0,"",G184/F184)</f>
        <v>0</v>
      </c>
    </row>
    <row r="185" customFormat="false" ht="15" hidden="false" customHeight="false" outlineLevel="0" collapsed="false">
      <c r="A185" s="2" t="s">
        <v>599</v>
      </c>
      <c r="B185" s="2" t="s">
        <v>23</v>
      </c>
      <c r="C185" s="2" t="s">
        <v>229</v>
      </c>
      <c r="D185" s="2" t="s">
        <v>600</v>
      </c>
      <c r="E185" s="2" t="s">
        <v>156</v>
      </c>
      <c r="F185" s="15" t="n">
        <v>0.21</v>
      </c>
      <c r="G185" s="15" t="n">
        <v>0.03</v>
      </c>
      <c r="H185" s="15" t="n">
        <v>0.19</v>
      </c>
      <c r="I185" s="15" t="n">
        <v>0</v>
      </c>
      <c r="J185" s="15" t="n">
        <v>0</v>
      </c>
      <c r="K185" s="16" t="n">
        <f aca="false">IF(F185=0,"",G185/F185)</f>
        <v>0.142857142857143</v>
      </c>
    </row>
    <row r="186" customFormat="false" ht="15" hidden="false" customHeight="false" outlineLevel="0" collapsed="false">
      <c r="A186" s="2" t="s">
        <v>601</v>
      </c>
      <c r="B186" s="2" t="s">
        <v>23</v>
      </c>
      <c r="C186" s="2" t="s">
        <v>233</v>
      </c>
      <c r="D186" s="2" t="s">
        <v>602</v>
      </c>
      <c r="E186" s="2" t="s">
        <v>602</v>
      </c>
      <c r="F186" s="15" t="n">
        <v>0.58</v>
      </c>
      <c r="G186" s="15" t="n">
        <v>0.06</v>
      </c>
      <c r="H186" s="15" t="n">
        <v>0.52</v>
      </c>
      <c r="I186" s="15" t="n">
        <v>0</v>
      </c>
      <c r="J186" s="15" t="n">
        <v>0</v>
      </c>
      <c r="K186" s="16" t="n">
        <f aca="false">IF(F186=0,"",G186/F186)</f>
        <v>0.103448275862069</v>
      </c>
    </row>
    <row r="187" customFormat="false" ht="15" hidden="false" customHeight="false" outlineLevel="0" collapsed="false">
      <c r="A187" s="2" t="s">
        <v>603</v>
      </c>
      <c r="B187" s="2" t="s">
        <v>23</v>
      </c>
      <c r="C187" s="2" t="s">
        <v>229</v>
      </c>
      <c r="D187" s="2" t="s">
        <v>602</v>
      </c>
      <c r="E187" s="2" t="s">
        <v>574</v>
      </c>
      <c r="F187" s="15" t="n">
        <v>3.05</v>
      </c>
      <c r="G187" s="15" t="n">
        <v>3.05</v>
      </c>
      <c r="H187" s="15" t="n">
        <v>0</v>
      </c>
      <c r="I187" s="15" t="n">
        <v>0</v>
      </c>
      <c r="J187" s="15" t="n">
        <v>0</v>
      </c>
      <c r="K187" s="16" t="n">
        <f aca="false">IF(F187=0,"",G187/F187)</f>
        <v>1</v>
      </c>
    </row>
    <row r="188" customFormat="false" ht="15" hidden="false" customHeight="false" outlineLevel="0" collapsed="false">
      <c r="A188" s="2" t="s">
        <v>604</v>
      </c>
      <c r="B188" s="2" t="s">
        <v>23</v>
      </c>
      <c r="C188" s="2" t="s">
        <v>229</v>
      </c>
      <c r="D188" s="2" t="s">
        <v>602</v>
      </c>
      <c r="E188" s="2" t="s">
        <v>605</v>
      </c>
      <c r="F188" s="15" t="n">
        <v>4.01</v>
      </c>
      <c r="G188" s="15" t="n">
        <v>4.01</v>
      </c>
      <c r="H188" s="15" t="n">
        <v>0</v>
      </c>
      <c r="I188" s="15" t="n">
        <v>0</v>
      </c>
      <c r="J188" s="15" t="n">
        <v>0</v>
      </c>
      <c r="K188" s="16" t="n">
        <f aca="false">IF(F188=0,"",G188/F188)</f>
        <v>1</v>
      </c>
    </row>
    <row r="189" customFormat="false" ht="15" hidden="false" customHeight="false" outlineLevel="0" collapsed="false">
      <c r="A189" s="2" t="s">
        <v>606</v>
      </c>
      <c r="B189" s="2" t="s">
        <v>23</v>
      </c>
      <c r="C189" s="2" t="s">
        <v>229</v>
      </c>
      <c r="D189" s="2" t="s">
        <v>602</v>
      </c>
      <c r="E189" s="2" t="s">
        <v>605</v>
      </c>
      <c r="F189" s="15" t="n">
        <v>3.9</v>
      </c>
      <c r="G189" s="15" t="n">
        <v>3.9</v>
      </c>
      <c r="H189" s="15" t="n">
        <v>0</v>
      </c>
      <c r="I189" s="15" t="n">
        <v>0</v>
      </c>
      <c r="J189" s="15" t="n">
        <v>0</v>
      </c>
      <c r="K189" s="16" t="n">
        <f aca="false">IF(F189=0,"",G189/F189)</f>
        <v>1</v>
      </c>
    </row>
    <row r="190" customFormat="false" ht="15" hidden="false" customHeight="false" outlineLevel="0" collapsed="false">
      <c r="A190" s="2" t="s">
        <v>607</v>
      </c>
      <c r="B190" s="2" t="s">
        <v>23</v>
      </c>
      <c r="C190" s="2" t="s">
        <v>229</v>
      </c>
      <c r="D190" s="2" t="s">
        <v>605</v>
      </c>
      <c r="E190" s="2" t="s">
        <v>608</v>
      </c>
      <c r="F190" s="15" t="n">
        <v>1.06</v>
      </c>
      <c r="G190" s="15" t="n">
        <v>1.01</v>
      </c>
      <c r="H190" s="15" t="n">
        <v>0.04</v>
      </c>
      <c r="I190" s="15" t="n">
        <v>0</v>
      </c>
      <c r="J190" s="15" t="n">
        <v>0</v>
      </c>
      <c r="K190" s="16" t="n">
        <f aca="false">IF(F190=0,"",G190/F190)</f>
        <v>0.952830188679245</v>
      </c>
    </row>
    <row r="191" customFormat="false" ht="15" hidden="false" customHeight="false" outlineLevel="0" collapsed="false">
      <c r="A191" s="2" t="s">
        <v>609</v>
      </c>
      <c r="B191" s="2" t="s">
        <v>23</v>
      </c>
      <c r="C191" s="2" t="s">
        <v>229</v>
      </c>
      <c r="D191" s="2" t="s">
        <v>608</v>
      </c>
      <c r="E191" s="2" t="s">
        <v>82</v>
      </c>
      <c r="F191" s="15" t="n">
        <v>4.89</v>
      </c>
      <c r="G191" s="15" t="n">
        <v>4.89</v>
      </c>
      <c r="H191" s="15" t="n">
        <v>0</v>
      </c>
      <c r="I191" s="15" t="n">
        <v>0</v>
      </c>
      <c r="J191" s="15" t="n">
        <v>0</v>
      </c>
      <c r="K191" s="16" t="n">
        <f aca="false">IF(F191=0,"",G191/F191)</f>
        <v>1</v>
      </c>
    </row>
    <row r="192" customFormat="false" ht="15" hidden="false" customHeight="false" outlineLevel="0" collapsed="false">
      <c r="A192" s="2" t="s">
        <v>610</v>
      </c>
      <c r="B192" s="2" t="s">
        <v>23</v>
      </c>
      <c r="C192" s="2" t="s">
        <v>229</v>
      </c>
      <c r="D192" s="2" t="s">
        <v>325</v>
      </c>
      <c r="E192" s="2" t="s">
        <v>411</v>
      </c>
      <c r="F192" s="15" t="n">
        <v>12.8</v>
      </c>
      <c r="G192" s="15" t="n">
        <v>0.97</v>
      </c>
      <c r="H192" s="15" t="n">
        <v>11.83</v>
      </c>
      <c r="I192" s="15" t="n">
        <v>0</v>
      </c>
      <c r="J192" s="15" t="n">
        <v>0</v>
      </c>
      <c r="K192" s="16" t="n">
        <f aca="false">IF(F192=0,"",G192/F192)</f>
        <v>0.07578125</v>
      </c>
    </row>
    <row r="193" customFormat="false" ht="15" hidden="false" customHeight="false" outlineLevel="0" collapsed="false">
      <c r="A193" s="2" t="s">
        <v>611</v>
      </c>
      <c r="B193" s="2" t="s">
        <v>23</v>
      </c>
      <c r="C193" s="2" t="s">
        <v>229</v>
      </c>
      <c r="D193" s="2" t="s">
        <v>82</v>
      </c>
      <c r="E193" s="2" t="s">
        <v>325</v>
      </c>
      <c r="F193" s="15" t="n">
        <v>1.13</v>
      </c>
      <c r="G193" s="15" t="n">
        <v>1.03</v>
      </c>
      <c r="H193" s="15" t="n">
        <v>0.11</v>
      </c>
      <c r="I193" s="15" t="n">
        <v>0</v>
      </c>
      <c r="J193" s="15" t="n">
        <v>0</v>
      </c>
      <c r="K193" s="16" t="n">
        <f aca="false">IF(F193=0,"",G193/F193)</f>
        <v>0.911504424778761</v>
      </c>
    </row>
    <row r="194" customFormat="false" ht="15" hidden="false" customHeight="false" outlineLevel="0" collapsed="false">
      <c r="A194" s="2" t="s">
        <v>612</v>
      </c>
      <c r="B194" s="2" t="s">
        <v>23</v>
      </c>
      <c r="C194" s="2" t="s">
        <v>229</v>
      </c>
      <c r="D194" s="2" t="s">
        <v>411</v>
      </c>
      <c r="E194" s="2" t="s">
        <v>540</v>
      </c>
      <c r="F194" s="15" t="n">
        <v>1.03</v>
      </c>
      <c r="G194" s="15" t="n">
        <v>1.03</v>
      </c>
      <c r="H194" s="15" t="n">
        <v>0</v>
      </c>
      <c r="I194" s="15" t="n">
        <v>0</v>
      </c>
      <c r="J194" s="15" t="n">
        <v>0</v>
      </c>
      <c r="K194" s="16" t="n">
        <f aca="false">IF(F194=0,"",G194/F194)</f>
        <v>1</v>
      </c>
    </row>
    <row r="195" customFormat="false" ht="15" hidden="false" customHeight="false" outlineLevel="0" collapsed="false">
      <c r="A195" s="2" t="s">
        <v>613</v>
      </c>
      <c r="B195" s="2" t="s">
        <v>23</v>
      </c>
      <c r="C195" s="2" t="s">
        <v>229</v>
      </c>
      <c r="D195" s="2" t="s">
        <v>410</v>
      </c>
      <c r="E195" s="2" t="s">
        <v>411</v>
      </c>
      <c r="F195" s="15" t="n">
        <v>11.89</v>
      </c>
      <c r="G195" s="15" t="n">
        <v>0.06</v>
      </c>
      <c r="H195" s="15" t="n">
        <v>11.83</v>
      </c>
      <c r="I195" s="15" t="n">
        <v>0</v>
      </c>
      <c r="J195" s="15" t="n">
        <v>0</v>
      </c>
      <c r="K195" s="16" t="n">
        <f aca="false">IF(F195=0,"",G195/F195)</f>
        <v>0.00504625735912532</v>
      </c>
    </row>
    <row r="196" customFormat="false" ht="15" hidden="false" customHeight="false" outlineLevel="0" collapsed="false">
      <c r="A196" s="2" t="s">
        <v>614</v>
      </c>
      <c r="B196" s="2" t="s">
        <v>23</v>
      </c>
      <c r="C196" s="2" t="s">
        <v>229</v>
      </c>
      <c r="D196" s="2" t="s">
        <v>410</v>
      </c>
      <c r="E196" s="2" t="s">
        <v>411</v>
      </c>
      <c r="F196" s="15" t="n">
        <v>11.83</v>
      </c>
      <c r="G196" s="15" t="n">
        <v>11.83</v>
      </c>
      <c r="H196" s="15" t="n">
        <v>0</v>
      </c>
      <c r="I196" s="15" t="n">
        <v>0</v>
      </c>
      <c r="J196" s="15" t="n">
        <v>0</v>
      </c>
      <c r="K196" s="16" t="n">
        <f aca="false">IF(F196=0,"",G196/F196)</f>
        <v>1</v>
      </c>
    </row>
    <row r="197" customFormat="false" ht="15" hidden="false" customHeight="false" outlineLevel="0" collapsed="false">
      <c r="A197" s="2" t="s">
        <v>615</v>
      </c>
      <c r="B197" s="2" t="s">
        <v>23</v>
      </c>
      <c r="C197" s="2" t="s">
        <v>229</v>
      </c>
      <c r="D197" s="2" t="s">
        <v>605</v>
      </c>
      <c r="E197" s="2" t="s">
        <v>608</v>
      </c>
      <c r="F197" s="15" t="n">
        <v>1.08</v>
      </c>
      <c r="G197" s="15" t="n">
        <v>1.01</v>
      </c>
      <c r="H197" s="15" t="n">
        <v>0.07</v>
      </c>
      <c r="I197" s="15" t="n">
        <v>0</v>
      </c>
      <c r="J197" s="15" t="n">
        <v>0</v>
      </c>
      <c r="K197" s="16" t="n">
        <f aca="false">IF(F197=0,"",G197/F197)</f>
        <v>0.935185185185185</v>
      </c>
    </row>
    <row r="198" customFormat="false" ht="15" hidden="false" customHeight="false" outlineLevel="0" collapsed="false">
      <c r="A198" s="2" t="s">
        <v>616</v>
      </c>
      <c r="B198" s="2" t="s">
        <v>24</v>
      </c>
      <c r="C198" s="2" t="s">
        <v>617</v>
      </c>
      <c r="D198" s="2" t="s">
        <v>325</v>
      </c>
      <c r="E198" s="2" t="s">
        <v>618</v>
      </c>
      <c r="F198" s="15" t="n">
        <v>6.28</v>
      </c>
      <c r="G198" s="15" t="n">
        <v>0.04</v>
      </c>
      <c r="H198" s="15" t="n">
        <v>6.24</v>
      </c>
      <c r="I198" s="15" t="n">
        <v>0</v>
      </c>
      <c r="J198" s="15" t="n">
        <v>0</v>
      </c>
      <c r="K198" s="16" t="n">
        <f aca="false">IF(F198=0,"",G198/F198)</f>
        <v>0.00636942675159236</v>
      </c>
    </row>
    <row r="199" customFormat="false" ht="15" hidden="false" customHeight="false" outlineLevel="0" collapsed="false">
      <c r="A199" s="2" t="s">
        <v>619</v>
      </c>
      <c r="B199" s="2" t="s">
        <v>24</v>
      </c>
      <c r="C199" s="2" t="s">
        <v>229</v>
      </c>
      <c r="D199" s="2" t="s">
        <v>82</v>
      </c>
      <c r="E199" s="2" t="s">
        <v>90</v>
      </c>
      <c r="F199" s="15" t="n">
        <v>53.51</v>
      </c>
      <c r="G199" s="15" t="n">
        <v>1.04</v>
      </c>
      <c r="H199" s="15" t="n">
        <v>52.48</v>
      </c>
      <c r="I199" s="15" t="n">
        <v>0</v>
      </c>
      <c r="J199" s="15" t="n">
        <v>0</v>
      </c>
      <c r="K199" s="16" t="n">
        <f aca="false">IF(F199=0,"",G199/F199)</f>
        <v>0.0194356195103719</v>
      </c>
    </row>
    <row r="200" customFormat="false" ht="15" hidden="false" customHeight="false" outlineLevel="0" collapsed="false">
      <c r="A200" s="2" t="s">
        <v>620</v>
      </c>
      <c r="B200" s="2" t="s">
        <v>24</v>
      </c>
      <c r="C200" s="2" t="s">
        <v>237</v>
      </c>
      <c r="D200" s="2" t="s">
        <v>595</v>
      </c>
      <c r="E200" s="2" t="s">
        <v>425</v>
      </c>
      <c r="F200" s="15" t="n">
        <v>6</v>
      </c>
      <c r="G200" s="15" t="n">
        <v>2.24</v>
      </c>
      <c r="H200" s="15" t="n">
        <v>3.76</v>
      </c>
      <c r="I200" s="15" t="n">
        <v>0</v>
      </c>
      <c r="J200" s="15" t="n">
        <v>0</v>
      </c>
      <c r="K200" s="16" t="n">
        <f aca="false">IF(F200=0,"",G200/F200)</f>
        <v>0.373333333333333</v>
      </c>
    </row>
    <row r="201" customFormat="false" ht="15" hidden="false" customHeight="false" outlineLevel="0" collapsed="false">
      <c r="A201" s="2" t="s">
        <v>621</v>
      </c>
      <c r="B201" s="2" t="s">
        <v>24</v>
      </c>
      <c r="C201" s="2" t="s">
        <v>229</v>
      </c>
      <c r="D201" s="2" t="s">
        <v>540</v>
      </c>
      <c r="E201" s="2" t="s">
        <v>576</v>
      </c>
      <c r="F201" s="15" t="n">
        <v>19.87</v>
      </c>
      <c r="G201" s="15" t="n">
        <v>16.01</v>
      </c>
      <c r="H201" s="15" t="n">
        <v>3.86</v>
      </c>
      <c r="I201" s="15" t="n">
        <v>0</v>
      </c>
      <c r="J201" s="15" t="n">
        <v>0</v>
      </c>
      <c r="K201" s="16" t="n">
        <f aca="false">IF(F201=0,"",G201/F201)</f>
        <v>0.805737292400604</v>
      </c>
    </row>
    <row r="202" customFormat="false" ht="15" hidden="false" customHeight="false" outlineLevel="0" collapsed="false">
      <c r="A202" s="2" t="s">
        <v>622</v>
      </c>
      <c r="B202" s="2" t="s">
        <v>24</v>
      </c>
      <c r="C202" s="2" t="s">
        <v>229</v>
      </c>
      <c r="D202" s="2" t="s">
        <v>582</v>
      </c>
      <c r="E202" s="2" t="s">
        <v>93</v>
      </c>
      <c r="F202" s="15" t="n">
        <v>40.02</v>
      </c>
      <c r="G202" s="15" t="n">
        <v>27.9</v>
      </c>
      <c r="H202" s="15" t="n">
        <v>12.12</v>
      </c>
      <c r="I202" s="15" t="n">
        <v>0</v>
      </c>
      <c r="J202" s="15" t="n">
        <v>0</v>
      </c>
      <c r="K202" s="16" t="n">
        <f aca="false">IF(F202=0,"",G202/F202)</f>
        <v>0.697151424287856</v>
      </c>
    </row>
    <row r="203" customFormat="false" ht="15" hidden="false" customHeight="false" outlineLevel="0" collapsed="false">
      <c r="A203" s="2" t="s">
        <v>623</v>
      </c>
      <c r="B203" s="2" t="s">
        <v>24</v>
      </c>
      <c r="C203" s="2" t="s">
        <v>229</v>
      </c>
      <c r="D203" s="2" t="s">
        <v>576</v>
      </c>
      <c r="E203" s="2" t="s">
        <v>624</v>
      </c>
      <c r="F203" s="15" t="n">
        <v>43.05</v>
      </c>
      <c r="G203" s="15" t="n">
        <v>7.72</v>
      </c>
      <c r="H203" s="15" t="n">
        <v>26.86</v>
      </c>
      <c r="I203" s="15" t="n">
        <v>0</v>
      </c>
      <c r="J203" s="15" t="n">
        <v>8.47</v>
      </c>
      <c r="K203" s="16" t="n">
        <f aca="false">IF(F203=0,"",G203/F203)</f>
        <v>0.179326364692218</v>
      </c>
    </row>
    <row r="204" customFormat="false" ht="15" hidden="false" customHeight="false" outlineLevel="0" collapsed="false">
      <c r="A204" s="2" t="s">
        <v>625</v>
      </c>
      <c r="B204" s="2" t="s">
        <v>24</v>
      </c>
      <c r="C204" s="2" t="s">
        <v>229</v>
      </c>
      <c r="D204" s="2" t="s">
        <v>587</v>
      </c>
      <c r="E204" s="2" t="s">
        <v>626</v>
      </c>
      <c r="F204" s="15" t="n">
        <v>9.82</v>
      </c>
      <c r="G204" s="15" t="n">
        <v>6.58</v>
      </c>
      <c r="H204" s="15" t="n">
        <v>0.97</v>
      </c>
      <c r="I204" s="15" t="n">
        <v>0</v>
      </c>
      <c r="J204" s="15" t="n">
        <v>2.27</v>
      </c>
      <c r="K204" s="16" t="n">
        <f aca="false">IF(F204=0,"",G204/F204)</f>
        <v>0.670061099796334</v>
      </c>
    </row>
    <row r="205" customFormat="false" ht="15" hidden="false" customHeight="false" outlineLevel="0" collapsed="false">
      <c r="A205" s="2" t="s">
        <v>627</v>
      </c>
      <c r="B205" s="2" t="s">
        <v>24</v>
      </c>
      <c r="C205" s="2" t="s">
        <v>229</v>
      </c>
      <c r="D205" s="2" t="s">
        <v>628</v>
      </c>
      <c r="E205" s="2" t="s">
        <v>561</v>
      </c>
      <c r="F205" s="15" t="n">
        <v>2.08</v>
      </c>
      <c r="G205" s="15" t="n">
        <v>2.08</v>
      </c>
      <c r="H205" s="15" t="n">
        <v>0</v>
      </c>
      <c r="I205" s="15" t="n">
        <v>0</v>
      </c>
      <c r="J205" s="15" t="n">
        <v>0</v>
      </c>
      <c r="K205" s="16" t="n">
        <f aca="false">IF(F205=0,"",G205/F205)</f>
        <v>1</v>
      </c>
    </row>
    <row r="206" customFormat="false" ht="15" hidden="false" customHeight="false" outlineLevel="0" collapsed="false">
      <c r="A206" s="2" t="s">
        <v>629</v>
      </c>
      <c r="B206" s="2" t="s">
        <v>24</v>
      </c>
      <c r="C206" s="2" t="s">
        <v>229</v>
      </c>
      <c r="D206" s="2" t="s">
        <v>630</v>
      </c>
      <c r="E206" s="2" t="s">
        <v>425</v>
      </c>
      <c r="F206" s="15" t="n">
        <v>19.32</v>
      </c>
      <c r="G206" s="15" t="n">
        <v>19.32</v>
      </c>
      <c r="H206" s="15" t="n">
        <v>0</v>
      </c>
      <c r="I206" s="15" t="n">
        <v>0</v>
      </c>
      <c r="J206" s="15" t="n">
        <v>0</v>
      </c>
      <c r="K206" s="16" t="n">
        <f aca="false">IF(F206=0,"",G206/F206)</f>
        <v>1</v>
      </c>
    </row>
    <row r="207" customFormat="false" ht="15" hidden="false" customHeight="false" outlineLevel="0" collapsed="false">
      <c r="A207" s="2" t="s">
        <v>631</v>
      </c>
      <c r="B207" s="2" t="s">
        <v>24</v>
      </c>
      <c r="C207" s="2" t="s">
        <v>248</v>
      </c>
      <c r="D207" s="2" t="s">
        <v>539</v>
      </c>
      <c r="E207" s="2" t="s">
        <v>540</v>
      </c>
      <c r="F207" s="15" t="n">
        <v>7.27</v>
      </c>
      <c r="G207" s="15" t="n">
        <v>0.04</v>
      </c>
      <c r="H207" s="15" t="n">
        <v>7.24</v>
      </c>
      <c r="I207" s="15" t="n">
        <v>0</v>
      </c>
      <c r="J207" s="15" t="n">
        <v>0</v>
      </c>
      <c r="K207" s="16" t="n">
        <f aca="false">IF(F207=0,"",G207/F207)</f>
        <v>0.00550206327372765</v>
      </c>
    </row>
    <row r="208" customFormat="false" ht="15" hidden="false" customHeight="false" outlineLevel="0" collapsed="false">
      <c r="A208" s="2" t="s">
        <v>632</v>
      </c>
      <c r="B208" s="2" t="s">
        <v>22</v>
      </c>
      <c r="C208" s="2" t="s">
        <v>229</v>
      </c>
      <c r="D208" s="2" t="s">
        <v>633</v>
      </c>
      <c r="E208" s="2" t="s">
        <v>576</v>
      </c>
      <c r="F208" s="15" t="n">
        <v>13.27</v>
      </c>
      <c r="G208" s="15" t="n">
        <v>12.55</v>
      </c>
      <c r="H208" s="15" t="n">
        <v>0.34</v>
      </c>
      <c r="I208" s="15" t="n">
        <v>0</v>
      </c>
      <c r="J208" s="15" t="n">
        <v>0.38</v>
      </c>
      <c r="K208" s="16" t="n">
        <f aca="false">IF(F208=0,"",G208/F208)</f>
        <v>0.945742275810098</v>
      </c>
    </row>
    <row r="209" customFormat="false" ht="15" hidden="false" customHeight="false" outlineLevel="0" collapsed="false">
      <c r="A209" s="2" t="s">
        <v>634</v>
      </c>
      <c r="B209" s="2" t="s">
        <v>24</v>
      </c>
      <c r="C209" s="2" t="s">
        <v>521</v>
      </c>
      <c r="D209" s="2" t="s">
        <v>579</v>
      </c>
      <c r="E209" s="2" t="s">
        <v>635</v>
      </c>
      <c r="F209" s="15" t="n">
        <v>49.13</v>
      </c>
      <c r="G209" s="15" t="n">
        <v>21.3</v>
      </c>
      <c r="H209" s="15" t="n">
        <v>0</v>
      </c>
      <c r="I209" s="15" t="n">
        <v>0</v>
      </c>
      <c r="J209" s="15" t="n">
        <v>27.84</v>
      </c>
      <c r="K209" s="16" t="n">
        <f aca="false">IF(F209=0,"",G209/F209)</f>
        <v>0.433543659678404</v>
      </c>
    </row>
    <row r="210" customFormat="false" ht="15" hidden="false" customHeight="false" outlineLevel="0" collapsed="false">
      <c r="A210" s="2" t="s">
        <v>636</v>
      </c>
      <c r="B210" s="2" t="s">
        <v>24</v>
      </c>
      <c r="C210" s="2" t="s">
        <v>229</v>
      </c>
      <c r="D210" s="2" t="s">
        <v>561</v>
      </c>
      <c r="E210" s="2" t="s">
        <v>561</v>
      </c>
      <c r="F210" s="15" t="n">
        <v>0</v>
      </c>
      <c r="G210" s="15" t="n">
        <v>0</v>
      </c>
      <c r="H210" s="15" t="n">
        <v>0</v>
      </c>
      <c r="I210" s="15" t="n">
        <v>0</v>
      </c>
      <c r="J210" s="15" t="n">
        <v>0</v>
      </c>
      <c r="K210" s="16" t="str">
        <f aca="false">IF(F210=0,"",G210/F210)</f>
        <v/>
      </c>
    </row>
    <row r="211" customFormat="false" ht="15" hidden="false" customHeight="false" outlineLevel="0" collapsed="false">
      <c r="A211" s="2" t="s">
        <v>637</v>
      </c>
      <c r="B211" s="2" t="s">
        <v>22</v>
      </c>
      <c r="C211" s="2" t="s">
        <v>229</v>
      </c>
      <c r="D211" s="2" t="s">
        <v>638</v>
      </c>
      <c r="E211" s="2" t="s">
        <v>164</v>
      </c>
      <c r="F211" s="15" t="n">
        <v>8.05</v>
      </c>
      <c r="G211" s="15" t="n">
        <v>7.14</v>
      </c>
      <c r="H211" s="15" t="n">
        <v>0.91</v>
      </c>
      <c r="I211" s="15" t="n">
        <v>0</v>
      </c>
      <c r="J211" s="15" t="n">
        <v>0</v>
      </c>
      <c r="K211" s="16" t="n">
        <f aca="false">IF(F211=0,"",G211/F211)</f>
        <v>0.88695652173913</v>
      </c>
    </row>
    <row r="212" customFormat="false" ht="15" hidden="false" customHeight="false" outlineLevel="0" collapsed="false">
      <c r="A212" s="2" t="s">
        <v>639</v>
      </c>
      <c r="B212" s="2" t="s">
        <v>24</v>
      </c>
      <c r="C212" s="2" t="s">
        <v>252</v>
      </c>
      <c r="D212" s="2" t="s">
        <v>640</v>
      </c>
      <c r="E212" s="2" t="s">
        <v>231</v>
      </c>
      <c r="F212" s="15" t="n">
        <v>4.07</v>
      </c>
      <c r="G212" s="15" t="n">
        <v>0.05</v>
      </c>
      <c r="H212" s="15" t="n">
        <v>4.02</v>
      </c>
      <c r="I212" s="15" t="n">
        <v>0</v>
      </c>
      <c r="J212" s="15" t="n">
        <v>0</v>
      </c>
      <c r="K212" s="16" t="n">
        <f aca="false">IF(F212=0,"",G212/F212)</f>
        <v>0.0122850122850123</v>
      </c>
    </row>
    <row r="213" customFormat="false" ht="15" hidden="false" customHeight="false" outlineLevel="0" collapsed="false">
      <c r="A213" s="2" t="s">
        <v>641</v>
      </c>
      <c r="B213" s="2" t="s">
        <v>24</v>
      </c>
      <c r="C213" s="2" t="s">
        <v>229</v>
      </c>
      <c r="D213" s="2" t="s">
        <v>642</v>
      </c>
      <c r="E213" s="2" t="s">
        <v>643</v>
      </c>
      <c r="F213" s="15" t="n">
        <v>3.37</v>
      </c>
      <c r="G213" s="15" t="n">
        <v>0.99</v>
      </c>
      <c r="H213" s="15" t="n">
        <v>2.38</v>
      </c>
      <c r="I213" s="15" t="n">
        <v>0</v>
      </c>
      <c r="J213" s="15" t="n">
        <v>0</v>
      </c>
      <c r="K213" s="16" t="n">
        <f aca="false">IF(F213=0,"",G213/F213)</f>
        <v>0.293768545994065</v>
      </c>
    </row>
    <row r="214" customFormat="false" ht="15" hidden="false" customHeight="false" outlineLevel="0" collapsed="false">
      <c r="A214" s="2" t="s">
        <v>644</v>
      </c>
      <c r="B214" s="2" t="s">
        <v>22</v>
      </c>
      <c r="C214" s="2" t="s">
        <v>229</v>
      </c>
      <c r="D214" s="2" t="s">
        <v>203</v>
      </c>
      <c r="E214" s="2" t="s">
        <v>98</v>
      </c>
      <c r="F214" s="15" t="n">
        <v>4.14</v>
      </c>
      <c r="G214" s="15" t="n">
        <v>3.03</v>
      </c>
      <c r="H214" s="15" t="n">
        <v>1.11</v>
      </c>
      <c r="I214" s="15" t="n">
        <v>0</v>
      </c>
      <c r="J214" s="15" t="n">
        <v>0</v>
      </c>
      <c r="K214" s="16" t="n">
        <f aca="false">IF(F214=0,"",G214/F214)</f>
        <v>0.731884057971015</v>
      </c>
    </row>
    <row r="215" customFormat="false" ht="15" hidden="false" customHeight="false" outlineLevel="0" collapsed="false">
      <c r="A215" s="2" t="s">
        <v>645</v>
      </c>
      <c r="B215" s="2" t="s">
        <v>22</v>
      </c>
      <c r="C215" s="2" t="s">
        <v>229</v>
      </c>
      <c r="D215" s="2" t="s">
        <v>646</v>
      </c>
      <c r="E215" s="2" t="s">
        <v>96</v>
      </c>
      <c r="F215" s="15" t="n">
        <v>4.2</v>
      </c>
      <c r="G215" s="15" t="n">
        <v>0.01</v>
      </c>
      <c r="H215" s="15" t="n">
        <v>4.2</v>
      </c>
      <c r="I215" s="15" t="n">
        <v>0</v>
      </c>
      <c r="J215" s="15" t="n">
        <v>0</v>
      </c>
      <c r="K215" s="16" t="n">
        <f aca="false">IF(F215=0,"",G215/F215)</f>
        <v>0.00238095238095238</v>
      </c>
    </row>
    <row r="216" customFormat="false" ht="15" hidden="false" customHeight="false" outlineLevel="0" collapsed="false">
      <c r="A216" s="2" t="s">
        <v>647</v>
      </c>
      <c r="B216" s="2" t="s">
        <v>23</v>
      </c>
      <c r="C216" s="2" t="s">
        <v>233</v>
      </c>
      <c r="D216" s="2" t="s">
        <v>648</v>
      </c>
      <c r="E216" s="2" t="s">
        <v>160</v>
      </c>
      <c r="F216" s="15" t="n">
        <v>1.28</v>
      </c>
      <c r="G216" s="15" t="n">
        <v>1.24</v>
      </c>
      <c r="H216" s="15" t="n">
        <v>0.04</v>
      </c>
      <c r="I216" s="15" t="n">
        <v>0</v>
      </c>
      <c r="J216" s="15" t="n">
        <v>0</v>
      </c>
      <c r="K216" s="16" t="n">
        <f aca="false">IF(F216=0,"",G216/F216)</f>
        <v>0.96875</v>
      </c>
    </row>
    <row r="217" customFormat="false" ht="15" hidden="false" customHeight="false" outlineLevel="0" collapsed="false">
      <c r="A217" s="2" t="s">
        <v>649</v>
      </c>
      <c r="B217" s="2" t="s">
        <v>22</v>
      </c>
      <c r="C217" s="2" t="s">
        <v>233</v>
      </c>
      <c r="D217" s="2" t="s">
        <v>576</v>
      </c>
      <c r="E217" s="2" t="s">
        <v>90</v>
      </c>
      <c r="F217" s="15" t="n">
        <v>17.86</v>
      </c>
      <c r="G217" s="15" t="n">
        <v>3.84</v>
      </c>
      <c r="H217" s="15" t="n">
        <v>14.02</v>
      </c>
      <c r="I217" s="15" t="n">
        <v>0</v>
      </c>
      <c r="J217" s="15" t="n">
        <v>0</v>
      </c>
      <c r="K217" s="16" t="n">
        <f aca="false">IF(F217=0,"",G217/F217)</f>
        <v>0.215005599104143</v>
      </c>
    </row>
    <row r="218" customFormat="false" ht="15" hidden="false" customHeight="false" outlineLevel="0" collapsed="false">
      <c r="A218" s="2" t="s">
        <v>650</v>
      </c>
      <c r="B218" s="2" t="s">
        <v>24</v>
      </c>
      <c r="C218" s="2" t="s">
        <v>229</v>
      </c>
      <c r="D218" s="2" t="s">
        <v>509</v>
      </c>
      <c r="E218" s="2" t="s">
        <v>370</v>
      </c>
      <c r="F218" s="15" t="n">
        <v>10.25</v>
      </c>
      <c r="G218" s="15" t="n">
        <v>10.25</v>
      </c>
      <c r="H218" s="15" t="n">
        <v>0</v>
      </c>
      <c r="I218" s="15" t="n">
        <v>0</v>
      </c>
      <c r="J218" s="15" t="n">
        <v>0</v>
      </c>
      <c r="K218" s="16" t="n">
        <f aca="false">IF(F218=0,"",G218/F218)</f>
        <v>1</v>
      </c>
    </row>
    <row r="219" customFormat="false" ht="15" hidden="false" customHeight="false" outlineLevel="0" collapsed="false">
      <c r="A219" s="2" t="s">
        <v>651</v>
      </c>
      <c r="B219" s="2" t="s">
        <v>24</v>
      </c>
      <c r="C219" s="2" t="s">
        <v>229</v>
      </c>
      <c r="D219" s="2" t="s">
        <v>628</v>
      </c>
      <c r="E219" s="2" t="s">
        <v>164</v>
      </c>
      <c r="F219" s="15" t="n">
        <v>2.92</v>
      </c>
      <c r="G219" s="15" t="n">
        <v>2.92</v>
      </c>
      <c r="H219" s="15" t="n">
        <v>0</v>
      </c>
      <c r="I219" s="15" t="n">
        <v>0</v>
      </c>
      <c r="J219" s="15" t="n">
        <v>0</v>
      </c>
      <c r="K219" s="16" t="n">
        <f aca="false">IF(F219=0,"",G219/F219)</f>
        <v>1</v>
      </c>
    </row>
    <row r="220" customFormat="false" ht="15" hidden="false" customHeight="false" outlineLevel="0" collapsed="false">
      <c r="A220" s="2" t="s">
        <v>652</v>
      </c>
      <c r="B220" s="2" t="s">
        <v>24</v>
      </c>
      <c r="C220" s="2" t="s">
        <v>229</v>
      </c>
      <c r="D220" s="2" t="s">
        <v>626</v>
      </c>
      <c r="E220" s="2" t="s">
        <v>653</v>
      </c>
      <c r="F220" s="15" t="n">
        <v>19.12</v>
      </c>
      <c r="G220" s="15" t="n">
        <v>4.76</v>
      </c>
      <c r="H220" s="15" t="n">
        <v>8.93</v>
      </c>
      <c r="I220" s="15" t="n">
        <v>0</v>
      </c>
      <c r="J220" s="15" t="n">
        <v>5.43</v>
      </c>
      <c r="K220" s="16" t="n">
        <f aca="false">IF(F220=0,"",G220/F220)</f>
        <v>0.248953974895397</v>
      </c>
    </row>
    <row r="221" customFormat="false" ht="15" hidden="false" customHeight="false" outlineLevel="0" collapsed="false">
      <c r="A221" s="2" t="s">
        <v>654</v>
      </c>
      <c r="B221" s="2" t="s">
        <v>24</v>
      </c>
      <c r="C221" s="2" t="s">
        <v>233</v>
      </c>
      <c r="D221" s="2" t="s">
        <v>86</v>
      </c>
      <c r="E221" s="2" t="s">
        <v>160</v>
      </c>
      <c r="F221" s="15" t="n">
        <v>0.72</v>
      </c>
      <c r="G221" s="15" t="n">
        <v>0.1</v>
      </c>
      <c r="H221" s="15" t="n">
        <v>0.62</v>
      </c>
      <c r="I221" s="15" t="n">
        <v>0</v>
      </c>
      <c r="J221" s="15" t="n">
        <v>0</v>
      </c>
      <c r="K221" s="16" t="n">
        <f aca="false">IF(F221=0,"",G221/F221)</f>
        <v>0.138888888888889</v>
      </c>
    </row>
    <row r="222" customFormat="false" ht="15" hidden="false" customHeight="false" outlineLevel="0" collapsed="false">
      <c r="A222" s="2" t="s">
        <v>655</v>
      </c>
      <c r="B222" s="2" t="s">
        <v>22</v>
      </c>
      <c r="C222" s="2" t="s">
        <v>229</v>
      </c>
      <c r="D222" s="2" t="s">
        <v>656</v>
      </c>
      <c r="E222" s="2" t="s">
        <v>657</v>
      </c>
      <c r="F222" s="15" t="n">
        <v>2.46</v>
      </c>
      <c r="G222" s="15" t="n">
        <v>0.07</v>
      </c>
      <c r="H222" s="15" t="n">
        <v>2.39</v>
      </c>
      <c r="I222" s="15" t="n">
        <v>0</v>
      </c>
      <c r="J222" s="15" t="n">
        <v>0</v>
      </c>
      <c r="K222" s="16" t="n">
        <f aca="false">IF(F222=0,"",G222/F222)</f>
        <v>0.0284552845528455</v>
      </c>
    </row>
    <row r="223" customFormat="false" ht="15" hidden="false" customHeight="false" outlineLevel="0" collapsed="false">
      <c r="A223" s="2" t="s">
        <v>658</v>
      </c>
      <c r="B223" s="2" t="s">
        <v>23</v>
      </c>
      <c r="C223" s="2" t="s">
        <v>233</v>
      </c>
      <c r="D223" s="2" t="s">
        <v>659</v>
      </c>
      <c r="E223" s="2" t="s">
        <v>576</v>
      </c>
      <c r="F223" s="15" t="n">
        <v>2.91</v>
      </c>
      <c r="G223" s="15" t="n">
        <v>0.02</v>
      </c>
      <c r="H223" s="15" t="n">
        <v>2.89</v>
      </c>
      <c r="I223" s="15" t="n">
        <v>0</v>
      </c>
      <c r="J223" s="15" t="n">
        <v>0</v>
      </c>
      <c r="K223" s="16" t="n">
        <f aca="false">IF(F223=0,"",G223/F223)</f>
        <v>0.00687285223367698</v>
      </c>
    </row>
    <row r="224" customFormat="false" ht="15" hidden="false" customHeight="false" outlineLevel="0" collapsed="false">
      <c r="A224" s="2" t="s">
        <v>660</v>
      </c>
      <c r="B224" s="2" t="s">
        <v>24</v>
      </c>
      <c r="C224" s="2" t="s">
        <v>252</v>
      </c>
      <c r="D224" s="2" t="s">
        <v>350</v>
      </c>
      <c r="E224" s="2" t="s">
        <v>350</v>
      </c>
      <c r="F224" s="15" t="n">
        <v>0.92</v>
      </c>
      <c r="G224" s="15" t="n">
        <v>0</v>
      </c>
      <c r="H224" s="15" t="n">
        <v>0.92</v>
      </c>
      <c r="I224" s="15" t="n">
        <v>0</v>
      </c>
      <c r="J224" s="15" t="n">
        <v>0</v>
      </c>
      <c r="K224" s="16" t="n">
        <f aca="false">IF(F224=0,"",G224/F224)</f>
        <v>0</v>
      </c>
    </row>
    <row r="225" customFormat="false" ht="15" hidden="false" customHeight="false" outlineLevel="0" collapsed="false">
      <c r="A225" s="2" t="s">
        <v>661</v>
      </c>
      <c r="B225" s="2" t="s">
        <v>22</v>
      </c>
      <c r="C225" s="2" t="s">
        <v>229</v>
      </c>
      <c r="D225" s="2" t="s">
        <v>579</v>
      </c>
      <c r="E225" s="2" t="s">
        <v>626</v>
      </c>
      <c r="F225" s="15" t="n">
        <v>2.96</v>
      </c>
      <c r="G225" s="15" t="n">
        <v>2.96</v>
      </c>
      <c r="H225" s="15" t="n">
        <v>0</v>
      </c>
      <c r="I225" s="15" t="n">
        <v>0</v>
      </c>
      <c r="J225" s="15" t="n">
        <v>0</v>
      </c>
      <c r="K225" s="16" t="n">
        <f aca="false">IF(F225=0,"",G225/F225)</f>
        <v>1</v>
      </c>
    </row>
    <row r="226" customFormat="false" ht="15" hidden="false" customHeight="false" outlineLevel="0" collapsed="false">
      <c r="A226" s="2" t="s">
        <v>662</v>
      </c>
      <c r="B226" s="2" t="s">
        <v>24</v>
      </c>
      <c r="C226" s="2" t="s">
        <v>233</v>
      </c>
      <c r="D226" s="2" t="s">
        <v>579</v>
      </c>
      <c r="E226" s="2" t="s">
        <v>579</v>
      </c>
      <c r="F226" s="15" t="n">
        <v>0.01</v>
      </c>
      <c r="G226" s="15" t="n">
        <v>0.01</v>
      </c>
      <c r="H226" s="15" t="n">
        <v>0</v>
      </c>
      <c r="I226" s="15" t="n">
        <v>0</v>
      </c>
      <c r="J226" s="15" t="n">
        <v>0</v>
      </c>
      <c r="K226" s="16" t="n">
        <f aca="false">IF(F226=0,"",G226/F226)</f>
        <v>1</v>
      </c>
    </row>
    <row r="227" customFormat="false" ht="15" hidden="false" customHeight="false" outlineLevel="0" collapsed="false">
      <c r="A227" s="2" t="s">
        <v>663</v>
      </c>
      <c r="B227" s="2" t="s">
        <v>24</v>
      </c>
      <c r="C227" s="2" t="s">
        <v>233</v>
      </c>
      <c r="D227" s="2" t="s">
        <v>579</v>
      </c>
      <c r="E227" s="2" t="s">
        <v>657</v>
      </c>
      <c r="F227" s="15" t="n">
        <v>0.14</v>
      </c>
      <c r="G227" s="15" t="n">
        <v>0</v>
      </c>
      <c r="H227" s="15" t="n">
        <v>0.14</v>
      </c>
      <c r="I227" s="15" t="n">
        <v>0</v>
      </c>
      <c r="J227" s="15" t="n">
        <v>0</v>
      </c>
      <c r="K227" s="16" t="n">
        <f aca="false">IF(F227=0,"",G227/F227)</f>
        <v>0</v>
      </c>
    </row>
    <row r="228" customFormat="false" ht="15" hidden="false" customHeight="false" outlineLevel="0" collapsed="false">
      <c r="A228" s="2" t="s">
        <v>664</v>
      </c>
      <c r="B228" s="2" t="s">
        <v>24</v>
      </c>
      <c r="C228" s="2" t="s">
        <v>233</v>
      </c>
      <c r="D228" s="2" t="s">
        <v>99</v>
      </c>
      <c r="E228" s="2" t="s">
        <v>665</v>
      </c>
      <c r="F228" s="15" t="n">
        <v>1.01</v>
      </c>
      <c r="G228" s="15" t="n">
        <v>0.08</v>
      </c>
      <c r="H228" s="15" t="n">
        <v>0.94</v>
      </c>
      <c r="I228" s="15" t="n">
        <v>0</v>
      </c>
      <c r="J228" s="15" t="n">
        <v>0</v>
      </c>
      <c r="K228" s="16" t="n">
        <f aca="false">IF(F228=0,"",G228/F228)</f>
        <v>0.0792079207920792</v>
      </c>
    </row>
    <row r="229" customFormat="false" ht="15" hidden="false" customHeight="false" outlineLevel="0" collapsed="false">
      <c r="A229" s="2" t="s">
        <v>666</v>
      </c>
      <c r="B229" s="2" t="s">
        <v>24</v>
      </c>
      <c r="C229" s="2" t="s">
        <v>233</v>
      </c>
      <c r="D229" s="2" t="s">
        <v>667</v>
      </c>
      <c r="E229" s="2" t="s">
        <v>509</v>
      </c>
      <c r="F229" s="15" t="n">
        <v>0.88</v>
      </c>
      <c r="G229" s="15" t="n">
        <v>0</v>
      </c>
      <c r="H229" s="15" t="n">
        <v>0.87</v>
      </c>
      <c r="I229" s="15" t="n">
        <v>0</v>
      </c>
      <c r="J229" s="15" t="n">
        <v>0</v>
      </c>
      <c r="K229" s="16" t="n">
        <f aca="false">IF(F229=0,"",G229/F229)</f>
        <v>0</v>
      </c>
    </row>
    <row r="230" customFormat="false" ht="15" hidden="false" customHeight="false" outlineLevel="0" collapsed="false">
      <c r="A230" s="2" t="s">
        <v>668</v>
      </c>
      <c r="B230" s="2" t="s">
        <v>24</v>
      </c>
      <c r="C230" s="2" t="s">
        <v>229</v>
      </c>
      <c r="D230" s="2" t="s">
        <v>669</v>
      </c>
      <c r="E230" s="2" t="s">
        <v>166</v>
      </c>
      <c r="F230" s="15" t="n">
        <v>3.36</v>
      </c>
      <c r="G230" s="15" t="n">
        <v>3.26</v>
      </c>
      <c r="H230" s="15" t="n">
        <v>0.1</v>
      </c>
      <c r="I230" s="15" t="n">
        <v>0</v>
      </c>
      <c r="J230" s="15" t="n">
        <v>0</v>
      </c>
      <c r="K230" s="16" t="n">
        <f aca="false">IF(F230=0,"",G230/F230)</f>
        <v>0.970238095238095</v>
      </c>
    </row>
    <row r="231" customFormat="false" ht="15" hidden="false" customHeight="false" outlineLevel="0" collapsed="false">
      <c r="A231" s="2" t="s">
        <v>670</v>
      </c>
      <c r="B231" s="2" t="s">
        <v>24</v>
      </c>
      <c r="C231" s="2" t="s">
        <v>252</v>
      </c>
      <c r="D231" s="2" t="s">
        <v>580</v>
      </c>
      <c r="E231" s="2" t="s">
        <v>671</v>
      </c>
      <c r="F231" s="15" t="n">
        <v>87.28</v>
      </c>
      <c r="G231" s="15" t="n">
        <v>17.58</v>
      </c>
      <c r="H231" s="15" t="n">
        <v>17.13</v>
      </c>
      <c r="I231" s="15" t="n">
        <v>0</v>
      </c>
      <c r="J231" s="15" t="n">
        <v>52.57</v>
      </c>
      <c r="K231" s="16" t="n">
        <f aca="false">IF(F231=0,"",G231/F231)</f>
        <v>0.201420714940422</v>
      </c>
    </row>
    <row r="232" customFormat="false" ht="15" hidden="false" customHeight="false" outlineLevel="0" collapsed="false">
      <c r="A232" s="2" t="s">
        <v>672</v>
      </c>
      <c r="B232" s="2" t="s">
        <v>24</v>
      </c>
      <c r="C232" s="2" t="s">
        <v>229</v>
      </c>
      <c r="D232" s="2" t="s">
        <v>669</v>
      </c>
      <c r="E232" s="2" t="s">
        <v>673</v>
      </c>
      <c r="F232" s="15" t="n">
        <v>2.25</v>
      </c>
      <c r="G232" s="15" t="n">
        <v>2.25</v>
      </c>
      <c r="H232" s="15" t="n">
        <v>0</v>
      </c>
      <c r="I232" s="15" t="n">
        <v>0</v>
      </c>
      <c r="J232" s="15" t="n">
        <v>0</v>
      </c>
      <c r="K232" s="16" t="n">
        <f aca="false">IF(F232=0,"",G232/F232)</f>
        <v>1</v>
      </c>
    </row>
    <row r="233" customFormat="false" ht="15" hidden="false" customHeight="false" outlineLevel="0" collapsed="false">
      <c r="A233" s="2" t="s">
        <v>674</v>
      </c>
      <c r="B233" s="2" t="s">
        <v>22</v>
      </c>
      <c r="C233" s="2" t="s">
        <v>229</v>
      </c>
      <c r="D233" s="2" t="s">
        <v>518</v>
      </c>
      <c r="E233" s="2" t="s">
        <v>91</v>
      </c>
      <c r="F233" s="15" t="n">
        <v>7.61</v>
      </c>
      <c r="G233" s="15" t="n">
        <v>7.61</v>
      </c>
      <c r="H233" s="15" t="n">
        <v>0</v>
      </c>
      <c r="I233" s="15" t="n">
        <v>0</v>
      </c>
      <c r="J233" s="15" t="n">
        <v>0</v>
      </c>
      <c r="K233" s="16" t="n">
        <f aca="false">IF(F233=0,"",G233/F233)</f>
        <v>1</v>
      </c>
    </row>
    <row r="234" customFormat="false" ht="15" hidden="false" customHeight="false" outlineLevel="0" collapsed="false">
      <c r="A234" s="2" t="s">
        <v>675</v>
      </c>
      <c r="B234" s="2" t="s">
        <v>22</v>
      </c>
      <c r="C234" s="2" t="s">
        <v>229</v>
      </c>
      <c r="D234" s="2" t="s">
        <v>580</v>
      </c>
      <c r="E234" s="2" t="s">
        <v>91</v>
      </c>
      <c r="F234" s="15" t="n">
        <v>14.91</v>
      </c>
      <c r="G234" s="15" t="n">
        <v>14.91</v>
      </c>
      <c r="H234" s="15" t="n">
        <v>0</v>
      </c>
      <c r="I234" s="15" t="n">
        <v>0</v>
      </c>
      <c r="J234" s="15" t="n">
        <v>0</v>
      </c>
      <c r="K234" s="16" t="n">
        <f aca="false">IF(F234=0,"",G234/F234)</f>
        <v>1</v>
      </c>
    </row>
    <row r="235" customFormat="false" ht="15" hidden="false" customHeight="false" outlineLevel="0" collapsed="false">
      <c r="A235" s="2" t="s">
        <v>676</v>
      </c>
      <c r="B235" s="2" t="s">
        <v>24</v>
      </c>
      <c r="C235" s="2" t="s">
        <v>252</v>
      </c>
      <c r="D235" s="2" t="s">
        <v>667</v>
      </c>
      <c r="E235" s="2" t="s">
        <v>542</v>
      </c>
      <c r="F235" s="15" t="n">
        <v>1.91</v>
      </c>
      <c r="G235" s="15" t="n">
        <v>0</v>
      </c>
      <c r="H235" s="15" t="n">
        <v>1.91</v>
      </c>
      <c r="I235" s="15" t="n">
        <v>0</v>
      </c>
      <c r="J235" s="15" t="n">
        <v>0</v>
      </c>
      <c r="K235" s="16" t="n">
        <f aca="false">IF(F235=0,"",G235/F235)</f>
        <v>0</v>
      </c>
    </row>
    <row r="236" customFormat="false" ht="15" hidden="false" customHeight="false" outlineLevel="0" collapsed="false">
      <c r="A236" s="2" t="s">
        <v>677</v>
      </c>
      <c r="B236" s="2" t="s">
        <v>24</v>
      </c>
      <c r="C236" s="2" t="s">
        <v>252</v>
      </c>
      <c r="D236" s="2" t="s">
        <v>678</v>
      </c>
      <c r="E236" s="2" t="s">
        <v>678</v>
      </c>
      <c r="F236" s="15" t="n">
        <v>0.69</v>
      </c>
      <c r="G236" s="15" t="n">
        <v>0.01</v>
      </c>
      <c r="H236" s="15" t="n">
        <v>0.68</v>
      </c>
      <c r="I236" s="15" t="n">
        <v>0</v>
      </c>
      <c r="J236" s="15" t="n">
        <v>0</v>
      </c>
      <c r="K236" s="16" t="n">
        <f aca="false">IF(F236=0,"",G236/F236)</f>
        <v>0.0144927536231884</v>
      </c>
    </row>
    <row r="237" customFormat="false" ht="15" hidden="false" customHeight="false" outlineLevel="0" collapsed="false">
      <c r="A237" s="2" t="s">
        <v>679</v>
      </c>
      <c r="B237" s="2" t="s">
        <v>22</v>
      </c>
      <c r="C237" s="2" t="s">
        <v>229</v>
      </c>
      <c r="D237" s="2" t="s">
        <v>680</v>
      </c>
      <c r="E237" s="2" t="s">
        <v>580</v>
      </c>
      <c r="F237" s="15" t="n">
        <v>12.97</v>
      </c>
      <c r="G237" s="15" t="n">
        <v>12.97</v>
      </c>
      <c r="H237" s="15" t="n">
        <v>0</v>
      </c>
      <c r="I237" s="15" t="n">
        <v>0</v>
      </c>
      <c r="J237" s="15" t="n">
        <v>0</v>
      </c>
      <c r="K237" s="16" t="n">
        <f aca="false">IF(F237=0,"",G237/F237)</f>
        <v>1</v>
      </c>
    </row>
    <row r="238" customFormat="false" ht="15" hidden="false" customHeight="false" outlineLevel="0" collapsed="false">
      <c r="A238" s="2" t="s">
        <v>681</v>
      </c>
      <c r="B238" s="2" t="s">
        <v>24</v>
      </c>
      <c r="C238" s="2" t="s">
        <v>229</v>
      </c>
      <c r="D238" s="2" t="s">
        <v>509</v>
      </c>
      <c r="E238" s="2" t="s">
        <v>542</v>
      </c>
      <c r="F238" s="15" t="n">
        <v>0.87</v>
      </c>
      <c r="G238" s="15" t="n">
        <v>0.82</v>
      </c>
      <c r="H238" s="15" t="n">
        <v>0.05</v>
      </c>
      <c r="I238" s="15" t="n">
        <v>0</v>
      </c>
      <c r="J238" s="15" t="n">
        <v>0</v>
      </c>
      <c r="K238" s="16" t="n">
        <f aca="false">IF(F238=0,"",G238/F238)</f>
        <v>0.942528735632184</v>
      </c>
    </row>
    <row r="239" customFormat="false" ht="15" hidden="false" customHeight="false" outlineLevel="0" collapsed="false">
      <c r="A239" s="2" t="s">
        <v>682</v>
      </c>
      <c r="B239" s="2" t="s">
        <v>22</v>
      </c>
      <c r="C239" s="2" t="s">
        <v>573</v>
      </c>
      <c r="D239" s="2" t="s">
        <v>683</v>
      </c>
      <c r="E239" s="2" t="s">
        <v>90</v>
      </c>
      <c r="F239" s="15" t="n">
        <v>9.02</v>
      </c>
      <c r="G239" s="15" t="n">
        <v>6.43</v>
      </c>
      <c r="H239" s="15" t="n">
        <v>0.2</v>
      </c>
      <c r="I239" s="15" t="n">
        <v>0</v>
      </c>
      <c r="J239" s="15" t="n">
        <v>2.39</v>
      </c>
      <c r="K239" s="16" t="n">
        <f aca="false">IF(F239=0,"",G239/F239)</f>
        <v>0.712860310421286</v>
      </c>
    </row>
    <row r="240" customFormat="false" ht="15" hidden="false" customHeight="false" outlineLevel="0" collapsed="false">
      <c r="A240" s="2" t="s">
        <v>684</v>
      </c>
      <c r="B240" s="2" t="s">
        <v>24</v>
      </c>
      <c r="C240" s="2" t="s">
        <v>229</v>
      </c>
      <c r="D240" s="2" t="s">
        <v>88</v>
      </c>
      <c r="E240" s="2" t="s">
        <v>509</v>
      </c>
      <c r="F240" s="15" t="n">
        <v>5.04</v>
      </c>
      <c r="G240" s="15" t="n">
        <v>0.02</v>
      </c>
      <c r="H240" s="15" t="n">
        <v>5.02</v>
      </c>
      <c r="I240" s="15" t="n">
        <v>0</v>
      </c>
      <c r="J240" s="15" t="n">
        <v>0</v>
      </c>
      <c r="K240" s="16" t="n">
        <f aca="false">IF(F240=0,"",G240/F240)</f>
        <v>0.00396825396825397</v>
      </c>
    </row>
    <row r="241" customFormat="false" ht="15" hidden="false" customHeight="false" outlineLevel="0" collapsed="false">
      <c r="A241" s="2" t="s">
        <v>685</v>
      </c>
      <c r="B241" s="2" t="s">
        <v>22</v>
      </c>
      <c r="C241" s="2" t="s">
        <v>229</v>
      </c>
      <c r="D241" s="2" t="s">
        <v>88</v>
      </c>
      <c r="E241" s="2" t="s">
        <v>510</v>
      </c>
      <c r="F241" s="15" t="n">
        <v>12.09</v>
      </c>
      <c r="G241" s="15" t="n">
        <v>6.63</v>
      </c>
      <c r="H241" s="15" t="n">
        <v>0.43</v>
      </c>
      <c r="I241" s="15" t="n">
        <v>0</v>
      </c>
      <c r="J241" s="15" t="n">
        <v>4.27</v>
      </c>
      <c r="K241" s="16" t="n">
        <f aca="false">IF(F241=0,"",G241/F241)</f>
        <v>0.548387096774194</v>
      </c>
    </row>
    <row r="242" customFormat="false" ht="15" hidden="false" customHeight="false" outlineLevel="0" collapsed="false">
      <c r="A242" s="2" t="s">
        <v>686</v>
      </c>
      <c r="B242" s="2" t="s">
        <v>22</v>
      </c>
      <c r="C242" s="2" t="s">
        <v>229</v>
      </c>
      <c r="D242" s="2" t="s">
        <v>583</v>
      </c>
      <c r="E242" s="2" t="s">
        <v>628</v>
      </c>
      <c r="F242" s="15" t="n">
        <v>11.56</v>
      </c>
      <c r="G242" s="15" t="n">
        <v>7.74</v>
      </c>
      <c r="H242" s="15" t="n">
        <v>3.82</v>
      </c>
      <c r="I242" s="15" t="n">
        <v>0</v>
      </c>
      <c r="J242" s="15" t="n">
        <v>0</v>
      </c>
      <c r="K242" s="16" t="n">
        <f aca="false">IF(F242=0,"",G242/F242)</f>
        <v>0.669550173010381</v>
      </c>
    </row>
    <row r="243" customFormat="false" ht="15" hidden="false" customHeight="false" outlineLevel="0" collapsed="false">
      <c r="A243" s="2" t="s">
        <v>687</v>
      </c>
      <c r="B243" s="2" t="s">
        <v>22</v>
      </c>
      <c r="C243" s="2" t="s">
        <v>229</v>
      </c>
      <c r="D243" s="2" t="s">
        <v>628</v>
      </c>
      <c r="E243" s="2" t="s">
        <v>164</v>
      </c>
      <c r="F243" s="15" t="n">
        <v>3.01</v>
      </c>
      <c r="G243" s="15" t="n">
        <v>0.27</v>
      </c>
      <c r="H243" s="15" t="n">
        <v>2.74</v>
      </c>
      <c r="I243" s="15" t="n">
        <v>0</v>
      </c>
      <c r="J243" s="15" t="n">
        <v>0</v>
      </c>
      <c r="K243" s="16" t="n">
        <f aca="false">IF(F243=0,"",G243/F243)</f>
        <v>0.0897009966777409</v>
      </c>
    </row>
    <row r="244" customFormat="false" ht="15" hidden="false" customHeight="false" outlineLevel="0" collapsed="false">
      <c r="A244" s="2" t="s">
        <v>688</v>
      </c>
      <c r="B244" s="2" t="s">
        <v>22</v>
      </c>
      <c r="C244" s="2" t="s">
        <v>229</v>
      </c>
      <c r="D244" s="2" t="s">
        <v>510</v>
      </c>
      <c r="E244" s="2" t="s">
        <v>518</v>
      </c>
      <c r="F244" s="15" t="n">
        <v>5.14</v>
      </c>
      <c r="G244" s="15" t="n">
        <v>0.26</v>
      </c>
      <c r="H244" s="15" t="n">
        <v>4.89</v>
      </c>
      <c r="I244" s="15" t="n">
        <v>0</v>
      </c>
      <c r="J244" s="15" t="n">
        <v>0</v>
      </c>
      <c r="K244" s="16" t="n">
        <f aca="false">IF(F244=0,"",G244/F244)</f>
        <v>0.0505836575875486</v>
      </c>
    </row>
    <row r="245" customFormat="false" ht="15" hidden="false" customHeight="false" outlineLevel="0" collapsed="false">
      <c r="A245" s="2" t="s">
        <v>689</v>
      </c>
      <c r="B245" s="2" t="s">
        <v>22</v>
      </c>
      <c r="C245" s="2" t="s">
        <v>229</v>
      </c>
      <c r="D245" s="2" t="s">
        <v>164</v>
      </c>
      <c r="E245" s="2" t="s">
        <v>624</v>
      </c>
      <c r="F245" s="15" t="n">
        <v>11.22</v>
      </c>
      <c r="G245" s="15" t="n">
        <v>6.1</v>
      </c>
      <c r="H245" s="15" t="n">
        <v>5.12</v>
      </c>
      <c r="I245" s="15" t="n">
        <v>0</v>
      </c>
      <c r="J245" s="15" t="n">
        <v>0</v>
      </c>
      <c r="K245" s="16" t="n">
        <f aca="false">IF(F245=0,"",G245/F245)</f>
        <v>0.54367201426025</v>
      </c>
    </row>
    <row r="246" customFormat="false" ht="15" hidden="false" customHeight="false" outlineLevel="0" collapsed="false">
      <c r="A246" s="2" t="s">
        <v>690</v>
      </c>
      <c r="B246" s="2" t="s">
        <v>22</v>
      </c>
      <c r="C246" s="2" t="s">
        <v>229</v>
      </c>
      <c r="D246" s="2" t="s">
        <v>691</v>
      </c>
      <c r="E246" s="2" t="s">
        <v>692</v>
      </c>
      <c r="F246" s="15" t="n">
        <v>10</v>
      </c>
      <c r="G246" s="15" t="n">
        <v>4.34</v>
      </c>
      <c r="H246" s="15" t="n">
        <v>5.66</v>
      </c>
      <c r="I246" s="15" t="n">
        <v>0</v>
      </c>
      <c r="J246" s="15" t="n">
        <v>0</v>
      </c>
      <c r="K246" s="16" t="n">
        <f aca="false">IF(F246=0,"",G246/F246)</f>
        <v>0.434</v>
      </c>
    </row>
    <row r="247" customFormat="false" ht="15" hidden="false" customHeight="false" outlineLevel="0" collapsed="false">
      <c r="A247" s="2" t="s">
        <v>693</v>
      </c>
      <c r="B247" s="2" t="s">
        <v>22</v>
      </c>
      <c r="C247" s="2" t="s">
        <v>229</v>
      </c>
      <c r="D247" s="2" t="s">
        <v>518</v>
      </c>
      <c r="E247" s="2" t="s">
        <v>628</v>
      </c>
      <c r="F247" s="15" t="n">
        <v>1.68</v>
      </c>
      <c r="G247" s="15" t="n">
        <v>0.86</v>
      </c>
      <c r="H247" s="15" t="n">
        <v>0.82</v>
      </c>
      <c r="I247" s="15" t="n">
        <v>0</v>
      </c>
      <c r="J247" s="15" t="n">
        <v>0</v>
      </c>
      <c r="K247" s="16" t="n">
        <f aca="false">IF(F247=0,"",G247/F247)</f>
        <v>0.511904761904762</v>
      </c>
    </row>
    <row r="248" customFormat="false" ht="15" hidden="false" customHeight="false" outlineLevel="0" collapsed="false">
      <c r="A248" s="2" t="s">
        <v>694</v>
      </c>
      <c r="B248" s="2" t="s">
        <v>24</v>
      </c>
      <c r="C248" s="2" t="s">
        <v>233</v>
      </c>
      <c r="D248" s="2" t="s">
        <v>695</v>
      </c>
      <c r="E248" s="2" t="s">
        <v>695</v>
      </c>
      <c r="F248" s="15" t="n">
        <v>0.1</v>
      </c>
      <c r="G248" s="15" t="n">
        <v>0</v>
      </c>
      <c r="H248" s="15" t="n">
        <v>0.1</v>
      </c>
      <c r="I248" s="15" t="n">
        <v>0</v>
      </c>
      <c r="J248" s="15" t="n">
        <v>0</v>
      </c>
      <c r="K248" s="16" t="n">
        <f aca="false">IF(F248=0,"",G248/F248)</f>
        <v>0</v>
      </c>
    </row>
    <row r="249" customFormat="false" ht="15" hidden="false" customHeight="false" outlineLevel="0" collapsed="false">
      <c r="A249" s="2" t="s">
        <v>696</v>
      </c>
      <c r="B249" s="2" t="s">
        <v>24</v>
      </c>
      <c r="C249" s="2" t="s">
        <v>233</v>
      </c>
      <c r="D249" s="2" t="s">
        <v>90</v>
      </c>
      <c r="E249" s="2" t="s">
        <v>93</v>
      </c>
      <c r="F249" s="15" t="n">
        <v>18.1</v>
      </c>
      <c r="G249" s="15" t="n">
        <v>12.13</v>
      </c>
      <c r="H249" s="15" t="n">
        <v>4.13</v>
      </c>
      <c r="I249" s="15" t="n">
        <v>0</v>
      </c>
      <c r="J249" s="15" t="n">
        <v>1.85</v>
      </c>
      <c r="K249" s="16" t="n">
        <f aca="false">IF(F249=0,"",G249/F249)</f>
        <v>0.670165745856354</v>
      </c>
    </row>
    <row r="250" customFormat="false" ht="15" hidden="false" customHeight="false" outlineLevel="0" collapsed="false">
      <c r="A250" s="2" t="s">
        <v>697</v>
      </c>
      <c r="B250" s="2" t="s">
        <v>24</v>
      </c>
      <c r="C250" s="2" t="s">
        <v>229</v>
      </c>
      <c r="D250" s="2" t="s">
        <v>509</v>
      </c>
      <c r="E250" s="2" t="s">
        <v>509</v>
      </c>
      <c r="F250" s="15" t="n">
        <v>0.25</v>
      </c>
      <c r="G250" s="15" t="n">
        <v>0</v>
      </c>
      <c r="H250" s="15" t="n">
        <v>0.25</v>
      </c>
      <c r="I250" s="15" t="n">
        <v>0</v>
      </c>
      <c r="J250" s="15" t="n">
        <v>0</v>
      </c>
      <c r="K250" s="16" t="n">
        <f aca="false">IF(F250=0,"",G250/F250)</f>
        <v>0</v>
      </c>
    </row>
    <row r="251" customFormat="false" ht="15" hidden="false" customHeight="false" outlineLevel="0" collapsed="false">
      <c r="A251" s="2" t="s">
        <v>698</v>
      </c>
      <c r="B251" s="2" t="s">
        <v>24</v>
      </c>
      <c r="C251" s="2" t="s">
        <v>252</v>
      </c>
      <c r="D251" s="2" t="s">
        <v>699</v>
      </c>
      <c r="E251" s="2" t="s">
        <v>700</v>
      </c>
      <c r="F251" s="15" t="n">
        <v>5.14</v>
      </c>
      <c r="G251" s="15" t="n">
        <v>2.98</v>
      </c>
      <c r="H251" s="15" t="n">
        <v>0.2</v>
      </c>
      <c r="I251" s="15" t="n">
        <v>0</v>
      </c>
      <c r="J251" s="15" t="n">
        <v>1.96</v>
      </c>
      <c r="K251" s="16" t="n">
        <f aca="false">IF(F251=0,"",G251/F251)</f>
        <v>0.579766536964981</v>
      </c>
    </row>
    <row r="252" customFormat="false" ht="15" hidden="false" customHeight="false" outlineLevel="0" collapsed="false">
      <c r="A252" s="2" t="s">
        <v>701</v>
      </c>
      <c r="B252" s="2" t="s">
        <v>24</v>
      </c>
      <c r="C252" s="2" t="s">
        <v>252</v>
      </c>
      <c r="D252" s="2" t="s">
        <v>542</v>
      </c>
      <c r="E252" s="2" t="s">
        <v>583</v>
      </c>
      <c r="F252" s="15" t="n">
        <v>1.1</v>
      </c>
      <c r="G252" s="15" t="n">
        <v>0.89</v>
      </c>
      <c r="H252" s="15" t="n">
        <v>0.21</v>
      </c>
      <c r="I252" s="15" t="n">
        <v>0</v>
      </c>
      <c r="J252" s="15" t="n">
        <v>0</v>
      </c>
      <c r="K252" s="16" t="n">
        <f aca="false">IF(F252=0,"",G252/F252)</f>
        <v>0.809090909090909</v>
      </c>
    </row>
    <row r="253" customFormat="false" ht="15" hidden="false" customHeight="false" outlineLevel="0" collapsed="false">
      <c r="A253" s="2" t="s">
        <v>702</v>
      </c>
      <c r="B253" s="2" t="s">
        <v>24</v>
      </c>
      <c r="C253" s="2" t="s">
        <v>252</v>
      </c>
      <c r="D253" s="2" t="s">
        <v>703</v>
      </c>
      <c r="E253" s="2" t="s">
        <v>624</v>
      </c>
      <c r="F253" s="15" t="n">
        <v>6.39</v>
      </c>
      <c r="G253" s="15" t="n">
        <v>0.01</v>
      </c>
      <c r="H253" s="15" t="n">
        <v>6.38</v>
      </c>
      <c r="I253" s="15" t="n">
        <v>0</v>
      </c>
      <c r="J253" s="15" t="n">
        <v>0</v>
      </c>
      <c r="K253" s="16" t="n">
        <f aca="false">IF(F253=0,"",G253/F253)</f>
        <v>0.00156494522691706</v>
      </c>
    </row>
    <row r="254" customFormat="false" ht="15" hidden="false" customHeight="false" outlineLevel="0" collapsed="false">
      <c r="A254" s="2" t="s">
        <v>704</v>
      </c>
      <c r="B254" s="2" t="s">
        <v>24</v>
      </c>
      <c r="C254" s="2" t="s">
        <v>229</v>
      </c>
      <c r="D254" s="2" t="s">
        <v>509</v>
      </c>
      <c r="E254" s="2" t="s">
        <v>542</v>
      </c>
      <c r="F254" s="15" t="n">
        <v>0.45</v>
      </c>
      <c r="G254" s="15" t="n">
        <v>0.06</v>
      </c>
      <c r="H254" s="15" t="n">
        <v>0.39</v>
      </c>
      <c r="I254" s="15" t="n">
        <v>0</v>
      </c>
      <c r="J254" s="15" t="n">
        <v>0</v>
      </c>
      <c r="K254" s="16" t="n">
        <f aca="false">IF(F254=0,"",G254/F254)</f>
        <v>0.133333333333333</v>
      </c>
    </row>
    <row r="255" customFormat="false" ht="15" hidden="false" customHeight="false" outlineLevel="0" collapsed="false">
      <c r="A255" s="2" t="s">
        <v>705</v>
      </c>
      <c r="B255" s="2" t="s">
        <v>24</v>
      </c>
      <c r="C255" s="2" t="s">
        <v>233</v>
      </c>
      <c r="D255" s="2" t="s">
        <v>542</v>
      </c>
      <c r="E255" s="2" t="s">
        <v>583</v>
      </c>
      <c r="F255" s="15" t="n">
        <v>0.96</v>
      </c>
      <c r="G255" s="15" t="n">
        <v>0.02</v>
      </c>
      <c r="H255" s="15" t="n">
        <v>0.94</v>
      </c>
      <c r="I255" s="15" t="n">
        <v>0</v>
      </c>
      <c r="J255" s="15" t="n">
        <v>0</v>
      </c>
      <c r="K255" s="16" t="n">
        <f aca="false">IF(F255=0,"",G255/F255)</f>
        <v>0.0208333333333333</v>
      </c>
    </row>
    <row r="256" customFormat="false" ht="15" hidden="false" customHeight="false" outlineLevel="0" collapsed="false">
      <c r="A256" s="2" t="s">
        <v>706</v>
      </c>
      <c r="B256" s="2" t="s">
        <v>24</v>
      </c>
      <c r="C256" s="2" t="s">
        <v>248</v>
      </c>
      <c r="D256" s="2" t="s">
        <v>542</v>
      </c>
      <c r="E256" s="2" t="s">
        <v>510</v>
      </c>
      <c r="F256" s="15" t="n">
        <v>5.72</v>
      </c>
      <c r="G256" s="15" t="n">
        <v>0.59</v>
      </c>
      <c r="H256" s="15" t="n">
        <v>5.13</v>
      </c>
      <c r="I256" s="15" t="n">
        <v>0</v>
      </c>
      <c r="J256" s="15" t="n">
        <v>0</v>
      </c>
      <c r="K256" s="16" t="n">
        <f aca="false">IF(F256=0,"",G256/F256)</f>
        <v>0.103146853146853</v>
      </c>
    </row>
    <row r="257" customFormat="false" ht="15" hidden="false" customHeight="false" outlineLevel="0" collapsed="false">
      <c r="A257" s="2" t="s">
        <v>707</v>
      </c>
      <c r="B257" s="2" t="s">
        <v>24</v>
      </c>
      <c r="C257" s="2" t="s">
        <v>229</v>
      </c>
      <c r="D257" s="2" t="s">
        <v>542</v>
      </c>
      <c r="E257" s="2" t="s">
        <v>90</v>
      </c>
      <c r="F257" s="15" t="n">
        <v>1.62</v>
      </c>
      <c r="G257" s="15" t="n">
        <v>0.03</v>
      </c>
      <c r="H257" s="15" t="n">
        <v>1.59</v>
      </c>
      <c r="I257" s="15" t="n">
        <v>0</v>
      </c>
      <c r="J257" s="15" t="n">
        <v>0</v>
      </c>
      <c r="K257" s="16" t="n">
        <f aca="false">IF(F257=0,"",G257/F257)</f>
        <v>0.0185185185185185</v>
      </c>
    </row>
    <row r="258" customFormat="false" ht="15" hidden="false" customHeight="false" outlineLevel="0" collapsed="false">
      <c r="A258" s="2" t="s">
        <v>708</v>
      </c>
      <c r="B258" s="2" t="s">
        <v>24</v>
      </c>
      <c r="C258" s="2" t="s">
        <v>229</v>
      </c>
      <c r="D258" s="2" t="s">
        <v>90</v>
      </c>
      <c r="E258" s="2" t="s">
        <v>370</v>
      </c>
      <c r="F258" s="15" t="n">
        <v>6.83</v>
      </c>
      <c r="G258" s="15" t="n">
        <v>0.11</v>
      </c>
      <c r="H258" s="15" t="n">
        <v>6.73</v>
      </c>
      <c r="I258" s="15" t="n">
        <v>0</v>
      </c>
      <c r="J258" s="15" t="n">
        <v>0</v>
      </c>
      <c r="K258" s="16" t="n">
        <f aca="false">IF(F258=0,"",G258/F258)</f>
        <v>0.0161054172767204</v>
      </c>
    </row>
    <row r="259" customFormat="false" ht="15" hidden="false" customHeight="false" outlineLevel="0" collapsed="false">
      <c r="A259" s="2" t="s">
        <v>709</v>
      </c>
      <c r="B259" s="2" t="s">
        <v>24</v>
      </c>
      <c r="C259" s="2" t="s">
        <v>252</v>
      </c>
      <c r="D259" s="2" t="s">
        <v>510</v>
      </c>
      <c r="E259" s="2" t="s">
        <v>510</v>
      </c>
      <c r="F259" s="15" t="n">
        <v>0.08</v>
      </c>
      <c r="G259" s="15" t="n">
        <v>0.08</v>
      </c>
      <c r="H259" s="15" t="n">
        <v>0</v>
      </c>
      <c r="I259" s="15" t="n">
        <v>0</v>
      </c>
      <c r="J259" s="15" t="n">
        <v>0</v>
      </c>
      <c r="K259" s="16" t="n">
        <f aca="false">IF(F259=0,"",G259/F259)</f>
        <v>1</v>
      </c>
    </row>
    <row r="260" customFormat="false" ht="15" hidden="false" customHeight="false" outlineLevel="0" collapsed="false">
      <c r="A260" s="2" t="s">
        <v>710</v>
      </c>
      <c r="B260" s="2" t="s">
        <v>22</v>
      </c>
      <c r="C260" s="2" t="s">
        <v>229</v>
      </c>
      <c r="D260" s="2" t="s">
        <v>691</v>
      </c>
      <c r="E260" s="2" t="s">
        <v>99</v>
      </c>
      <c r="F260" s="15" t="n">
        <v>41.34</v>
      </c>
      <c r="G260" s="15" t="n">
        <v>41.34</v>
      </c>
      <c r="H260" s="15" t="n">
        <v>0</v>
      </c>
      <c r="I260" s="15" t="n">
        <v>0</v>
      </c>
      <c r="J260" s="15" t="n">
        <v>0</v>
      </c>
      <c r="K260" s="16" t="n">
        <f aca="false">IF(F260=0,"",G260/F260)</f>
        <v>1</v>
      </c>
    </row>
    <row r="261" customFormat="false" ht="15" hidden="false" customHeight="false" outlineLevel="0" collapsed="false">
      <c r="A261" s="2" t="s">
        <v>711</v>
      </c>
      <c r="B261" s="2" t="s">
        <v>24</v>
      </c>
      <c r="C261" s="2" t="s">
        <v>229</v>
      </c>
      <c r="D261" s="2" t="s">
        <v>510</v>
      </c>
      <c r="E261" s="2" t="s">
        <v>510</v>
      </c>
      <c r="F261" s="15" t="n">
        <v>0.39</v>
      </c>
      <c r="G261" s="15" t="n">
        <v>0</v>
      </c>
      <c r="H261" s="15" t="n">
        <v>0.39</v>
      </c>
      <c r="I261" s="15" t="n">
        <v>0</v>
      </c>
      <c r="J261" s="15" t="n">
        <v>0</v>
      </c>
      <c r="K261" s="16" t="n">
        <f aca="false">IF(F261=0,"",G261/F261)</f>
        <v>0</v>
      </c>
    </row>
    <row r="262" customFormat="false" ht="15" hidden="false" customHeight="false" outlineLevel="0" collapsed="false">
      <c r="A262" s="2" t="s">
        <v>712</v>
      </c>
      <c r="B262" s="2" t="s">
        <v>24</v>
      </c>
      <c r="C262" s="2" t="s">
        <v>252</v>
      </c>
      <c r="D262" s="2" t="s">
        <v>713</v>
      </c>
      <c r="E262" s="2" t="s">
        <v>326</v>
      </c>
      <c r="F262" s="15" t="n">
        <v>36.94</v>
      </c>
      <c r="G262" s="15" t="n">
        <v>1.05</v>
      </c>
      <c r="H262" s="15" t="n">
        <v>0</v>
      </c>
      <c r="I262" s="15" t="n">
        <v>35.34</v>
      </c>
      <c r="J262" s="15" t="n">
        <v>0.54</v>
      </c>
      <c r="K262" s="16" t="n">
        <f aca="false">IF(F262=0,"",G262/F262)</f>
        <v>0.0284244721169464</v>
      </c>
    </row>
    <row r="263" customFormat="false" ht="15" hidden="false" customHeight="false" outlineLevel="0" collapsed="false">
      <c r="A263" s="2" t="s">
        <v>714</v>
      </c>
      <c r="B263" s="2" t="s">
        <v>24</v>
      </c>
      <c r="C263" s="2" t="s">
        <v>229</v>
      </c>
      <c r="D263" s="2" t="s">
        <v>665</v>
      </c>
      <c r="E263" s="2" t="s">
        <v>209</v>
      </c>
      <c r="F263" s="15" t="n">
        <v>22.09</v>
      </c>
      <c r="G263" s="15" t="n">
        <v>21.45</v>
      </c>
      <c r="H263" s="15" t="n">
        <v>0.64</v>
      </c>
      <c r="I263" s="15" t="n">
        <v>0</v>
      </c>
      <c r="J263" s="15" t="n">
        <v>0</v>
      </c>
      <c r="K263" s="16" t="n">
        <f aca="false">IF(F263=0,"",G263/F263)</f>
        <v>0.971027614305115</v>
      </c>
    </row>
    <row r="264" customFormat="false" ht="15" hidden="false" customHeight="false" outlineLevel="0" collapsed="false">
      <c r="A264" s="2" t="s">
        <v>715</v>
      </c>
      <c r="B264" s="2" t="s">
        <v>24</v>
      </c>
      <c r="C264" s="2" t="s">
        <v>248</v>
      </c>
      <c r="D264" s="2" t="s">
        <v>635</v>
      </c>
      <c r="E264" s="2" t="s">
        <v>716</v>
      </c>
      <c r="F264" s="15" t="n">
        <v>11.06</v>
      </c>
      <c r="G264" s="15" t="n">
        <v>11.06</v>
      </c>
      <c r="H264" s="15" t="n">
        <v>0</v>
      </c>
      <c r="I264" s="15" t="n">
        <v>0</v>
      </c>
      <c r="J264" s="15" t="n">
        <v>0</v>
      </c>
      <c r="K264" s="16" t="n">
        <f aca="false">IF(F264=0,"",G264/F264)</f>
        <v>1</v>
      </c>
    </row>
    <row r="265" customFormat="false" ht="15" hidden="false" customHeight="false" outlineLevel="0" collapsed="false">
      <c r="A265" s="2" t="s">
        <v>717</v>
      </c>
      <c r="B265" s="2" t="s">
        <v>24</v>
      </c>
      <c r="C265" s="2" t="s">
        <v>248</v>
      </c>
      <c r="D265" s="2" t="s">
        <v>98</v>
      </c>
      <c r="E265" s="2" t="s">
        <v>718</v>
      </c>
      <c r="F265" s="15" t="n">
        <v>37.23</v>
      </c>
      <c r="G265" s="15" t="n">
        <v>14.9</v>
      </c>
      <c r="H265" s="15" t="n">
        <v>0</v>
      </c>
      <c r="I265" s="15" t="n">
        <v>0</v>
      </c>
      <c r="J265" s="15" t="n">
        <v>22.34</v>
      </c>
      <c r="K265" s="16" t="n">
        <f aca="false">IF(F265=0,"",G265/F265)</f>
        <v>0.400214880472737</v>
      </c>
    </row>
    <row r="266" customFormat="false" ht="15" hidden="false" customHeight="false" outlineLevel="0" collapsed="false">
      <c r="A266" s="2" t="s">
        <v>719</v>
      </c>
      <c r="B266" s="2" t="s">
        <v>24</v>
      </c>
      <c r="C266" s="2" t="s">
        <v>229</v>
      </c>
      <c r="D266" s="2" t="s">
        <v>561</v>
      </c>
      <c r="E266" s="2" t="s">
        <v>93</v>
      </c>
      <c r="F266" s="15" t="n">
        <v>4.86</v>
      </c>
      <c r="G266" s="15" t="n">
        <v>0.74</v>
      </c>
      <c r="H266" s="15" t="n">
        <v>4.12</v>
      </c>
      <c r="I266" s="15" t="n">
        <v>0</v>
      </c>
      <c r="J266" s="15" t="n">
        <v>0</v>
      </c>
      <c r="K266" s="16" t="n">
        <f aca="false">IF(F266=0,"",G266/F266)</f>
        <v>0.152263374485597</v>
      </c>
    </row>
    <row r="267" customFormat="false" ht="15" hidden="false" customHeight="false" outlineLevel="0" collapsed="false">
      <c r="A267" s="2" t="s">
        <v>720</v>
      </c>
      <c r="B267" s="2" t="s">
        <v>24</v>
      </c>
      <c r="C267" s="2" t="s">
        <v>233</v>
      </c>
      <c r="D267" s="2" t="s">
        <v>518</v>
      </c>
      <c r="E267" s="2" t="s">
        <v>628</v>
      </c>
      <c r="F267" s="15" t="n">
        <v>1.04</v>
      </c>
      <c r="G267" s="15" t="n">
        <v>0</v>
      </c>
      <c r="H267" s="15" t="n">
        <v>1.04</v>
      </c>
      <c r="I267" s="15" t="n">
        <v>0</v>
      </c>
      <c r="J267" s="15" t="n">
        <v>0</v>
      </c>
      <c r="K267" s="16" t="n">
        <f aca="false">IF(F267=0,"",G267/F267)</f>
        <v>0</v>
      </c>
    </row>
    <row r="268" customFormat="false" ht="15" hidden="false" customHeight="false" outlineLevel="0" collapsed="false">
      <c r="A268" s="2" t="s">
        <v>721</v>
      </c>
      <c r="B268" s="2" t="s">
        <v>22</v>
      </c>
      <c r="C268" s="2" t="s">
        <v>229</v>
      </c>
      <c r="D268" s="2" t="s">
        <v>518</v>
      </c>
      <c r="E268" s="2" t="s">
        <v>518</v>
      </c>
      <c r="F268" s="15" t="n">
        <v>0.02</v>
      </c>
      <c r="G268" s="15" t="n">
        <v>0.02</v>
      </c>
      <c r="H268" s="15" t="n">
        <v>0</v>
      </c>
      <c r="I268" s="15" t="n">
        <v>0</v>
      </c>
      <c r="J268" s="15" t="n">
        <v>0</v>
      </c>
      <c r="K268" s="16" t="n">
        <f aca="false">IF(F268=0,"",G268/F268)</f>
        <v>1</v>
      </c>
    </row>
    <row r="269" customFormat="false" ht="15" hidden="false" customHeight="false" outlineLevel="0" collapsed="false">
      <c r="A269" s="2" t="s">
        <v>722</v>
      </c>
      <c r="B269" s="2" t="s">
        <v>24</v>
      </c>
      <c r="C269" s="2" t="s">
        <v>248</v>
      </c>
      <c r="D269" s="2" t="s">
        <v>723</v>
      </c>
      <c r="E269" s="2" t="s">
        <v>724</v>
      </c>
      <c r="F269" s="15" t="n">
        <v>27.14</v>
      </c>
      <c r="G269" s="15" t="n">
        <v>27.14</v>
      </c>
      <c r="H269" s="15" t="n">
        <v>0</v>
      </c>
      <c r="I269" s="15" t="n">
        <v>0</v>
      </c>
      <c r="J269" s="15" t="n">
        <v>0</v>
      </c>
      <c r="K269" s="16" t="n">
        <f aca="false">IF(F269=0,"",G269/F269)</f>
        <v>1</v>
      </c>
    </row>
    <row r="270" customFormat="false" ht="15" hidden="false" customHeight="false" outlineLevel="0" collapsed="false">
      <c r="A270" s="2" t="s">
        <v>725</v>
      </c>
      <c r="B270" s="2" t="s">
        <v>22</v>
      </c>
      <c r="C270" s="2" t="s">
        <v>617</v>
      </c>
      <c r="D270" s="2" t="s">
        <v>164</v>
      </c>
      <c r="E270" s="2" t="s">
        <v>703</v>
      </c>
      <c r="F270" s="15" t="n">
        <v>4.91</v>
      </c>
      <c r="G270" s="15" t="n">
        <v>3.86</v>
      </c>
      <c r="H270" s="15" t="n">
        <v>1.04</v>
      </c>
      <c r="I270" s="15" t="n">
        <v>0</v>
      </c>
      <c r="J270" s="15" t="n">
        <v>0</v>
      </c>
      <c r="K270" s="16" t="n">
        <f aca="false">IF(F270=0,"",G270/F270)</f>
        <v>0.786150712830957</v>
      </c>
    </row>
    <row r="271" customFormat="false" ht="15" hidden="false" customHeight="false" outlineLevel="0" collapsed="false">
      <c r="A271" s="2" t="s">
        <v>726</v>
      </c>
      <c r="B271" s="2" t="s">
        <v>22</v>
      </c>
      <c r="C271" s="2" t="s">
        <v>229</v>
      </c>
      <c r="D271" s="2" t="s">
        <v>93</v>
      </c>
      <c r="E271" s="2" t="s">
        <v>231</v>
      </c>
      <c r="F271" s="15" t="n">
        <v>20.2</v>
      </c>
      <c r="G271" s="15" t="n">
        <v>17.18</v>
      </c>
      <c r="H271" s="15" t="n">
        <v>3.01</v>
      </c>
      <c r="I271" s="15" t="n">
        <v>0</v>
      </c>
      <c r="J271" s="15" t="n">
        <v>0</v>
      </c>
      <c r="K271" s="16" t="n">
        <f aca="false">IF(F271=0,"",G271/F271)</f>
        <v>0.850495049504951</v>
      </c>
    </row>
    <row r="272" customFormat="false" ht="15" hidden="false" customHeight="false" outlineLevel="0" collapsed="false">
      <c r="A272" s="2" t="s">
        <v>727</v>
      </c>
      <c r="B272" s="2" t="s">
        <v>24</v>
      </c>
      <c r="C272" s="2" t="s">
        <v>229</v>
      </c>
      <c r="D272" s="2" t="s">
        <v>665</v>
      </c>
      <c r="E272" s="2" t="s">
        <v>728</v>
      </c>
      <c r="F272" s="15" t="n">
        <v>18.15</v>
      </c>
      <c r="G272" s="15" t="n">
        <v>18.15</v>
      </c>
      <c r="H272" s="15" t="n">
        <v>0</v>
      </c>
      <c r="I272" s="15" t="n">
        <v>0</v>
      </c>
      <c r="J272" s="15" t="n">
        <v>0</v>
      </c>
      <c r="K272" s="16" t="n">
        <f aca="false">IF(F272=0,"",G272/F272)</f>
        <v>1</v>
      </c>
    </row>
    <row r="273" customFormat="false" ht="15" hidden="false" customHeight="false" outlineLevel="0" collapsed="false">
      <c r="A273" s="2" t="s">
        <v>729</v>
      </c>
      <c r="B273" s="2" t="s">
        <v>22</v>
      </c>
      <c r="C273" s="2" t="s">
        <v>229</v>
      </c>
      <c r="D273" s="2" t="s">
        <v>730</v>
      </c>
      <c r="E273" s="2" t="s">
        <v>730</v>
      </c>
      <c r="F273" s="15" t="n">
        <v>0.05</v>
      </c>
      <c r="G273" s="15" t="n">
        <v>0.05</v>
      </c>
      <c r="H273" s="15" t="n">
        <v>0</v>
      </c>
      <c r="I273" s="15" t="n">
        <v>0</v>
      </c>
      <c r="J273" s="15" t="n">
        <v>0</v>
      </c>
      <c r="K273" s="16" t="n">
        <f aca="false">IF(F273=0,"",G273/F273)</f>
        <v>1</v>
      </c>
    </row>
    <row r="274" customFormat="false" ht="15" hidden="false" customHeight="false" outlineLevel="0" collapsed="false">
      <c r="A274" s="2" t="s">
        <v>731</v>
      </c>
      <c r="B274" s="2" t="s">
        <v>24</v>
      </c>
      <c r="C274" s="2" t="s">
        <v>229</v>
      </c>
      <c r="D274" s="2" t="s">
        <v>93</v>
      </c>
      <c r="E274" s="2" t="s">
        <v>732</v>
      </c>
      <c r="F274" s="15" t="n">
        <v>3.08</v>
      </c>
      <c r="G274" s="15" t="n">
        <v>0.06</v>
      </c>
      <c r="H274" s="15" t="n">
        <v>3.02</v>
      </c>
      <c r="I274" s="15" t="n">
        <v>0</v>
      </c>
      <c r="J274" s="15" t="n">
        <v>0</v>
      </c>
      <c r="K274" s="16" t="n">
        <f aca="false">IF(F274=0,"",G274/F274)</f>
        <v>0.0194805194805195</v>
      </c>
    </row>
    <row r="275" customFormat="false" ht="15" hidden="false" customHeight="false" outlineLevel="0" collapsed="false">
      <c r="A275" s="2" t="s">
        <v>733</v>
      </c>
      <c r="B275" s="2" t="s">
        <v>22</v>
      </c>
      <c r="C275" s="2" t="s">
        <v>229</v>
      </c>
      <c r="D275" s="2" t="s">
        <v>669</v>
      </c>
      <c r="E275" s="2" t="s">
        <v>166</v>
      </c>
      <c r="F275" s="15" t="n">
        <v>3.74</v>
      </c>
      <c r="G275" s="15" t="n">
        <v>0.03</v>
      </c>
      <c r="H275" s="15" t="n">
        <v>3.71</v>
      </c>
      <c r="I275" s="15" t="n">
        <v>0</v>
      </c>
      <c r="J275" s="15" t="n">
        <v>0</v>
      </c>
      <c r="K275" s="16" t="n">
        <f aca="false">IF(F275=0,"",G275/F275)</f>
        <v>0.00802139037433155</v>
      </c>
    </row>
    <row r="276" customFormat="false" ht="15" hidden="false" customHeight="false" outlineLevel="0" collapsed="false">
      <c r="A276" s="2" t="s">
        <v>734</v>
      </c>
      <c r="B276" s="2" t="s">
        <v>22</v>
      </c>
      <c r="C276" s="2" t="s">
        <v>229</v>
      </c>
      <c r="D276" s="2" t="s">
        <v>624</v>
      </c>
      <c r="E276" s="2" t="s">
        <v>640</v>
      </c>
      <c r="F276" s="15" t="n">
        <v>8.94</v>
      </c>
      <c r="G276" s="15" t="n">
        <v>0.89</v>
      </c>
      <c r="H276" s="15" t="n">
        <v>8.05</v>
      </c>
      <c r="I276" s="15" t="n">
        <v>0</v>
      </c>
      <c r="J276" s="15" t="n">
        <v>0</v>
      </c>
      <c r="K276" s="16" t="n">
        <f aca="false">IF(F276=0,"",G276/F276)</f>
        <v>0.0995525727069351</v>
      </c>
    </row>
    <row r="277" customFormat="false" ht="15" hidden="false" customHeight="false" outlineLevel="0" collapsed="false">
      <c r="A277" s="2" t="s">
        <v>735</v>
      </c>
      <c r="B277" s="2" t="s">
        <v>22</v>
      </c>
      <c r="C277" s="2" t="s">
        <v>229</v>
      </c>
      <c r="D277" s="2" t="s">
        <v>93</v>
      </c>
      <c r="E277" s="2" t="s">
        <v>736</v>
      </c>
      <c r="F277" s="15" t="n">
        <v>35.09</v>
      </c>
      <c r="G277" s="15" t="n">
        <v>34.85</v>
      </c>
      <c r="H277" s="15" t="n">
        <v>0.24</v>
      </c>
      <c r="I277" s="15" t="n">
        <v>0</v>
      </c>
      <c r="J277" s="15" t="n">
        <v>0</v>
      </c>
      <c r="K277" s="16" t="n">
        <f aca="false">IF(F277=0,"",G277/F277)</f>
        <v>0.993160444571103</v>
      </c>
    </row>
    <row r="278" customFormat="false" ht="15" hidden="false" customHeight="false" outlineLevel="0" collapsed="false">
      <c r="A278" s="2" t="s">
        <v>737</v>
      </c>
      <c r="B278" s="2" t="s">
        <v>22</v>
      </c>
      <c r="C278" s="2" t="s">
        <v>229</v>
      </c>
      <c r="D278" s="2" t="s">
        <v>93</v>
      </c>
      <c r="E278" s="2" t="s">
        <v>94</v>
      </c>
      <c r="F278" s="15" t="n">
        <v>13.61</v>
      </c>
      <c r="G278" s="15" t="n">
        <v>13.61</v>
      </c>
      <c r="H278" s="15" t="n">
        <v>0</v>
      </c>
      <c r="I278" s="15" t="n">
        <v>0</v>
      </c>
      <c r="J278" s="15" t="n">
        <v>0</v>
      </c>
      <c r="K278" s="16" t="n">
        <f aca="false">IF(F278=0,"",G278/F278)</f>
        <v>1</v>
      </c>
    </row>
    <row r="279" customFormat="false" ht="15" hidden="false" customHeight="false" outlineLevel="0" collapsed="false">
      <c r="A279" s="2" t="s">
        <v>738</v>
      </c>
      <c r="B279" s="2" t="s">
        <v>24</v>
      </c>
      <c r="C279" s="2" t="s">
        <v>248</v>
      </c>
      <c r="D279" s="2" t="s">
        <v>592</v>
      </c>
      <c r="E279" s="2" t="s">
        <v>592</v>
      </c>
      <c r="F279" s="15" t="n">
        <v>0.28</v>
      </c>
      <c r="G279" s="15" t="n">
        <v>0.03</v>
      </c>
      <c r="H279" s="15" t="n">
        <v>0.26</v>
      </c>
      <c r="I279" s="15" t="n">
        <v>0</v>
      </c>
      <c r="J279" s="15" t="n">
        <v>0</v>
      </c>
      <c r="K279" s="16" t="n">
        <f aca="false">IF(F279=0,"",G279/F279)</f>
        <v>0.107142857142857</v>
      </c>
    </row>
    <row r="280" customFormat="false" ht="15" hidden="false" customHeight="false" outlineLevel="0" collapsed="false">
      <c r="A280" s="2" t="s">
        <v>739</v>
      </c>
      <c r="B280" s="2" t="s">
        <v>22</v>
      </c>
      <c r="C280" s="2" t="s">
        <v>229</v>
      </c>
      <c r="D280" s="2" t="s">
        <v>349</v>
      </c>
      <c r="E280" s="2" t="s">
        <v>101</v>
      </c>
      <c r="F280" s="15" t="n">
        <v>5.68</v>
      </c>
      <c r="G280" s="15" t="n">
        <v>5.68</v>
      </c>
      <c r="H280" s="15" t="n">
        <v>0</v>
      </c>
      <c r="I280" s="15" t="n">
        <v>0</v>
      </c>
      <c r="J280" s="15" t="n">
        <v>0</v>
      </c>
      <c r="K280" s="16" t="n">
        <f aca="false">IF(F280=0,"",G280/F280)</f>
        <v>1</v>
      </c>
    </row>
    <row r="281" customFormat="false" ht="15" hidden="false" customHeight="false" outlineLevel="0" collapsed="false">
      <c r="A281" s="2" t="s">
        <v>740</v>
      </c>
      <c r="B281" s="2" t="s">
        <v>24</v>
      </c>
      <c r="C281" s="2" t="s">
        <v>252</v>
      </c>
      <c r="D281" s="2" t="s">
        <v>665</v>
      </c>
      <c r="E281" s="2" t="s">
        <v>723</v>
      </c>
      <c r="F281" s="15" t="n">
        <v>5.81</v>
      </c>
      <c r="G281" s="15" t="n">
        <v>5.81</v>
      </c>
      <c r="H281" s="15" t="n">
        <v>0</v>
      </c>
      <c r="I281" s="15" t="n">
        <v>0</v>
      </c>
      <c r="J281" s="15" t="n">
        <v>0</v>
      </c>
      <c r="K281" s="16" t="n">
        <f aca="false">IF(F281=0,"",G281/F281)</f>
        <v>1</v>
      </c>
    </row>
    <row r="282" customFormat="false" ht="15" hidden="false" customHeight="false" outlineLevel="0" collapsed="false">
      <c r="A282" s="2" t="s">
        <v>741</v>
      </c>
      <c r="B282" s="2" t="s">
        <v>24</v>
      </c>
      <c r="C282" s="2" t="s">
        <v>229</v>
      </c>
      <c r="D282" s="2" t="s">
        <v>732</v>
      </c>
      <c r="E282" s="2" t="s">
        <v>166</v>
      </c>
      <c r="F282" s="15" t="n">
        <v>6.72</v>
      </c>
      <c r="G282" s="15" t="n">
        <v>5.68</v>
      </c>
      <c r="H282" s="15" t="n">
        <v>1.04</v>
      </c>
      <c r="I282" s="15" t="n">
        <v>0</v>
      </c>
      <c r="J282" s="15" t="n">
        <v>0</v>
      </c>
      <c r="K282" s="16" t="n">
        <f aca="false">IF(F282=0,"",G282/F282)</f>
        <v>0.845238095238095</v>
      </c>
    </row>
    <row r="283" customFormat="false" ht="15" hidden="false" customHeight="false" outlineLevel="0" collapsed="false">
      <c r="A283" s="2" t="s">
        <v>742</v>
      </c>
      <c r="B283" s="2" t="s">
        <v>22</v>
      </c>
      <c r="C283" s="2" t="s">
        <v>233</v>
      </c>
      <c r="D283" s="2" t="s">
        <v>743</v>
      </c>
      <c r="E283" s="2" t="s">
        <v>744</v>
      </c>
      <c r="F283" s="15" t="n">
        <v>7.77</v>
      </c>
      <c r="G283" s="15" t="n">
        <v>4.91</v>
      </c>
      <c r="H283" s="15" t="n">
        <v>0.58</v>
      </c>
      <c r="I283" s="15" t="n">
        <v>0</v>
      </c>
      <c r="J283" s="15" t="n">
        <v>0.66</v>
      </c>
      <c r="K283" s="16" t="n">
        <f aca="false">IF(F283=0,"",G283/F283)</f>
        <v>0.631917631917632</v>
      </c>
    </row>
    <row r="284" customFormat="false" ht="15" hidden="false" customHeight="false" outlineLevel="0" collapsed="false">
      <c r="A284" s="2" t="s">
        <v>745</v>
      </c>
      <c r="B284" s="2" t="s">
        <v>24</v>
      </c>
      <c r="C284" s="2" t="s">
        <v>233</v>
      </c>
      <c r="D284" s="2" t="s">
        <v>743</v>
      </c>
      <c r="E284" s="2" t="s">
        <v>678</v>
      </c>
      <c r="F284" s="15" t="n">
        <v>12.32</v>
      </c>
      <c r="G284" s="15" t="n">
        <v>8.27</v>
      </c>
      <c r="H284" s="15" t="n">
        <v>0</v>
      </c>
      <c r="I284" s="15" t="n">
        <v>0</v>
      </c>
      <c r="J284" s="15" t="n">
        <v>0.37</v>
      </c>
      <c r="K284" s="16" t="n">
        <f aca="false">IF(F284=0,"",G284/F284)</f>
        <v>0.671266233766234</v>
      </c>
    </row>
    <row r="285" customFormat="false" ht="15" hidden="false" customHeight="false" outlineLevel="0" collapsed="false">
      <c r="A285" s="2" t="s">
        <v>746</v>
      </c>
      <c r="B285" s="2" t="s">
        <v>22</v>
      </c>
      <c r="C285" s="2" t="s">
        <v>229</v>
      </c>
      <c r="D285" s="2" t="s">
        <v>94</v>
      </c>
      <c r="E285" s="2" t="s">
        <v>747</v>
      </c>
      <c r="F285" s="15" t="n">
        <v>4.01</v>
      </c>
      <c r="G285" s="15" t="n">
        <v>0.02</v>
      </c>
      <c r="H285" s="15" t="n">
        <v>3.99</v>
      </c>
      <c r="I285" s="15" t="n">
        <v>0</v>
      </c>
      <c r="J285" s="15" t="n">
        <v>0</v>
      </c>
      <c r="K285" s="16" t="n">
        <f aca="false">IF(F285=0,"",G285/F285)</f>
        <v>0.00498753117206983</v>
      </c>
    </row>
    <row r="286" customFormat="false" ht="15" hidden="false" customHeight="false" outlineLevel="0" collapsed="false">
      <c r="A286" s="2" t="s">
        <v>748</v>
      </c>
      <c r="B286" s="2" t="s">
        <v>24</v>
      </c>
      <c r="C286" s="2" t="s">
        <v>229</v>
      </c>
      <c r="D286" s="2" t="s">
        <v>643</v>
      </c>
      <c r="E286" s="2" t="s">
        <v>166</v>
      </c>
      <c r="F286" s="15" t="n">
        <v>1.7</v>
      </c>
      <c r="G286" s="15" t="n">
        <v>0</v>
      </c>
      <c r="H286" s="15" t="n">
        <v>1.69</v>
      </c>
      <c r="I286" s="15" t="n">
        <v>0</v>
      </c>
      <c r="J286" s="15" t="n">
        <v>0</v>
      </c>
      <c r="K286" s="16" t="n">
        <f aca="false">IF(F286=0,"",G286/F286)</f>
        <v>0</v>
      </c>
    </row>
    <row r="287" customFormat="false" ht="15" hidden="false" customHeight="false" outlineLevel="0" collapsed="false">
      <c r="A287" s="2" t="s">
        <v>749</v>
      </c>
      <c r="B287" s="2" t="s">
        <v>24</v>
      </c>
      <c r="C287" s="2" t="s">
        <v>229</v>
      </c>
      <c r="D287" s="2" t="s">
        <v>673</v>
      </c>
      <c r="E287" s="2" t="s">
        <v>673</v>
      </c>
      <c r="F287" s="15" t="n">
        <v>0.25</v>
      </c>
      <c r="G287" s="15" t="n">
        <v>0.08</v>
      </c>
      <c r="H287" s="15" t="n">
        <v>0.16</v>
      </c>
      <c r="I287" s="15" t="n">
        <v>0</v>
      </c>
      <c r="J287" s="15" t="n">
        <v>0</v>
      </c>
      <c r="K287" s="16" t="n">
        <f aca="false">IF(F287=0,"",G287/F287)</f>
        <v>0.32</v>
      </c>
    </row>
    <row r="288" customFormat="false" ht="15" hidden="false" customHeight="false" outlineLevel="0" collapsed="false">
      <c r="A288" s="2" t="s">
        <v>750</v>
      </c>
      <c r="B288" s="2" t="s">
        <v>22</v>
      </c>
      <c r="C288" s="2" t="s">
        <v>252</v>
      </c>
      <c r="D288" s="2" t="s">
        <v>743</v>
      </c>
      <c r="E288" s="2" t="s">
        <v>203</v>
      </c>
      <c r="F288" s="15" t="n">
        <v>2.04</v>
      </c>
      <c r="G288" s="15" t="n">
        <v>2.03</v>
      </c>
      <c r="H288" s="15" t="n">
        <v>0.02</v>
      </c>
      <c r="I288" s="15" t="n">
        <v>0</v>
      </c>
      <c r="J288" s="15" t="n">
        <v>0</v>
      </c>
      <c r="K288" s="16" t="n">
        <f aca="false">IF(F288=0,"",G288/F288)</f>
        <v>0.995098039215686</v>
      </c>
    </row>
    <row r="289" customFormat="false" ht="15" hidden="false" customHeight="false" outlineLevel="0" collapsed="false">
      <c r="A289" s="2" t="s">
        <v>751</v>
      </c>
      <c r="B289" s="2" t="s">
        <v>22</v>
      </c>
      <c r="C289" s="2" t="s">
        <v>252</v>
      </c>
      <c r="D289" s="2" t="s">
        <v>744</v>
      </c>
      <c r="E289" s="2" t="s">
        <v>752</v>
      </c>
      <c r="F289" s="15" t="n">
        <v>1.11</v>
      </c>
      <c r="G289" s="15" t="n">
        <v>1.11</v>
      </c>
      <c r="H289" s="15" t="n">
        <v>0</v>
      </c>
      <c r="I289" s="15" t="n">
        <v>0</v>
      </c>
      <c r="J289" s="15" t="n">
        <v>0</v>
      </c>
      <c r="K289" s="16" t="n">
        <f aca="false">IF(F289=0,"",G289/F289)</f>
        <v>1</v>
      </c>
    </row>
    <row r="290" customFormat="false" ht="15" hidden="false" customHeight="false" outlineLevel="0" collapsed="false">
      <c r="A290" s="2" t="s">
        <v>753</v>
      </c>
      <c r="B290" s="2" t="s">
        <v>24</v>
      </c>
      <c r="C290" s="2" t="s">
        <v>252</v>
      </c>
      <c r="D290" s="2" t="s">
        <v>96</v>
      </c>
      <c r="E290" s="2" t="s">
        <v>754</v>
      </c>
      <c r="F290" s="15" t="n">
        <v>14.24</v>
      </c>
      <c r="G290" s="15" t="n">
        <v>10.27</v>
      </c>
      <c r="H290" s="15" t="n">
        <v>0.05</v>
      </c>
      <c r="I290" s="15" t="n">
        <v>0</v>
      </c>
      <c r="J290" s="15" t="n">
        <v>3.92</v>
      </c>
      <c r="K290" s="16" t="n">
        <f aca="false">IF(F290=0,"",G290/F290)</f>
        <v>0.721207865168539</v>
      </c>
    </row>
    <row r="291" customFormat="false" ht="15" hidden="false" customHeight="false" outlineLevel="0" collapsed="false">
      <c r="A291" s="2" t="s">
        <v>755</v>
      </c>
      <c r="B291" s="2" t="s">
        <v>22</v>
      </c>
      <c r="C291" s="2" t="s">
        <v>233</v>
      </c>
      <c r="D291" s="2" t="s">
        <v>349</v>
      </c>
      <c r="E291" s="2" t="s">
        <v>756</v>
      </c>
      <c r="F291" s="15" t="n">
        <v>3.72</v>
      </c>
      <c r="G291" s="15" t="n">
        <v>0.92</v>
      </c>
      <c r="H291" s="15" t="n">
        <v>2.8</v>
      </c>
      <c r="I291" s="15" t="n">
        <v>0</v>
      </c>
      <c r="J291" s="15" t="n">
        <v>0</v>
      </c>
      <c r="K291" s="16" t="n">
        <f aca="false">IF(F291=0,"",G291/F291)</f>
        <v>0.247311827956989</v>
      </c>
    </row>
    <row r="292" customFormat="false" ht="15" hidden="false" customHeight="false" outlineLevel="0" collapsed="false">
      <c r="A292" s="2" t="s">
        <v>757</v>
      </c>
      <c r="B292" s="2" t="s">
        <v>22</v>
      </c>
      <c r="C292" s="2" t="s">
        <v>229</v>
      </c>
      <c r="D292" s="2" t="s">
        <v>94</v>
      </c>
      <c r="E292" s="2" t="s">
        <v>758</v>
      </c>
      <c r="F292" s="15" t="n">
        <v>7.97</v>
      </c>
      <c r="G292" s="15" t="n">
        <v>7.97</v>
      </c>
      <c r="H292" s="15" t="n">
        <v>0</v>
      </c>
      <c r="I292" s="15" t="n">
        <v>0</v>
      </c>
      <c r="J292" s="15" t="n">
        <v>0</v>
      </c>
      <c r="K292" s="16" t="n">
        <f aca="false">IF(F292=0,"",G292/F292)</f>
        <v>1</v>
      </c>
    </row>
    <row r="293" customFormat="false" ht="15" hidden="false" customHeight="false" outlineLevel="0" collapsed="false">
      <c r="A293" s="2" t="s">
        <v>759</v>
      </c>
      <c r="B293" s="2" t="s">
        <v>22</v>
      </c>
      <c r="C293" s="2" t="s">
        <v>229</v>
      </c>
      <c r="D293" s="2" t="s">
        <v>231</v>
      </c>
      <c r="E293" s="2" t="s">
        <v>723</v>
      </c>
      <c r="F293" s="15" t="n">
        <v>30.8</v>
      </c>
      <c r="G293" s="15" t="n">
        <v>18.21</v>
      </c>
      <c r="H293" s="15" t="n">
        <v>12.6</v>
      </c>
      <c r="I293" s="15" t="n">
        <v>0</v>
      </c>
      <c r="J293" s="15" t="n">
        <v>0</v>
      </c>
      <c r="K293" s="16" t="n">
        <f aca="false">IF(F293=0,"",G293/F293)</f>
        <v>0.591233766233766</v>
      </c>
    </row>
    <row r="294" customFormat="false" ht="15" hidden="false" customHeight="false" outlineLevel="0" collapsed="false">
      <c r="A294" s="2" t="s">
        <v>760</v>
      </c>
      <c r="B294" s="2" t="s">
        <v>22</v>
      </c>
      <c r="C294" s="2" t="s">
        <v>229</v>
      </c>
      <c r="D294" s="2" t="s">
        <v>646</v>
      </c>
      <c r="E294" s="2" t="s">
        <v>736</v>
      </c>
      <c r="F294" s="15" t="n">
        <v>11.78</v>
      </c>
      <c r="G294" s="15" t="n">
        <v>0</v>
      </c>
      <c r="H294" s="15" t="n">
        <v>11.78</v>
      </c>
      <c r="I294" s="15" t="n">
        <v>0</v>
      </c>
      <c r="J294" s="15" t="n">
        <v>0</v>
      </c>
      <c r="K294" s="16" t="n">
        <f aca="false">IF(F294=0,"",G294/F294)</f>
        <v>0</v>
      </c>
    </row>
    <row r="295" customFormat="false" ht="15" hidden="false" customHeight="false" outlineLevel="0" collapsed="false">
      <c r="A295" s="2" t="s">
        <v>761</v>
      </c>
      <c r="B295" s="2" t="s">
        <v>22</v>
      </c>
      <c r="C295" s="2" t="s">
        <v>229</v>
      </c>
      <c r="D295" s="2" t="s">
        <v>762</v>
      </c>
      <c r="E295" s="2" t="s">
        <v>349</v>
      </c>
      <c r="F295" s="15" t="n">
        <v>24.42</v>
      </c>
      <c r="G295" s="15" t="n">
        <v>7.41</v>
      </c>
      <c r="H295" s="15" t="n">
        <v>17.01</v>
      </c>
      <c r="I295" s="15" t="n">
        <v>0</v>
      </c>
      <c r="J295" s="15" t="n">
        <v>0</v>
      </c>
      <c r="K295" s="16" t="n">
        <f aca="false">IF(F295=0,"",G295/F295)</f>
        <v>0.303439803439803</v>
      </c>
    </row>
    <row r="296" customFormat="false" ht="15" hidden="false" customHeight="false" outlineLevel="0" collapsed="false">
      <c r="A296" s="2" t="s">
        <v>763</v>
      </c>
      <c r="B296" s="2" t="s">
        <v>24</v>
      </c>
      <c r="C296" s="2" t="s">
        <v>229</v>
      </c>
      <c r="D296" s="2" t="s">
        <v>231</v>
      </c>
      <c r="E296" s="2" t="s">
        <v>758</v>
      </c>
      <c r="F296" s="15" t="n">
        <v>0.95</v>
      </c>
      <c r="G296" s="15" t="n">
        <v>0.04</v>
      </c>
      <c r="H296" s="15" t="n">
        <v>0.92</v>
      </c>
      <c r="I296" s="15" t="n">
        <v>0</v>
      </c>
      <c r="J296" s="15" t="n">
        <v>0</v>
      </c>
      <c r="K296" s="16" t="n">
        <f aca="false">IF(F296=0,"",G296/F296)</f>
        <v>0.0421052631578947</v>
      </c>
    </row>
    <row r="297" customFormat="false" ht="15" hidden="false" customHeight="false" outlineLevel="0" collapsed="false">
      <c r="A297" s="2" t="s">
        <v>764</v>
      </c>
      <c r="B297" s="2" t="s">
        <v>22</v>
      </c>
      <c r="C297" s="2" t="s">
        <v>233</v>
      </c>
      <c r="D297" s="2" t="s">
        <v>743</v>
      </c>
      <c r="E297" s="2" t="s">
        <v>765</v>
      </c>
      <c r="F297" s="15" t="n">
        <v>35.65</v>
      </c>
      <c r="G297" s="15" t="n">
        <v>13.15</v>
      </c>
      <c r="H297" s="15" t="n">
        <v>7.04</v>
      </c>
      <c r="I297" s="15" t="n">
        <v>15.32</v>
      </c>
      <c r="J297" s="15" t="n">
        <v>0.13</v>
      </c>
      <c r="K297" s="16" t="n">
        <f aca="false">IF(F297=0,"",G297/F297)</f>
        <v>0.368863955119215</v>
      </c>
    </row>
    <row r="298" customFormat="false" ht="15" hidden="false" customHeight="false" outlineLevel="0" collapsed="false">
      <c r="A298" s="2" t="s">
        <v>766</v>
      </c>
      <c r="B298" s="2" t="s">
        <v>24</v>
      </c>
      <c r="C298" s="2" t="s">
        <v>229</v>
      </c>
      <c r="D298" s="2" t="s">
        <v>758</v>
      </c>
      <c r="E298" s="2" t="s">
        <v>743</v>
      </c>
      <c r="F298" s="15" t="n">
        <v>1.18</v>
      </c>
      <c r="G298" s="15" t="n">
        <v>0.24</v>
      </c>
      <c r="H298" s="15" t="n">
        <v>0.95</v>
      </c>
      <c r="I298" s="15" t="n">
        <v>0</v>
      </c>
      <c r="J298" s="15" t="n">
        <v>0</v>
      </c>
      <c r="K298" s="16" t="n">
        <f aca="false">IF(F298=0,"",G298/F298)</f>
        <v>0.203389830508475</v>
      </c>
    </row>
    <row r="299" customFormat="false" ht="15" hidden="false" customHeight="false" outlineLevel="0" collapsed="false">
      <c r="A299" s="2" t="s">
        <v>767</v>
      </c>
      <c r="B299" s="2" t="s">
        <v>24</v>
      </c>
      <c r="C299" s="2" t="s">
        <v>229</v>
      </c>
      <c r="D299" s="2" t="s">
        <v>768</v>
      </c>
      <c r="E299" s="2" t="s">
        <v>768</v>
      </c>
      <c r="F299" s="15" t="n">
        <v>0</v>
      </c>
      <c r="G299" s="15" t="n">
        <v>0</v>
      </c>
      <c r="H299" s="15" t="n">
        <v>0</v>
      </c>
      <c r="I299" s="15" t="n">
        <v>0</v>
      </c>
      <c r="J299" s="15" t="n">
        <v>0</v>
      </c>
      <c r="K299" s="16" t="str">
        <f aca="false">IF(F299=0,"",G299/F299)</f>
        <v/>
      </c>
    </row>
    <row r="300" customFormat="false" ht="15" hidden="false" customHeight="false" outlineLevel="0" collapsed="false">
      <c r="A300" s="2" t="s">
        <v>769</v>
      </c>
      <c r="B300" s="2" t="s">
        <v>22</v>
      </c>
      <c r="C300" s="2" t="s">
        <v>229</v>
      </c>
      <c r="D300" s="2" t="s">
        <v>770</v>
      </c>
      <c r="E300" s="2" t="s">
        <v>718</v>
      </c>
      <c r="F300" s="15" t="n">
        <v>6.01</v>
      </c>
      <c r="G300" s="15" t="n">
        <v>5.06</v>
      </c>
      <c r="H300" s="15" t="n">
        <v>0.95</v>
      </c>
      <c r="I300" s="15" t="n">
        <v>0</v>
      </c>
      <c r="J300" s="15" t="n">
        <v>0</v>
      </c>
      <c r="K300" s="16" t="n">
        <f aca="false">IF(F300=0,"",G300/F300)</f>
        <v>0.841930116472546</v>
      </c>
    </row>
    <row r="301" customFormat="false" ht="15" hidden="false" customHeight="false" outlineLevel="0" collapsed="false">
      <c r="A301" s="2" t="s">
        <v>771</v>
      </c>
      <c r="B301" s="2" t="s">
        <v>22</v>
      </c>
      <c r="C301" s="2" t="s">
        <v>229</v>
      </c>
      <c r="D301" s="2" t="s">
        <v>646</v>
      </c>
      <c r="E301" s="2" t="s">
        <v>96</v>
      </c>
      <c r="F301" s="15" t="n">
        <v>4.3</v>
      </c>
      <c r="G301" s="15" t="n">
        <v>0.01</v>
      </c>
      <c r="H301" s="15" t="n">
        <v>4.3</v>
      </c>
      <c r="I301" s="15" t="n">
        <v>0</v>
      </c>
      <c r="J301" s="15" t="n">
        <v>0</v>
      </c>
      <c r="K301" s="16" t="n">
        <f aca="false">IF(F301=0,"",G301/F301)</f>
        <v>0.00232558139534884</v>
      </c>
    </row>
    <row r="302" customFormat="false" ht="15" hidden="false" customHeight="false" outlineLevel="0" collapsed="false">
      <c r="A302" s="2" t="s">
        <v>772</v>
      </c>
      <c r="B302" s="2" t="s">
        <v>22</v>
      </c>
      <c r="C302" s="2" t="s">
        <v>252</v>
      </c>
      <c r="D302" s="2" t="s">
        <v>98</v>
      </c>
      <c r="E302" s="2" t="s">
        <v>330</v>
      </c>
      <c r="F302" s="15" t="n">
        <v>9.71</v>
      </c>
      <c r="G302" s="15" t="n">
        <v>3.86</v>
      </c>
      <c r="H302" s="15" t="n">
        <v>2.68</v>
      </c>
      <c r="I302" s="15" t="n">
        <v>0</v>
      </c>
      <c r="J302" s="15" t="n">
        <v>3.17</v>
      </c>
      <c r="K302" s="16" t="n">
        <f aca="false">IF(F302=0,"",G302/F302)</f>
        <v>0.397528321318229</v>
      </c>
    </row>
    <row r="303" customFormat="false" ht="15" hidden="false" customHeight="false" outlineLevel="0" collapsed="false">
      <c r="A303" s="2" t="s">
        <v>773</v>
      </c>
      <c r="B303" s="2" t="s">
        <v>24</v>
      </c>
      <c r="C303" s="2" t="s">
        <v>229</v>
      </c>
      <c r="D303" s="2" t="s">
        <v>774</v>
      </c>
      <c r="E303" s="2" t="s">
        <v>213</v>
      </c>
      <c r="F303" s="15" t="n">
        <v>0.07</v>
      </c>
      <c r="G303" s="15" t="n">
        <v>0.07</v>
      </c>
      <c r="H303" s="15" t="n">
        <v>0</v>
      </c>
      <c r="I303" s="15" t="n">
        <v>0</v>
      </c>
      <c r="J303" s="15" t="n">
        <v>0</v>
      </c>
      <c r="K303" s="16" t="n">
        <f aca="false">IF(F303=0,"",G303/F303)</f>
        <v>1</v>
      </c>
    </row>
    <row r="304" customFormat="false" ht="15" hidden="false" customHeight="false" outlineLevel="0" collapsed="false">
      <c r="A304" s="2" t="s">
        <v>775</v>
      </c>
      <c r="B304" s="2" t="s">
        <v>22</v>
      </c>
      <c r="C304" s="2" t="s">
        <v>229</v>
      </c>
      <c r="D304" s="2" t="s">
        <v>776</v>
      </c>
      <c r="E304" s="2" t="s">
        <v>349</v>
      </c>
      <c r="F304" s="15" t="n">
        <v>2.77</v>
      </c>
      <c r="G304" s="15" t="n">
        <v>2.77</v>
      </c>
      <c r="H304" s="15" t="n">
        <v>0</v>
      </c>
      <c r="I304" s="15" t="n">
        <v>0</v>
      </c>
      <c r="J304" s="15" t="n">
        <v>0</v>
      </c>
      <c r="K304" s="16" t="n">
        <f aca="false">IF(F304=0,"",G304/F304)</f>
        <v>1</v>
      </c>
    </row>
    <row r="305" customFormat="false" ht="15" hidden="false" customHeight="false" outlineLevel="0" collapsed="false">
      <c r="A305" s="2" t="s">
        <v>777</v>
      </c>
      <c r="B305" s="2" t="s">
        <v>22</v>
      </c>
      <c r="C305" s="2" t="s">
        <v>229</v>
      </c>
      <c r="D305" s="2" t="s">
        <v>776</v>
      </c>
      <c r="E305" s="2" t="s">
        <v>778</v>
      </c>
      <c r="F305" s="15" t="n">
        <v>0.86</v>
      </c>
      <c r="G305" s="15" t="n">
        <v>0.86</v>
      </c>
      <c r="H305" s="15" t="n">
        <v>0</v>
      </c>
      <c r="I305" s="15" t="n">
        <v>0</v>
      </c>
      <c r="J305" s="15" t="n">
        <v>0</v>
      </c>
      <c r="K305" s="16" t="n">
        <f aca="false">IF(F305=0,"",G305/F305)</f>
        <v>1</v>
      </c>
    </row>
    <row r="306" customFormat="false" ht="15" hidden="false" customHeight="false" outlineLevel="0" collapsed="false">
      <c r="A306" s="2" t="s">
        <v>779</v>
      </c>
      <c r="B306" s="2" t="s">
        <v>22</v>
      </c>
      <c r="C306" s="2" t="s">
        <v>229</v>
      </c>
      <c r="D306" s="2" t="s">
        <v>776</v>
      </c>
      <c r="E306" s="2" t="s">
        <v>778</v>
      </c>
      <c r="F306" s="15" t="n">
        <v>0.86</v>
      </c>
      <c r="G306" s="15" t="n">
        <v>0.86</v>
      </c>
      <c r="H306" s="15" t="n">
        <v>0</v>
      </c>
      <c r="I306" s="15" t="n">
        <v>0</v>
      </c>
      <c r="J306" s="15" t="n">
        <v>0</v>
      </c>
      <c r="K306" s="16" t="n">
        <f aca="false">IF(F306=0,"",G306/F306)</f>
        <v>1</v>
      </c>
    </row>
    <row r="307" customFormat="false" ht="15" hidden="false" customHeight="false" outlineLevel="0" collapsed="false">
      <c r="A307" s="2" t="s">
        <v>780</v>
      </c>
      <c r="B307" s="2" t="s">
        <v>24</v>
      </c>
      <c r="C307" s="2" t="s">
        <v>252</v>
      </c>
      <c r="D307" s="2" t="s">
        <v>713</v>
      </c>
      <c r="E307" s="2" t="s">
        <v>774</v>
      </c>
      <c r="F307" s="15" t="n">
        <v>9.23</v>
      </c>
      <c r="G307" s="15" t="n">
        <v>2.92</v>
      </c>
      <c r="H307" s="15" t="n">
        <v>0</v>
      </c>
      <c r="I307" s="15" t="n">
        <v>0</v>
      </c>
      <c r="J307" s="15" t="n">
        <v>6.3</v>
      </c>
      <c r="K307" s="16" t="n">
        <f aca="false">IF(F307=0,"",G307/F307)</f>
        <v>0.316359696641387</v>
      </c>
    </row>
    <row r="308" customFormat="false" ht="15" hidden="false" customHeight="false" outlineLevel="0" collapsed="false">
      <c r="A308" s="2" t="s">
        <v>781</v>
      </c>
      <c r="B308" s="2" t="s">
        <v>24</v>
      </c>
      <c r="C308" s="2" t="s">
        <v>229</v>
      </c>
      <c r="D308" s="2" t="s">
        <v>782</v>
      </c>
      <c r="E308" s="2" t="s">
        <v>209</v>
      </c>
      <c r="F308" s="15" t="n">
        <v>21.01</v>
      </c>
      <c r="G308" s="15" t="n">
        <v>21.01</v>
      </c>
      <c r="H308" s="15" t="n">
        <v>0</v>
      </c>
      <c r="I308" s="15" t="n">
        <v>0</v>
      </c>
      <c r="J308" s="15" t="n">
        <v>0</v>
      </c>
      <c r="K308" s="16" t="n">
        <f aca="false">IF(F308=0,"",G308/F308)</f>
        <v>1</v>
      </c>
    </row>
    <row r="309" customFormat="false" ht="15" hidden="false" customHeight="false" outlineLevel="0" collapsed="false">
      <c r="A309" s="2" t="s">
        <v>783</v>
      </c>
      <c r="B309" s="2" t="s">
        <v>22</v>
      </c>
      <c r="C309" s="2" t="s">
        <v>252</v>
      </c>
      <c r="D309" s="2" t="s">
        <v>752</v>
      </c>
      <c r="E309" s="2" t="s">
        <v>678</v>
      </c>
      <c r="F309" s="15" t="n">
        <v>3.89</v>
      </c>
      <c r="G309" s="15" t="n">
        <v>0.9</v>
      </c>
      <c r="H309" s="15" t="n">
        <v>3</v>
      </c>
      <c r="I309" s="15" t="n">
        <v>0</v>
      </c>
      <c r="J309" s="15" t="n">
        <v>0</v>
      </c>
      <c r="K309" s="16" t="n">
        <f aca="false">IF(F309=0,"",G309/F309)</f>
        <v>0.231362467866324</v>
      </c>
    </row>
    <row r="310" customFormat="false" ht="15" hidden="false" customHeight="false" outlineLevel="0" collapsed="false">
      <c r="A310" s="2" t="s">
        <v>784</v>
      </c>
      <c r="B310" s="2" t="s">
        <v>24</v>
      </c>
      <c r="C310" s="2" t="s">
        <v>229</v>
      </c>
      <c r="D310" s="2" t="s">
        <v>762</v>
      </c>
      <c r="E310" s="2" t="s">
        <v>98</v>
      </c>
      <c r="F310" s="15" t="n">
        <v>1.79</v>
      </c>
      <c r="G310" s="15" t="n">
        <v>0</v>
      </c>
      <c r="H310" s="15" t="n">
        <v>1.79</v>
      </c>
      <c r="I310" s="15" t="n">
        <v>0</v>
      </c>
      <c r="J310" s="15" t="n">
        <v>0</v>
      </c>
      <c r="K310" s="16" t="n">
        <f aca="false">IF(F310=0,"",G310/F310)</f>
        <v>0</v>
      </c>
    </row>
    <row r="311" customFormat="false" ht="15" hidden="false" customHeight="false" outlineLevel="0" collapsed="false">
      <c r="A311" s="2" t="s">
        <v>785</v>
      </c>
      <c r="B311" s="2" t="s">
        <v>24</v>
      </c>
      <c r="C311" s="2" t="s">
        <v>233</v>
      </c>
      <c r="D311" s="2" t="s">
        <v>96</v>
      </c>
      <c r="E311" s="2" t="s">
        <v>736</v>
      </c>
      <c r="F311" s="15" t="n">
        <v>8.09</v>
      </c>
      <c r="G311" s="15" t="n">
        <v>8.05</v>
      </c>
      <c r="H311" s="15" t="n">
        <v>0.05</v>
      </c>
      <c r="I311" s="15" t="n">
        <v>0</v>
      </c>
      <c r="J311" s="15" t="n">
        <v>0</v>
      </c>
      <c r="K311" s="16" t="n">
        <f aca="false">IF(F311=0,"",G311/F311)</f>
        <v>0.995055624227441</v>
      </c>
    </row>
    <row r="312" customFormat="false" ht="15" hidden="false" customHeight="false" outlineLevel="0" collapsed="false">
      <c r="A312" s="2" t="s">
        <v>786</v>
      </c>
      <c r="B312" s="2" t="s">
        <v>22</v>
      </c>
      <c r="C312" s="2" t="s">
        <v>252</v>
      </c>
      <c r="D312" s="2" t="s">
        <v>700</v>
      </c>
      <c r="E312" s="2" t="s">
        <v>754</v>
      </c>
      <c r="F312" s="15" t="n">
        <v>5.74</v>
      </c>
      <c r="G312" s="15" t="n">
        <v>5.53</v>
      </c>
      <c r="H312" s="15" t="n">
        <v>0</v>
      </c>
      <c r="I312" s="15" t="n">
        <v>0</v>
      </c>
      <c r="J312" s="15" t="n">
        <v>0.21</v>
      </c>
      <c r="K312" s="16" t="n">
        <f aca="false">IF(F312=0,"",G312/F312)</f>
        <v>0.963414634146341</v>
      </c>
    </row>
    <row r="313" customFormat="false" ht="15" hidden="false" customHeight="false" outlineLevel="0" collapsed="false">
      <c r="A313" s="2" t="s">
        <v>787</v>
      </c>
      <c r="B313" s="2" t="s">
        <v>24</v>
      </c>
      <c r="C313" s="2" t="s">
        <v>248</v>
      </c>
      <c r="D313" s="2" t="s">
        <v>788</v>
      </c>
      <c r="E313" s="2" t="s">
        <v>713</v>
      </c>
      <c r="F313" s="15" t="n">
        <v>6.15</v>
      </c>
      <c r="G313" s="15" t="n">
        <v>6.15</v>
      </c>
      <c r="H313" s="15" t="n">
        <v>0</v>
      </c>
      <c r="I313" s="15" t="n">
        <v>0</v>
      </c>
      <c r="J313" s="15" t="n">
        <v>0</v>
      </c>
      <c r="K313" s="16" t="n">
        <f aca="false">IF(F313=0,"",G313/F313)</f>
        <v>1</v>
      </c>
    </row>
    <row r="314" customFormat="false" ht="15" hidden="false" customHeight="false" outlineLevel="0" collapsed="false">
      <c r="A314" s="2" t="s">
        <v>789</v>
      </c>
      <c r="B314" s="2" t="s">
        <v>24</v>
      </c>
      <c r="C314" s="2" t="s">
        <v>229</v>
      </c>
      <c r="D314" s="2" t="s">
        <v>744</v>
      </c>
      <c r="E314" s="2" t="s">
        <v>699</v>
      </c>
      <c r="F314" s="15" t="n">
        <v>1.81</v>
      </c>
      <c r="G314" s="15" t="n">
        <v>0.07</v>
      </c>
      <c r="H314" s="15" t="n">
        <v>1.74</v>
      </c>
      <c r="I314" s="15" t="n">
        <v>0</v>
      </c>
      <c r="J314" s="15" t="n">
        <v>0</v>
      </c>
      <c r="K314" s="16" t="n">
        <f aca="false">IF(F314=0,"",G314/F314)</f>
        <v>0.0386740331491713</v>
      </c>
    </row>
    <row r="315" customFormat="false" ht="15" hidden="false" customHeight="false" outlineLevel="0" collapsed="false">
      <c r="A315" s="2" t="s">
        <v>790</v>
      </c>
      <c r="B315" s="2" t="s">
        <v>24</v>
      </c>
      <c r="C315" s="2" t="s">
        <v>229</v>
      </c>
      <c r="D315" s="2" t="s">
        <v>678</v>
      </c>
      <c r="E315" s="2" t="s">
        <v>700</v>
      </c>
      <c r="F315" s="15" t="n">
        <v>1.89</v>
      </c>
      <c r="G315" s="15" t="n">
        <v>0</v>
      </c>
      <c r="H315" s="15" t="n">
        <v>1.89</v>
      </c>
      <c r="I315" s="15" t="n">
        <v>0</v>
      </c>
      <c r="J315" s="15" t="n">
        <v>0</v>
      </c>
      <c r="K315" s="16" t="n">
        <f aca="false">IF(F315=0,"",G315/F315)</f>
        <v>0</v>
      </c>
    </row>
    <row r="316" customFormat="false" ht="15" hidden="false" customHeight="false" outlineLevel="0" collapsed="false">
      <c r="A316" s="2" t="s">
        <v>791</v>
      </c>
      <c r="B316" s="2" t="s">
        <v>22</v>
      </c>
      <c r="C316" s="2" t="s">
        <v>229</v>
      </c>
      <c r="D316" s="2" t="s">
        <v>700</v>
      </c>
      <c r="E316" s="2" t="s">
        <v>99</v>
      </c>
      <c r="F316" s="15" t="n">
        <v>7.24</v>
      </c>
      <c r="G316" s="15" t="n">
        <v>0</v>
      </c>
      <c r="H316" s="15" t="n">
        <v>7.24</v>
      </c>
      <c r="I316" s="15" t="n">
        <v>0</v>
      </c>
      <c r="J316" s="15" t="n">
        <v>0</v>
      </c>
      <c r="K316" s="16" t="n">
        <f aca="false">IF(F316=0,"",G316/F316)</f>
        <v>0</v>
      </c>
    </row>
    <row r="317" customFormat="false" ht="15" hidden="false" customHeight="false" outlineLevel="0" collapsed="false">
      <c r="A317" s="2" t="s">
        <v>792</v>
      </c>
      <c r="B317" s="2" t="s">
        <v>22</v>
      </c>
      <c r="C317" s="2" t="s">
        <v>229</v>
      </c>
      <c r="D317" s="2" t="s">
        <v>108</v>
      </c>
      <c r="E317" s="2" t="s">
        <v>793</v>
      </c>
      <c r="F317" s="15" t="n">
        <v>7.93</v>
      </c>
      <c r="G317" s="15" t="n">
        <v>3.97</v>
      </c>
      <c r="H317" s="15" t="n">
        <v>3.96</v>
      </c>
      <c r="I317" s="15" t="n">
        <v>0</v>
      </c>
      <c r="J317" s="15" t="n">
        <v>0</v>
      </c>
      <c r="K317" s="16" t="n">
        <f aca="false">IF(F317=0,"",G317/F317)</f>
        <v>0.50063051702396</v>
      </c>
    </row>
    <row r="318" customFormat="false" ht="15" hidden="false" customHeight="false" outlineLevel="0" collapsed="false">
      <c r="A318" s="2" t="s">
        <v>794</v>
      </c>
      <c r="B318" s="2" t="s">
        <v>24</v>
      </c>
      <c r="C318" s="2" t="s">
        <v>229</v>
      </c>
      <c r="D318" s="2" t="s">
        <v>700</v>
      </c>
      <c r="E318" s="2" t="s">
        <v>671</v>
      </c>
      <c r="F318" s="15" t="n">
        <v>35.4</v>
      </c>
      <c r="G318" s="15" t="n">
        <v>5.48</v>
      </c>
      <c r="H318" s="15" t="n">
        <v>13.16</v>
      </c>
      <c r="I318" s="15" t="n">
        <v>16.76</v>
      </c>
      <c r="J318" s="15" t="n">
        <v>0</v>
      </c>
      <c r="K318" s="16" t="n">
        <f aca="false">IF(F318=0,"",G318/F318)</f>
        <v>0.154802259887006</v>
      </c>
    </row>
    <row r="319" customFormat="false" ht="15" hidden="false" customHeight="false" outlineLevel="0" collapsed="false">
      <c r="A319" s="2" t="s">
        <v>795</v>
      </c>
      <c r="B319" s="2" t="s">
        <v>24</v>
      </c>
      <c r="C319" s="2" t="s">
        <v>229</v>
      </c>
      <c r="D319" s="2" t="s">
        <v>796</v>
      </c>
      <c r="E319" s="2" t="s">
        <v>211</v>
      </c>
      <c r="F319" s="15" t="n">
        <v>3.11</v>
      </c>
      <c r="G319" s="15" t="n">
        <v>1</v>
      </c>
      <c r="H319" s="15" t="n">
        <v>2.11</v>
      </c>
      <c r="I319" s="15" t="n">
        <v>0</v>
      </c>
      <c r="J319" s="15" t="n">
        <v>0</v>
      </c>
      <c r="K319" s="16" t="n">
        <f aca="false">IF(F319=0,"",G319/F319)</f>
        <v>0.321543408360129</v>
      </c>
    </row>
    <row r="320" customFormat="false" ht="15" hidden="false" customHeight="false" outlineLevel="0" collapsed="false">
      <c r="A320" s="2" t="s">
        <v>797</v>
      </c>
      <c r="B320" s="2" t="s">
        <v>24</v>
      </c>
      <c r="C320" s="2" t="s">
        <v>252</v>
      </c>
      <c r="D320" s="2" t="s">
        <v>103</v>
      </c>
      <c r="E320" s="2" t="s">
        <v>103</v>
      </c>
      <c r="F320" s="15" t="n">
        <v>0.78</v>
      </c>
      <c r="G320" s="15" t="n">
        <v>0</v>
      </c>
      <c r="H320" s="15" t="n">
        <v>0.78</v>
      </c>
      <c r="I320" s="15" t="n">
        <v>0</v>
      </c>
      <c r="J320" s="15" t="n">
        <v>0</v>
      </c>
      <c r="K320" s="16" t="n">
        <f aca="false">IF(F320=0,"",G320/F320)</f>
        <v>0</v>
      </c>
    </row>
    <row r="321" customFormat="false" ht="15" hidden="false" customHeight="false" outlineLevel="0" collapsed="false">
      <c r="A321" s="2" t="s">
        <v>798</v>
      </c>
      <c r="B321" s="2" t="s">
        <v>22</v>
      </c>
      <c r="C321" s="2" t="s">
        <v>229</v>
      </c>
      <c r="D321" s="2" t="s">
        <v>678</v>
      </c>
      <c r="E321" s="2" t="s">
        <v>776</v>
      </c>
      <c r="F321" s="15" t="n">
        <v>13.15</v>
      </c>
      <c r="G321" s="15" t="n">
        <v>13.15</v>
      </c>
      <c r="H321" s="15" t="n">
        <v>0</v>
      </c>
      <c r="I321" s="15" t="n">
        <v>0</v>
      </c>
      <c r="J321" s="15" t="n">
        <v>0</v>
      </c>
      <c r="K321" s="16" t="n">
        <f aca="false">IF(F321=0,"",G321/F321)</f>
        <v>1</v>
      </c>
    </row>
    <row r="322" customFormat="false" ht="15" hidden="false" customHeight="false" outlineLevel="0" collapsed="false">
      <c r="A322" s="2" t="s">
        <v>799</v>
      </c>
      <c r="B322" s="2" t="s">
        <v>22</v>
      </c>
      <c r="C322" s="2" t="s">
        <v>229</v>
      </c>
      <c r="D322" s="2" t="s">
        <v>678</v>
      </c>
      <c r="E322" s="2" t="s">
        <v>472</v>
      </c>
      <c r="F322" s="15" t="n">
        <v>7.04</v>
      </c>
      <c r="G322" s="15" t="n">
        <v>7.04</v>
      </c>
      <c r="H322" s="15" t="n">
        <v>0</v>
      </c>
      <c r="I322" s="15" t="n">
        <v>0</v>
      </c>
      <c r="J322" s="15" t="n">
        <v>0</v>
      </c>
      <c r="K322" s="16" t="n">
        <f aca="false">IF(F322=0,"",G322/F322)</f>
        <v>1</v>
      </c>
    </row>
    <row r="323" customFormat="false" ht="15" hidden="false" customHeight="false" outlineLevel="0" collapsed="false">
      <c r="A323" s="2" t="s">
        <v>800</v>
      </c>
      <c r="B323" s="2" t="s">
        <v>22</v>
      </c>
      <c r="C323" s="2" t="s">
        <v>233</v>
      </c>
      <c r="D323" s="2" t="s">
        <v>103</v>
      </c>
      <c r="E323" s="2" t="s">
        <v>801</v>
      </c>
      <c r="F323" s="15" t="n">
        <v>35.51</v>
      </c>
      <c r="G323" s="15" t="n">
        <v>2.9</v>
      </c>
      <c r="H323" s="15" t="n">
        <v>15.69</v>
      </c>
      <c r="I323" s="15" t="n">
        <v>0</v>
      </c>
      <c r="J323" s="15" t="n">
        <v>16.92</v>
      </c>
      <c r="K323" s="16" t="n">
        <f aca="false">IF(F323=0,"",G323/F323)</f>
        <v>0.0816671360180231</v>
      </c>
    </row>
    <row r="324" customFormat="false" ht="15" hidden="false" customHeight="false" outlineLevel="0" collapsed="false">
      <c r="A324" s="2" t="s">
        <v>802</v>
      </c>
      <c r="B324" s="2" t="s">
        <v>24</v>
      </c>
      <c r="C324" s="2" t="s">
        <v>252</v>
      </c>
      <c r="D324" s="2" t="s">
        <v>205</v>
      </c>
      <c r="E324" s="2" t="s">
        <v>205</v>
      </c>
      <c r="F324" s="15" t="n">
        <v>0.39</v>
      </c>
      <c r="G324" s="15" t="n">
        <v>0.25</v>
      </c>
      <c r="H324" s="15" t="n">
        <v>0.15</v>
      </c>
      <c r="I324" s="15" t="n">
        <v>0</v>
      </c>
      <c r="J324" s="15" t="n">
        <v>0</v>
      </c>
      <c r="K324" s="16" t="n">
        <f aca="false">IF(F324=0,"",G324/F324)</f>
        <v>0.641025641025641</v>
      </c>
    </row>
    <row r="325" customFormat="false" ht="15" hidden="false" customHeight="false" outlineLevel="0" collapsed="false">
      <c r="A325" s="2" t="s">
        <v>803</v>
      </c>
      <c r="B325" s="2" t="s">
        <v>24</v>
      </c>
      <c r="C325" s="2" t="s">
        <v>229</v>
      </c>
      <c r="D325" s="2" t="s">
        <v>768</v>
      </c>
      <c r="E325" s="2" t="s">
        <v>804</v>
      </c>
      <c r="F325" s="15" t="n">
        <v>4.95</v>
      </c>
      <c r="G325" s="15" t="n">
        <v>4.91</v>
      </c>
      <c r="H325" s="15" t="n">
        <v>0.04</v>
      </c>
      <c r="I325" s="15" t="n">
        <v>0</v>
      </c>
      <c r="J325" s="15" t="n">
        <v>0</v>
      </c>
      <c r="K325" s="16" t="n">
        <f aca="false">IF(F325=0,"",G325/F325)</f>
        <v>0.991919191919192</v>
      </c>
    </row>
    <row r="326" customFormat="false" ht="15" hidden="false" customHeight="false" outlineLevel="0" collapsed="false">
      <c r="A326" s="2" t="s">
        <v>805</v>
      </c>
      <c r="B326" s="2" t="s">
        <v>24</v>
      </c>
      <c r="C326" s="2" t="s">
        <v>252</v>
      </c>
      <c r="D326" s="2" t="s">
        <v>806</v>
      </c>
      <c r="E326" s="2" t="s">
        <v>318</v>
      </c>
      <c r="F326" s="15" t="n">
        <v>16.02</v>
      </c>
      <c r="G326" s="15" t="n">
        <v>0.02</v>
      </c>
      <c r="H326" s="15" t="n">
        <v>6.38</v>
      </c>
      <c r="I326" s="15" t="n">
        <v>0</v>
      </c>
      <c r="J326" s="15" t="n">
        <v>0.02</v>
      </c>
      <c r="K326" s="16" t="n">
        <f aca="false">IF(F326=0,"",G326/F326)</f>
        <v>0.00124843945068664</v>
      </c>
    </row>
    <row r="327" customFormat="false" ht="15" hidden="false" customHeight="false" outlineLevel="0" collapsed="false">
      <c r="A327" s="2" t="s">
        <v>807</v>
      </c>
      <c r="B327" s="2" t="s">
        <v>22</v>
      </c>
      <c r="C327" s="2" t="s">
        <v>229</v>
      </c>
      <c r="D327" s="2" t="s">
        <v>109</v>
      </c>
      <c r="E327" s="2" t="s">
        <v>109</v>
      </c>
      <c r="F327" s="15" t="n">
        <v>0.19</v>
      </c>
      <c r="G327" s="15" t="n">
        <v>0.1</v>
      </c>
      <c r="H327" s="15" t="n">
        <v>0.1</v>
      </c>
      <c r="I327" s="15" t="n">
        <v>0</v>
      </c>
      <c r="J327" s="15" t="n">
        <v>0</v>
      </c>
      <c r="K327" s="16" t="n">
        <f aca="false">IF(F327=0,"",G327/F327)</f>
        <v>0.526315789473684</v>
      </c>
    </row>
    <row r="328" customFormat="false" ht="15" hidden="false" customHeight="false" outlineLevel="0" collapsed="false">
      <c r="A328" s="2" t="s">
        <v>808</v>
      </c>
      <c r="B328" s="2" t="s">
        <v>24</v>
      </c>
      <c r="C328" s="2" t="s">
        <v>252</v>
      </c>
      <c r="D328" s="2" t="s">
        <v>809</v>
      </c>
      <c r="E328" s="2" t="s">
        <v>665</v>
      </c>
      <c r="F328" s="15" t="n">
        <v>3.1</v>
      </c>
      <c r="G328" s="15" t="n">
        <v>2.07</v>
      </c>
      <c r="H328" s="15" t="n">
        <v>1.03</v>
      </c>
      <c r="I328" s="15" t="n">
        <v>0</v>
      </c>
      <c r="J328" s="15" t="n">
        <v>0</v>
      </c>
      <c r="K328" s="16" t="n">
        <f aca="false">IF(F328=0,"",G328/F328)</f>
        <v>0.667741935483871</v>
      </c>
    </row>
    <row r="329" customFormat="false" ht="15" hidden="false" customHeight="false" outlineLevel="0" collapsed="false">
      <c r="A329" s="2" t="s">
        <v>810</v>
      </c>
      <c r="B329" s="2" t="s">
        <v>22</v>
      </c>
      <c r="C329" s="2" t="s">
        <v>229</v>
      </c>
      <c r="D329" s="2" t="s">
        <v>723</v>
      </c>
      <c r="E329" s="2" t="s">
        <v>765</v>
      </c>
      <c r="F329" s="15" t="n">
        <v>8.28</v>
      </c>
      <c r="G329" s="15" t="n">
        <v>6</v>
      </c>
      <c r="H329" s="15" t="n">
        <v>1.15</v>
      </c>
      <c r="I329" s="15" t="n">
        <v>0</v>
      </c>
      <c r="J329" s="15" t="n">
        <v>1.13</v>
      </c>
      <c r="K329" s="16" t="n">
        <f aca="false">IF(F329=0,"",G329/F329)</f>
        <v>0.72463768115942</v>
      </c>
    </row>
    <row r="330" customFormat="false" ht="15" hidden="false" customHeight="false" outlineLevel="0" collapsed="false">
      <c r="A330" s="2" t="s">
        <v>811</v>
      </c>
      <c r="B330" s="2" t="s">
        <v>22</v>
      </c>
      <c r="C330" s="2" t="s">
        <v>229</v>
      </c>
      <c r="D330" s="2" t="s">
        <v>99</v>
      </c>
      <c r="E330" s="2" t="s">
        <v>765</v>
      </c>
      <c r="F330" s="15" t="n">
        <v>15.19</v>
      </c>
      <c r="G330" s="15" t="n">
        <v>5.88</v>
      </c>
      <c r="H330" s="15" t="n">
        <v>9.31</v>
      </c>
      <c r="I330" s="15" t="n">
        <v>0</v>
      </c>
      <c r="J330" s="15" t="n">
        <v>0</v>
      </c>
      <c r="K330" s="16" t="n">
        <f aca="false">IF(F330=0,"",G330/F330)</f>
        <v>0.387096774193548</v>
      </c>
    </row>
    <row r="331" customFormat="false" ht="15" hidden="false" customHeight="false" outlineLevel="0" collapsed="false">
      <c r="A331" s="2" t="s">
        <v>812</v>
      </c>
      <c r="B331" s="2" t="s">
        <v>24</v>
      </c>
      <c r="C331" s="2" t="s">
        <v>233</v>
      </c>
      <c r="D331" s="2" t="s">
        <v>813</v>
      </c>
      <c r="E331" s="2" t="s">
        <v>770</v>
      </c>
      <c r="F331" s="15" t="n">
        <v>11.27</v>
      </c>
      <c r="G331" s="15" t="n">
        <v>8.08</v>
      </c>
      <c r="H331" s="15" t="n">
        <v>3.18</v>
      </c>
      <c r="I331" s="15" t="n">
        <v>0</v>
      </c>
      <c r="J331" s="15" t="n">
        <v>0</v>
      </c>
      <c r="K331" s="16" t="n">
        <f aca="false">IF(F331=0,"",G331/F331)</f>
        <v>0.716947648624667</v>
      </c>
    </row>
    <row r="332" customFormat="false" ht="15" hidden="false" customHeight="false" outlineLevel="0" collapsed="false">
      <c r="A332" s="2" t="s">
        <v>814</v>
      </c>
      <c r="B332" s="2" t="s">
        <v>24</v>
      </c>
      <c r="C332" s="2" t="s">
        <v>248</v>
      </c>
      <c r="D332" s="2" t="s">
        <v>105</v>
      </c>
      <c r="E332" s="2" t="s">
        <v>815</v>
      </c>
      <c r="F332" s="15" t="n">
        <v>1.18</v>
      </c>
      <c r="G332" s="15" t="n">
        <v>1.18</v>
      </c>
      <c r="H332" s="15" t="n">
        <v>0</v>
      </c>
      <c r="I332" s="15" t="n">
        <v>0</v>
      </c>
      <c r="J332" s="15" t="n">
        <v>0</v>
      </c>
      <c r="K332" s="16" t="n">
        <f aca="false">IF(F332=0,"",G332/F332)</f>
        <v>1</v>
      </c>
    </row>
    <row r="333" customFormat="false" ht="15" hidden="false" customHeight="false" outlineLevel="0" collapsed="false">
      <c r="A333" s="2" t="s">
        <v>816</v>
      </c>
      <c r="B333" s="2" t="s">
        <v>24</v>
      </c>
      <c r="C333" s="2" t="s">
        <v>248</v>
      </c>
      <c r="D333" s="2" t="s">
        <v>665</v>
      </c>
      <c r="E333" s="2" t="s">
        <v>782</v>
      </c>
      <c r="F333" s="15" t="n">
        <v>1.34</v>
      </c>
      <c r="G333" s="15" t="n">
        <v>0</v>
      </c>
      <c r="H333" s="15" t="n">
        <v>0.18</v>
      </c>
      <c r="I333" s="15" t="n">
        <v>0</v>
      </c>
      <c r="J333" s="15" t="n">
        <v>0.18</v>
      </c>
      <c r="K333" s="16" t="n">
        <f aca="false">IF(F333=0,"",G333/F333)</f>
        <v>0</v>
      </c>
    </row>
    <row r="334" customFormat="false" ht="15" hidden="false" customHeight="false" outlineLevel="0" collapsed="false">
      <c r="A334" s="2" t="s">
        <v>817</v>
      </c>
      <c r="B334" s="2" t="s">
        <v>24</v>
      </c>
      <c r="C334" s="2" t="s">
        <v>233</v>
      </c>
      <c r="D334" s="2" t="s">
        <v>765</v>
      </c>
      <c r="E334" s="2" t="s">
        <v>728</v>
      </c>
      <c r="F334" s="15" t="n">
        <v>3.86</v>
      </c>
      <c r="G334" s="15" t="n">
        <v>3.77</v>
      </c>
      <c r="H334" s="15" t="n">
        <v>0.09</v>
      </c>
      <c r="I334" s="15" t="n">
        <v>0</v>
      </c>
      <c r="J334" s="15" t="n">
        <v>0</v>
      </c>
      <c r="K334" s="16" t="n">
        <f aca="false">IF(F334=0,"",G334/F334)</f>
        <v>0.976683937823834</v>
      </c>
    </row>
    <row r="335" customFormat="false" ht="15" hidden="false" customHeight="false" outlineLevel="0" collapsed="false">
      <c r="A335" s="2" t="s">
        <v>818</v>
      </c>
      <c r="B335" s="2" t="s">
        <v>24</v>
      </c>
      <c r="C335" s="2" t="s">
        <v>229</v>
      </c>
      <c r="D335" s="2" t="s">
        <v>665</v>
      </c>
      <c r="E335" s="2" t="s">
        <v>776</v>
      </c>
      <c r="F335" s="15" t="n">
        <v>3.56</v>
      </c>
      <c r="G335" s="15" t="n">
        <v>0.44</v>
      </c>
      <c r="H335" s="15" t="n">
        <v>3.12</v>
      </c>
      <c r="I335" s="15" t="n">
        <v>0</v>
      </c>
      <c r="J335" s="15" t="n">
        <v>0</v>
      </c>
      <c r="K335" s="16" t="n">
        <f aca="false">IF(F335=0,"",G335/F335)</f>
        <v>0.123595505617978</v>
      </c>
    </row>
    <row r="336" customFormat="false" ht="15" hidden="false" customHeight="false" outlineLevel="0" collapsed="false">
      <c r="A336" s="2" t="s">
        <v>819</v>
      </c>
      <c r="B336" s="2" t="s">
        <v>24</v>
      </c>
      <c r="C336" s="2" t="s">
        <v>233</v>
      </c>
      <c r="D336" s="2" t="s">
        <v>774</v>
      </c>
      <c r="E336" s="2" t="s">
        <v>774</v>
      </c>
      <c r="F336" s="15" t="n">
        <v>0.17</v>
      </c>
      <c r="G336" s="15" t="n">
        <v>0.06</v>
      </c>
      <c r="H336" s="15" t="n">
        <v>0.1</v>
      </c>
      <c r="I336" s="15" t="n">
        <v>0</v>
      </c>
      <c r="J336" s="15" t="n">
        <v>0</v>
      </c>
      <c r="K336" s="16" t="n">
        <f aca="false">IF(F336=0,"",G336/F336)</f>
        <v>0.352941176470588</v>
      </c>
    </row>
    <row r="337" customFormat="false" ht="15" hidden="false" customHeight="false" outlineLevel="0" collapsed="false">
      <c r="A337" s="2" t="s">
        <v>820</v>
      </c>
      <c r="B337" s="2" t="s">
        <v>22</v>
      </c>
      <c r="C337" s="2" t="s">
        <v>233</v>
      </c>
      <c r="D337" s="2" t="s">
        <v>782</v>
      </c>
      <c r="E337" s="2" t="s">
        <v>756</v>
      </c>
      <c r="F337" s="15" t="n">
        <v>9.86</v>
      </c>
      <c r="G337" s="15" t="n">
        <v>6.82</v>
      </c>
      <c r="H337" s="15" t="n">
        <v>3.03</v>
      </c>
      <c r="I337" s="15" t="n">
        <v>0</v>
      </c>
      <c r="J337" s="15" t="n">
        <v>0</v>
      </c>
      <c r="K337" s="16" t="n">
        <f aca="false">IF(F337=0,"",G337/F337)</f>
        <v>0.691683569979716</v>
      </c>
    </row>
    <row r="338" customFormat="false" ht="15" hidden="false" customHeight="false" outlineLevel="0" collapsed="false">
      <c r="A338" s="2" t="s">
        <v>821</v>
      </c>
      <c r="B338" s="2" t="s">
        <v>22</v>
      </c>
      <c r="C338" s="2" t="s">
        <v>233</v>
      </c>
      <c r="D338" s="2" t="s">
        <v>349</v>
      </c>
      <c r="E338" s="2" t="s">
        <v>103</v>
      </c>
      <c r="F338" s="15" t="n">
        <v>17.98</v>
      </c>
      <c r="G338" s="15" t="n">
        <v>11.93</v>
      </c>
      <c r="H338" s="15" t="n">
        <v>6.05</v>
      </c>
      <c r="I338" s="15" t="n">
        <v>0</v>
      </c>
      <c r="J338" s="15" t="n">
        <v>0</v>
      </c>
      <c r="K338" s="16" t="n">
        <f aca="false">IF(F338=0,"",G338/F338)</f>
        <v>0.663515016685206</v>
      </c>
    </row>
    <row r="339" customFormat="false" ht="15" hidden="false" customHeight="false" outlineLevel="0" collapsed="false">
      <c r="A339" s="2" t="s">
        <v>822</v>
      </c>
      <c r="B339" s="2" t="s">
        <v>22</v>
      </c>
      <c r="C339" s="2" t="s">
        <v>229</v>
      </c>
      <c r="D339" s="2" t="s">
        <v>806</v>
      </c>
      <c r="E339" s="2" t="s">
        <v>765</v>
      </c>
      <c r="F339" s="15" t="n">
        <v>1.01</v>
      </c>
      <c r="G339" s="15" t="n">
        <v>0</v>
      </c>
      <c r="H339" s="15" t="n">
        <v>0.26</v>
      </c>
      <c r="I339" s="15" t="n">
        <v>0</v>
      </c>
      <c r="J339" s="15" t="n">
        <v>0.21</v>
      </c>
      <c r="K339" s="16" t="n">
        <f aca="false">IF(F339=0,"",G339/F339)</f>
        <v>0</v>
      </c>
    </row>
    <row r="340" customFormat="false" ht="15" hidden="false" customHeight="false" outlineLevel="0" collapsed="false">
      <c r="A340" s="2" t="s">
        <v>823</v>
      </c>
      <c r="B340" s="2" t="s">
        <v>22</v>
      </c>
      <c r="C340" s="2" t="s">
        <v>229</v>
      </c>
      <c r="D340" s="2" t="s">
        <v>723</v>
      </c>
      <c r="E340" s="2" t="s">
        <v>207</v>
      </c>
      <c r="F340" s="15" t="n">
        <v>1.28</v>
      </c>
      <c r="G340" s="15" t="n">
        <v>0.25</v>
      </c>
      <c r="H340" s="15" t="n">
        <v>0.87</v>
      </c>
      <c r="I340" s="15" t="n">
        <v>0</v>
      </c>
      <c r="J340" s="15" t="n">
        <v>0.1</v>
      </c>
      <c r="K340" s="16" t="n">
        <f aca="false">IF(F340=0,"",G340/F340)</f>
        <v>0.1953125</v>
      </c>
    </row>
    <row r="341" customFormat="false" ht="15" hidden="false" customHeight="false" outlineLevel="0" collapsed="false">
      <c r="A341" s="2" t="s">
        <v>824</v>
      </c>
      <c r="B341" s="2" t="s">
        <v>24</v>
      </c>
      <c r="C341" s="2" t="s">
        <v>229</v>
      </c>
      <c r="D341" s="2" t="s">
        <v>349</v>
      </c>
      <c r="E341" s="2" t="s">
        <v>349</v>
      </c>
      <c r="F341" s="15" t="n">
        <v>0.07</v>
      </c>
      <c r="G341" s="15" t="n">
        <v>0.07</v>
      </c>
      <c r="H341" s="15" t="n">
        <v>0</v>
      </c>
      <c r="I341" s="15" t="n">
        <v>0</v>
      </c>
      <c r="J341" s="15" t="n">
        <v>0</v>
      </c>
      <c r="K341" s="16" t="n">
        <f aca="false">IF(F341=0,"",G341/F341)</f>
        <v>1</v>
      </c>
    </row>
    <row r="342" customFormat="false" ht="15" hidden="false" customHeight="false" outlineLevel="0" collapsed="false">
      <c r="A342" s="2" t="s">
        <v>825</v>
      </c>
      <c r="B342" s="2" t="s">
        <v>24</v>
      </c>
      <c r="C342" s="2" t="s">
        <v>252</v>
      </c>
      <c r="D342" s="2" t="s">
        <v>318</v>
      </c>
      <c r="E342" s="2" t="s">
        <v>318</v>
      </c>
      <c r="F342" s="15" t="n">
        <v>0.17</v>
      </c>
      <c r="G342" s="15" t="n">
        <v>0.01</v>
      </c>
      <c r="H342" s="15" t="n">
        <v>0.16</v>
      </c>
      <c r="I342" s="15" t="n">
        <v>0</v>
      </c>
      <c r="J342" s="15" t="n">
        <v>0</v>
      </c>
      <c r="K342" s="16" t="n">
        <f aca="false">IF(F342=0,"",G342/F342)</f>
        <v>0.0588235294117647</v>
      </c>
    </row>
    <row r="343" customFormat="false" ht="15" hidden="false" customHeight="false" outlineLevel="0" collapsed="false">
      <c r="A343" s="2" t="s">
        <v>826</v>
      </c>
      <c r="B343" s="2" t="s">
        <v>22</v>
      </c>
      <c r="C343" s="2" t="s">
        <v>229</v>
      </c>
      <c r="D343" s="2" t="s">
        <v>207</v>
      </c>
      <c r="E343" s="2" t="s">
        <v>756</v>
      </c>
      <c r="F343" s="15" t="n">
        <v>3.56</v>
      </c>
      <c r="G343" s="15" t="n">
        <v>2.33</v>
      </c>
      <c r="H343" s="15" t="n">
        <v>1.22</v>
      </c>
      <c r="I343" s="15" t="n">
        <v>0</v>
      </c>
      <c r="J343" s="15" t="n">
        <v>0</v>
      </c>
      <c r="K343" s="16" t="n">
        <f aca="false">IF(F343=0,"",G343/F343)</f>
        <v>0.654494382022472</v>
      </c>
    </row>
    <row r="344" customFormat="false" ht="15" hidden="false" customHeight="false" outlineLevel="0" collapsed="false">
      <c r="A344" s="2" t="s">
        <v>827</v>
      </c>
      <c r="B344" s="2" t="s">
        <v>22</v>
      </c>
      <c r="C344" s="2" t="s">
        <v>252</v>
      </c>
      <c r="D344" s="2" t="s">
        <v>207</v>
      </c>
      <c r="E344" s="2" t="s">
        <v>718</v>
      </c>
      <c r="F344" s="15" t="n">
        <v>13.18</v>
      </c>
      <c r="G344" s="15" t="n">
        <v>5.19</v>
      </c>
      <c r="H344" s="15" t="n">
        <v>7.99</v>
      </c>
      <c r="I344" s="15" t="n">
        <v>0</v>
      </c>
      <c r="J344" s="15" t="n">
        <v>0</v>
      </c>
      <c r="K344" s="16" t="n">
        <f aca="false">IF(F344=0,"",G344/F344)</f>
        <v>0.393778452200304</v>
      </c>
    </row>
    <row r="345" customFormat="false" ht="15" hidden="false" customHeight="false" outlineLevel="0" collapsed="false">
      <c r="A345" s="2" t="s">
        <v>828</v>
      </c>
      <c r="B345" s="2" t="s">
        <v>24</v>
      </c>
      <c r="C345" s="2" t="s">
        <v>252</v>
      </c>
      <c r="D345" s="2" t="s">
        <v>756</v>
      </c>
      <c r="E345" s="2" t="s">
        <v>101</v>
      </c>
      <c r="F345" s="15" t="n">
        <v>0.93</v>
      </c>
      <c r="G345" s="15" t="n">
        <v>0.93</v>
      </c>
      <c r="H345" s="15" t="n">
        <v>0</v>
      </c>
      <c r="I345" s="15" t="n">
        <v>0</v>
      </c>
      <c r="J345" s="15" t="n">
        <v>0</v>
      </c>
      <c r="K345" s="16" t="n">
        <f aca="false">IF(F345=0,"",G345/F345)</f>
        <v>1</v>
      </c>
    </row>
    <row r="346" customFormat="false" ht="15" hidden="false" customHeight="false" outlineLevel="0" collapsed="false">
      <c r="A346" s="2" t="s">
        <v>829</v>
      </c>
      <c r="B346" s="2" t="s">
        <v>24</v>
      </c>
      <c r="C346" s="2" t="s">
        <v>252</v>
      </c>
      <c r="D346" s="2" t="s">
        <v>105</v>
      </c>
      <c r="E346" s="2" t="s">
        <v>724</v>
      </c>
      <c r="F346" s="15" t="n">
        <v>6.88</v>
      </c>
      <c r="G346" s="15" t="n">
        <v>6.88</v>
      </c>
      <c r="H346" s="15" t="n">
        <v>0</v>
      </c>
      <c r="I346" s="15" t="n">
        <v>0</v>
      </c>
      <c r="J346" s="15" t="n">
        <v>0</v>
      </c>
      <c r="K346" s="16" t="n">
        <f aca="false">IF(F346=0,"",G346/F346)</f>
        <v>1</v>
      </c>
    </row>
    <row r="347" customFormat="false" ht="15" hidden="false" customHeight="false" outlineLevel="0" collapsed="false">
      <c r="A347" s="2" t="s">
        <v>830</v>
      </c>
      <c r="B347" s="2" t="s">
        <v>24</v>
      </c>
      <c r="C347" s="2" t="s">
        <v>229</v>
      </c>
      <c r="D347" s="2" t="s">
        <v>756</v>
      </c>
      <c r="E347" s="2" t="s">
        <v>756</v>
      </c>
      <c r="F347" s="15" t="n">
        <v>0.14</v>
      </c>
      <c r="G347" s="15" t="n">
        <v>0.01</v>
      </c>
      <c r="H347" s="15" t="n">
        <v>0.13</v>
      </c>
      <c r="I347" s="15" t="n">
        <v>0</v>
      </c>
      <c r="J347" s="15" t="n">
        <v>0</v>
      </c>
      <c r="K347" s="16" t="n">
        <f aca="false">IF(F347=0,"",G347/F347)</f>
        <v>0.0714285714285714</v>
      </c>
    </row>
    <row r="348" customFormat="false" ht="15" hidden="false" customHeight="false" outlineLevel="0" collapsed="false">
      <c r="A348" s="2" t="s">
        <v>831</v>
      </c>
      <c r="B348" s="2" t="s">
        <v>24</v>
      </c>
      <c r="C348" s="2" t="s">
        <v>252</v>
      </c>
      <c r="D348" s="2" t="s">
        <v>213</v>
      </c>
      <c r="E348" s="2" t="s">
        <v>213</v>
      </c>
      <c r="F348" s="15" t="n">
        <v>0.07</v>
      </c>
      <c r="G348" s="15" t="n">
        <v>0.07</v>
      </c>
      <c r="H348" s="15" t="n">
        <v>0</v>
      </c>
      <c r="I348" s="15" t="n">
        <v>0</v>
      </c>
      <c r="J348" s="15" t="n">
        <v>0</v>
      </c>
      <c r="K348" s="16" t="n">
        <f aca="false">IF(F348=0,"",G348/F348)</f>
        <v>1</v>
      </c>
    </row>
    <row r="349" customFormat="false" ht="15" hidden="false" customHeight="false" outlineLevel="0" collapsed="false">
      <c r="A349" s="2" t="s">
        <v>832</v>
      </c>
      <c r="B349" s="2" t="s">
        <v>22</v>
      </c>
      <c r="C349" s="2" t="s">
        <v>229</v>
      </c>
      <c r="D349" s="2" t="s">
        <v>101</v>
      </c>
      <c r="E349" s="2" t="s">
        <v>806</v>
      </c>
      <c r="F349" s="15" t="n">
        <v>0.04</v>
      </c>
      <c r="G349" s="15" t="n">
        <v>0.04</v>
      </c>
      <c r="H349" s="15" t="n">
        <v>0</v>
      </c>
      <c r="I349" s="15" t="n">
        <v>0</v>
      </c>
      <c r="J349" s="15" t="n">
        <v>0</v>
      </c>
      <c r="K349" s="16" t="n">
        <f aca="false">IF(F349=0,"",G349/F349)</f>
        <v>1</v>
      </c>
    </row>
    <row r="350" customFormat="false" ht="15" hidden="false" customHeight="false" outlineLevel="0" collapsed="false">
      <c r="A350" s="2" t="s">
        <v>833</v>
      </c>
      <c r="B350" s="2" t="s">
        <v>24</v>
      </c>
      <c r="C350" s="2" t="s">
        <v>233</v>
      </c>
      <c r="D350" s="2" t="s">
        <v>350</v>
      </c>
      <c r="E350" s="2" t="s">
        <v>105</v>
      </c>
      <c r="F350" s="15" t="n">
        <v>6.86</v>
      </c>
      <c r="G350" s="15" t="n">
        <v>6.74</v>
      </c>
      <c r="H350" s="15" t="n">
        <v>0.13</v>
      </c>
      <c r="I350" s="15" t="n">
        <v>0</v>
      </c>
      <c r="J350" s="15" t="n">
        <v>0</v>
      </c>
      <c r="K350" s="16" t="n">
        <f aca="false">IF(F350=0,"",G350/F350)</f>
        <v>0.982507288629738</v>
      </c>
    </row>
    <row r="351" customFormat="false" ht="15" hidden="false" customHeight="false" outlineLevel="0" collapsed="false">
      <c r="A351" s="2" t="s">
        <v>834</v>
      </c>
      <c r="B351" s="2" t="s">
        <v>24</v>
      </c>
      <c r="C351" s="2" t="s">
        <v>252</v>
      </c>
      <c r="D351" s="2" t="s">
        <v>788</v>
      </c>
      <c r="E351" s="2" t="s">
        <v>835</v>
      </c>
      <c r="F351" s="15" t="n">
        <v>36.52</v>
      </c>
      <c r="G351" s="15" t="n">
        <v>6.36</v>
      </c>
      <c r="H351" s="15" t="n">
        <v>0</v>
      </c>
      <c r="I351" s="15" t="n">
        <v>0</v>
      </c>
      <c r="J351" s="15" t="n">
        <v>30.16</v>
      </c>
      <c r="K351" s="16" t="n">
        <f aca="false">IF(F351=0,"",G351/F351)</f>
        <v>0.174151150054765</v>
      </c>
    </row>
    <row r="352" customFormat="false" ht="15" hidden="false" customHeight="false" outlineLevel="0" collapsed="false">
      <c r="A352" s="2" t="s">
        <v>836</v>
      </c>
      <c r="B352" s="2" t="s">
        <v>22</v>
      </c>
      <c r="C352" s="2" t="s">
        <v>229</v>
      </c>
      <c r="D352" s="2" t="s">
        <v>770</v>
      </c>
      <c r="E352" s="2" t="s">
        <v>350</v>
      </c>
      <c r="F352" s="15" t="n">
        <v>4.09</v>
      </c>
      <c r="G352" s="15" t="n">
        <v>4.09</v>
      </c>
      <c r="H352" s="15" t="n">
        <v>0</v>
      </c>
      <c r="I352" s="15" t="n">
        <v>0</v>
      </c>
      <c r="J352" s="15" t="n">
        <v>0</v>
      </c>
      <c r="K352" s="16" t="n">
        <f aca="false">IF(F352=0,"",G352/F352)</f>
        <v>1</v>
      </c>
    </row>
    <row r="353" customFormat="false" ht="15" hidden="false" customHeight="false" outlineLevel="0" collapsed="false">
      <c r="A353" s="2" t="s">
        <v>837</v>
      </c>
      <c r="B353" s="2" t="s">
        <v>22</v>
      </c>
      <c r="C353" s="2" t="s">
        <v>229</v>
      </c>
      <c r="D353" s="2" t="s">
        <v>806</v>
      </c>
      <c r="E353" s="2" t="s">
        <v>209</v>
      </c>
      <c r="F353" s="15" t="n">
        <v>9.5</v>
      </c>
      <c r="G353" s="15" t="n">
        <v>6.29</v>
      </c>
      <c r="H353" s="15" t="n">
        <v>3.21</v>
      </c>
      <c r="I353" s="15" t="n">
        <v>0</v>
      </c>
      <c r="J353" s="15" t="n">
        <v>0</v>
      </c>
      <c r="K353" s="16" t="n">
        <f aca="false">IF(F353=0,"",G353/F353)</f>
        <v>0.662105263157895</v>
      </c>
    </row>
    <row r="354" customFormat="false" ht="15" hidden="false" customHeight="false" outlineLevel="0" collapsed="false">
      <c r="A354" s="2" t="s">
        <v>838</v>
      </c>
      <c r="B354" s="2" t="s">
        <v>22</v>
      </c>
      <c r="C354" s="2" t="s">
        <v>229</v>
      </c>
      <c r="D354" s="2" t="s">
        <v>101</v>
      </c>
      <c r="E354" s="2" t="s">
        <v>815</v>
      </c>
      <c r="F354" s="15" t="n">
        <v>14.92</v>
      </c>
      <c r="G354" s="15" t="n">
        <v>14.71</v>
      </c>
      <c r="H354" s="15" t="n">
        <v>0</v>
      </c>
      <c r="I354" s="15" t="n">
        <v>0</v>
      </c>
      <c r="J354" s="15" t="n">
        <v>0.21</v>
      </c>
      <c r="K354" s="16" t="n">
        <f aca="false">IF(F354=0,"",G354/F354)</f>
        <v>0.985924932975871</v>
      </c>
    </row>
    <row r="355" customFormat="false" ht="15" hidden="false" customHeight="false" outlineLevel="0" collapsed="false">
      <c r="A355" s="2" t="s">
        <v>839</v>
      </c>
      <c r="B355" s="2" t="s">
        <v>22</v>
      </c>
      <c r="C355" s="2" t="s">
        <v>229</v>
      </c>
      <c r="D355" s="2" t="s">
        <v>840</v>
      </c>
      <c r="E355" s="2" t="s">
        <v>841</v>
      </c>
      <c r="F355" s="15" t="n">
        <v>8.04</v>
      </c>
      <c r="G355" s="15" t="n">
        <v>3</v>
      </c>
      <c r="H355" s="15" t="n">
        <v>5.05</v>
      </c>
      <c r="I355" s="15" t="n">
        <v>0</v>
      </c>
      <c r="J355" s="15" t="n">
        <v>0</v>
      </c>
      <c r="K355" s="16" t="n">
        <f aca="false">IF(F355=0,"",G355/F355)</f>
        <v>0.373134328358209</v>
      </c>
    </row>
    <row r="356" customFormat="false" ht="15" hidden="false" customHeight="false" outlineLevel="0" collapsed="false">
      <c r="A356" s="2" t="s">
        <v>842</v>
      </c>
      <c r="B356" s="2" t="s">
        <v>22</v>
      </c>
      <c r="C356" s="2" t="s">
        <v>248</v>
      </c>
      <c r="D356" s="2" t="s">
        <v>806</v>
      </c>
      <c r="E356" s="2" t="s">
        <v>806</v>
      </c>
      <c r="F356" s="15" t="n">
        <v>0.13</v>
      </c>
      <c r="G356" s="15" t="n">
        <v>0</v>
      </c>
      <c r="H356" s="15" t="n">
        <v>0.13</v>
      </c>
      <c r="I356" s="15" t="n">
        <v>0</v>
      </c>
      <c r="J356" s="15" t="n">
        <v>0</v>
      </c>
      <c r="K356" s="16" t="n">
        <f aca="false">IF(F356=0,"",G356/F356)</f>
        <v>0</v>
      </c>
    </row>
    <row r="357" customFormat="false" ht="15" hidden="false" customHeight="false" outlineLevel="0" collapsed="false">
      <c r="A357" s="2" t="s">
        <v>843</v>
      </c>
      <c r="B357" s="2" t="s">
        <v>22</v>
      </c>
      <c r="C357" s="2" t="s">
        <v>233</v>
      </c>
      <c r="D357" s="2" t="s">
        <v>765</v>
      </c>
      <c r="E357" s="2" t="s">
        <v>844</v>
      </c>
      <c r="F357" s="15" t="n">
        <v>5.03</v>
      </c>
      <c r="G357" s="15" t="n">
        <v>3.45</v>
      </c>
      <c r="H357" s="15" t="n">
        <v>1.58</v>
      </c>
      <c r="I357" s="15" t="n">
        <v>0</v>
      </c>
      <c r="J357" s="15" t="n">
        <v>0</v>
      </c>
      <c r="K357" s="16" t="n">
        <f aca="false">IF(F357=0,"",G357/F357)</f>
        <v>0.685884691848907</v>
      </c>
    </row>
    <row r="358" customFormat="false" ht="15" hidden="false" customHeight="false" outlineLevel="0" collapsed="false">
      <c r="A358" s="2" t="s">
        <v>845</v>
      </c>
      <c r="B358" s="2" t="s">
        <v>22</v>
      </c>
      <c r="C358" s="2" t="s">
        <v>573</v>
      </c>
      <c r="D358" s="2" t="s">
        <v>765</v>
      </c>
      <c r="E358" s="2" t="s">
        <v>728</v>
      </c>
      <c r="F358" s="15" t="n">
        <v>3.45</v>
      </c>
      <c r="G358" s="15" t="n">
        <v>0</v>
      </c>
      <c r="H358" s="15" t="n">
        <v>3.44</v>
      </c>
      <c r="I358" s="15" t="n">
        <v>0</v>
      </c>
      <c r="J358" s="15" t="n">
        <v>0</v>
      </c>
      <c r="K358" s="16" t="n">
        <f aca="false">IF(F358=0,"",G358/F358)</f>
        <v>0</v>
      </c>
    </row>
    <row r="359" customFormat="false" ht="15" hidden="false" customHeight="false" outlineLevel="0" collapsed="false">
      <c r="A359" s="2" t="s">
        <v>846</v>
      </c>
      <c r="B359" s="2" t="s">
        <v>24</v>
      </c>
      <c r="C359" s="2" t="s">
        <v>252</v>
      </c>
      <c r="D359" s="2" t="s">
        <v>318</v>
      </c>
      <c r="E359" s="2" t="s">
        <v>847</v>
      </c>
      <c r="F359" s="15" t="n">
        <v>16.78</v>
      </c>
      <c r="G359" s="15" t="n">
        <v>0.32</v>
      </c>
      <c r="H359" s="15" t="n">
        <v>10.64</v>
      </c>
      <c r="I359" s="15" t="n">
        <v>0</v>
      </c>
      <c r="J359" s="15" t="n">
        <v>3.16</v>
      </c>
      <c r="K359" s="16" t="n">
        <f aca="false">IF(F359=0,"",G359/F359)</f>
        <v>0.0190703218116806</v>
      </c>
    </row>
    <row r="360" customFormat="false" ht="15" hidden="false" customHeight="false" outlineLevel="0" collapsed="false">
      <c r="A360" s="2" t="s">
        <v>848</v>
      </c>
      <c r="B360" s="2" t="s">
        <v>24</v>
      </c>
      <c r="C360" s="2" t="s">
        <v>252</v>
      </c>
      <c r="D360" s="2" t="s">
        <v>728</v>
      </c>
      <c r="E360" s="2" t="s">
        <v>728</v>
      </c>
      <c r="F360" s="15" t="n">
        <v>0.92</v>
      </c>
      <c r="G360" s="15" t="n">
        <v>0.22</v>
      </c>
      <c r="H360" s="15" t="n">
        <v>0.7</v>
      </c>
      <c r="I360" s="15" t="n">
        <v>0</v>
      </c>
      <c r="J360" s="15" t="n">
        <v>0</v>
      </c>
      <c r="K360" s="16" t="n">
        <f aca="false">IF(F360=0,"",G360/F360)</f>
        <v>0.239130434782609</v>
      </c>
    </row>
    <row r="361" customFormat="false" ht="15" hidden="false" customHeight="false" outlineLevel="0" collapsed="false">
      <c r="A361" s="2" t="s">
        <v>849</v>
      </c>
      <c r="B361" s="2" t="s">
        <v>24</v>
      </c>
      <c r="C361" s="2" t="s">
        <v>252</v>
      </c>
      <c r="D361" s="2" t="s">
        <v>105</v>
      </c>
      <c r="E361" s="2" t="s">
        <v>671</v>
      </c>
      <c r="F361" s="15" t="n">
        <v>1.39</v>
      </c>
      <c r="G361" s="15" t="n">
        <v>1.29</v>
      </c>
      <c r="H361" s="15" t="n">
        <v>0.11</v>
      </c>
      <c r="I361" s="15" t="n">
        <v>0</v>
      </c>
      <c r="J361" s="15" t="n">
        <v>0</v>
      </c>
      <c r="K361" s="16" t="n">
        <f aca="false">IF(F361=0,"",G361/F361)</f>
        <v>0.928057553956835</v>
      </c>
    </row>
    <row r="362" customFormat="false" ht="15" hidden="false" customHeight="false" outlineLevel="0" collapsed="false">
      <c r="A362" s="2" t="s">
        <v>850</v>
      </c>
      <c r="B362" s="2" t="s">
        <v>24</v>
      </c>
      <c r="C362" s="2" t="s">
        <v>229</v>
      </c>
      <c r="D362" s="2" t="s">
        <v>318</v>
      </c>
      <c r="E362" s="2" t="s">
        <v>847</v>
      </c>
      <c r="F362" s="15" t="n">
        <v>16.47</v>
      </c>
      <c r="G362" s="15" t="n">
        <v>16.47</v>
      </c>
      <c r="H362" s="15" t="n">
        <v>0</v>
      </c>
      <c r="I362" s="15" t="n">
        <v>0</v>
      </c>
      <c r="J362" s="15" t="n">
        <v>0</v>
      </c>
      <c r="K362" s="16" t="n">
        <f aca="false">IF(F362=0,"",G362/F362)</f>
        <v>1</v>
      </c>
    </row>
    <row r="363" customFormat="false" ht="15" hidden="false" customHeight="false" outlineLevel="0" collapsed="false">
      <c r="A363" s="2" t="s">
        <v>851</v>
      </c>
      <c r="B363" s="2" t="s">
        <v>22</v>
      </c>
      <c r="C363" s="2" t="s">
        <v>229</v>
      </c>
      <c r="D363" s="2" t="s">
        <v>209</v>
      </c>
      <c r="E363" s="2" t="s">
        <v>724</v>
      </c>
      <c r="F363" s="15" t="n">
        <v>11.22</v>
      </c>
      <c r="G363" s="15" t="n">
        <v>9.92</v>
      </c>
      <c r="H363" s="15" t="n">
        <v>1.29</v>
      </c>
      <c r="I363" s="15" t="n">
        <v>0</v>
      </c>
      <c r="J363" s="15" t="n">
        <v>0</v>
      </c>
      <c r="K363" s="16" t="n">
        <f aca="false">IF(F363=0,"",G363/F363)</f>
        <v>0.884135472370766</v>
      </c>
    </row>
    <row r="364" customFormat="false" ht="15" hidden="false" customHeight="false" outlineLevel="0" collapsed="false">
      <c r="A364" s="2" t="s">
        <v>852</v>
      </c>
      <c r="B364" s="2" t="s">
        <v>22</v>
      </c>
      <c r="C364" s="2" t="s">
        <v>233</v>
      </c>
      <c r="D364" s="2" t="s">
        <v>844</v>
      </c>
      <c r="E364" s="2" t="s">
        <v>211</v>
      </c>
      <c r="F364" s="15" t="n">
        <v>16.43</v>
      </c>
      <c r="G364" s="15" t="n">
        <v>10.51</v>
      </c>
      <c r="H364" s="15" t="n">
        <v>5.92</v>
      </c>
      <c r="I364" s="15" t="n">
        <v>0</v>
      </c>
      <c r="J364" s="15" t="n">
        <v>0</v>
      </c>
      <c r="K364" s="16" t="n">
        <f aca="false">IF(F364=0,"",G364/F364)</f>
        <v>0.639683505782106</v>
      </c>
    </row>
    <row r="365" customFormat="false" ht="15" hidden="false" customHeight="false" outlineLevel="0" collapsed="false">
      <c r="A365" s="2" t="s">
        <v>853</v>
      </c>
      <c r="B365" s="2" t="s">
        <v>24</v>
      </c>
      <c r="C365" s="2" t="s">
        <v>233</v>
      </c>
      <c r="D365" s="2" t="s">
        <v>844</v>
      </c>
      <c r="E365" s="2" t="s">
        <v>209</v>
      </c>
      <c r="F365" s="15" t="n">
        <v>1.19</v>
      </c>
      <c r="G365" s="15" t="n">
        <v>0.07</v>
      </c>
      <c r="H365" s="15" t="n">
        <v>0.99</v>
      </c>
      <c r="I365" s="15" t="n">
        <v>0</v>
      </c>
      <c r="J365" s="15" t="n">
        <v>0.13</v>
      </c>
      <c r="K365" s="16" t="n">
        <f aca="false">IF(F365=0,"",G365/F365)</f>
        <v>0.0588235294117647</v>
      </c>
    </row>
    <row r="366" customFormat="false" ht="15" hidden="false" customHeight="false" outlineLevel="0" collapsed="false">
      <c r="A366" s="2" t="s">
        <v>854</v>
      </c>
      <c r="B366" s="2" t="s">
        <v>22</v>
      </c>
      <c r="C366" s="2" t="s">
        <v>233</v>
      </c>
      <c r="D366" s="2" t="s">
        <v>788</v>
      </c>
      <c r="E366" s="2" t="s">
        <v>847</v>
      </c>
      <c r="F366" s="15" t="n">
        <v>11.97</v>
      </c>
      <c r="G366" s="15" t="n">
        <v>1.22</v>
      </c>
      <c r="H366" s="15" t="n">
        <v>0</v>
      </c>
      <c r="I366" s="15" t="n">
        <v>10.75</v>
      </c>
      <c r="J366" s="15" t="n">
        <v>0</v>
      </c>
      <c r="K366" s="16" t="n">
        <f aca="false">IF(F366=0,"",G366/F366)</f>
        <v>0.101921470342523</v>
      </c>
    </row>
    <row r="367" customFormat="false" ht="15" hidden="false" customHeight="false" outlineLevel="0" collapsed="false">
      <c r="A367" s="2" t="s">
        <v>855</v>
      </c>
      <c r="B367" s="2" t="s">
        <v>22</v>
      </c>
      <c r="C367" s="2" t="s">
        <v>233</v>
      </c>
      <c r="D367" s="2" t="s">
        <v>815</v>
      </c>
      <c r="E367" s="2" t="s">
        <v>815</v>
      </c>
      <c r="F367" s="15" t="n">
        <v>0.13</v>
      </c>
      <c r="G367" s="15" t="n">
        <v>0.13</v>
      </c>
      <c r="H367" s="15" t="n">
        <v>0</v>
      </c>
      <c r="I367" s="15" t="n">
        <v>0</v>
      </c>
      <c r="J367" s="15" t="n">
        <v>0</v>
      </c>
      <c r="K367" s="16" t="n">
        <f aca="false">IF(F367=0,"",G367/F367)</f>
        <v>1</v>
      </c>
    </row>
    <row r="368" customFormat="false" ht="15" hidden="false" customHeight="false" outlineLevel="0" collapsed="false">
      <c r="A368" s="2" t="s">
        <v>856</v>
      </c>
      <c r="B368" s="2" t="s">
        <v>22</v>
      </c>
      <c r="C368" s="2" t="s">
        <v>229</v>
      </c>
      <c r="D368" s="2" t="s">
        <v>793</v>
      </c>
      <c r="E368" s="2" t="s">
        <v>109</v>
      </c>
      <c r="F368" s="15" t="n">
        <v>3.09</v>
      </c>
      <c r="G368" s="15" t="n">
        <v>3.09</v>
      </c>
      <c r="H368" s="15" t="n">
        <v>0</v>
      </c>
      <c r="I368" s="15" t="n">
        <v>0</v>
      </c>
      <c r="J368" s="15" t="n">
        <v>0</v>
      </c>
      <c r="K368" s="16" t="n">
        <f aca="false">IF(F368=0,"",G368/F368)</f>
        <v>1</v>
      </c>
    </row>
    <row r="369" customFormat="false" ht="15" hidden="false" customHeight="false" outlineLevel="0" collapsed="false">
      <c r="A369" s="2" t="s">
        <v>857</v>
      </c>
      <c r="B369" s="2" t="s">
        <v>24</v>
      </c>
      <c r="C369" s="2" t="s">
        <v>233</v>
      </c>
      <c r="D369" s="2" t="s">
        <v>105</v>
      </c>
      <c r="E369" s="2" t="s">
        <v>105</v>
      </c>
      <c r="F369" s="15" t="n">
        <v>0.12</v>
      </c>
      <c r="G369" s="15" t="n">
        <v>0.01</v>
      </c>
      <c r="H369" s="15" t="n">
        <v>0.1</v>
      </c>
      <c r="I369" s="15" t="n">
        <v>0</v>
      </c>
      <c r="J369" s="15" t="n">
        <v>0</v>
      </c>
      <c r="K369" s="16" t="n">
        <f aca="false">IF(F369=0,"",G369/F369)</f>
        <v>0.0833333333333333</v>
      </c>
    </row>
    <row r="370" customFormat="false" ht="15" hidden="false" customHeight="false" outlineLevel="0" collapsed="false">
      <c r="A370" s="2" t="s">
        <v>858</v>
      </c>
      <c r="B370" s="2" t="s">
        <v>24</v>
      </c>
      <c r="C370" s="2" t="s">
        <v>233</v>
      </c>
      <c r="D370" s="2" t="s">
        <v>815</v>
      </c>
      <c r="E370" s="2" t="s">
        <v>815</v>
      </c>
      <c r="F370" s="15" t="n">
        <v>0.2</v>
      </c>
      <c r="G370" s="15" t="n">
        <v>0.04</v>
      </c>
      <c r="H370" s="15" t="n">
        <v>0.17</v>
      </c>
      <c r="I370" s="15" t="n">
        <v>0</v>
      </c>
      <c r="J370" s="15" t="n">
        <v>0</v>
      </c>
      <c r="K370" s="16" t="n">
        <f aca="false">IF(F370=0,"",G370/F370)</f>
        <v>0.2</v>
      </c>
    </row>
    <row r="371" customFormat="false" ht="15" hidden="false" customHeight="false" outlineLevel="0" collapsed="false">
      <c r="A371" s="2" t="s">
        <v>859</v>
      </c>
      <c r="B371" s="2" t="s">
        <v>22</v>
      </c>
      <c r="C371" s="2" t="s">
        <v>233</v>
      </c>
      <c r="D371" s="2" t="s">
        <v>105</v>
      </c>
      <c r="E371" s="2" t="s">
        <v>788</v>
      </c>
      <c r="F371" s="15" t="n">
        <v>7.45</v>
      </c>
      <c r="G371" s="15" t="n">
        <v>2.66</v>
      </c>
      <c r="H371" s="15" t="n">
        <v>4.78</v>
      </c>
      <c r="I371" s="15" t="n">
        <v>0</v>
      </c>
      <c r="J371" s="15" t="n">
        <v>0</v>
      </c>
      <c r="K371" s="16" t="n">
        <f aca="false">IF(F371=0,"",G371/F371)</f>
        <v>0.357046979865772</v>
      </c>
    </row>
    <row r="372" customFormat="false" ht="15" hidden="false" customHeight="false" outlineLevel="0" collapsed="false">
      <c r="A372" s="2" t="s">
        <v>860</v>
      </c>
      <c r="B372" s="2" t="s">
        <v>24</v>
      </c>
      <c r="C372" s="2" t="s">
        <v>252</v>
      </c>
      <c r="D372" s="2" t="s">
        <v>713</v>
      </c>
      <c r="E372" s="2" t="s">
        <v>774</v>
      </c>
      <c r="F372" s="15" t="n">
        <v>9.09</v>
      </c>
      <c r="G372" s="15" t="n">
        <v>1.88</v>
      </c>
      <c r="H372" s="15" t="n">
        <v>7.22</v>
      </c>
      <c r="I372" s="15" t="n">
        <v>0</v>
      </c>
      <c r="J372" s="15" t="n">
        <v>0</v>
      </c>
      <c r="K372" s="16" t="n">
        <f aca="false">IF(F372=0,"",G372/F372)</f>
        <v>0.206820682068207</v>
      </c>
    </row>
    <row r="373" customFormat="false" ht="15" hidden="false" customHeight="false" outlineLevel="0" collapsed="false">
      <c r="A373" s="2" t="s">
        <v>861</v>
      </c>
      <c r="B373" s="2" t="s">
        <v>22</v>
      </c>
      <c r="C373" s="2" t="s">
        <v>233</v>
      </c>
      <c r="D373" s="2" t="s">
        <v>105</v>
      </c>
      <c r="E373" s="2" t="s">
        <v>671</v>
      </c>
      <c r="F373" s="15" t="n">
        <v>1.94</v>
      </c>
      <c r="G373" s="15" t="n">
        <v>1.94</v>
      </c>
      <c r="H373" s="15" t="n">
        <v>0</v>
      </c>
      <c r="I373" s="15" t="n">
        <v>0</v>
      </c>
      <c r="J373" s="15" t="n">
        <v>0</v>
      </c>
      <c r="K373" s="16" t="n">
        <f aca="false">IF(F373=0,"",G373/F373)</f>
        <v>1</v>
      </c>
    </row>
    <row r="374" customFormat="false" ht="15" hidden="false" customHeight="false" outlineLevel="0" collapsed="false">
      <c r="A374" s="2" t="s">
        <v>862</v>
      </c>
      <c r="B374" s="2" t="s">
        <v>24</v>
      </c>
      <c r="C374" s="2" t="s">
        <v>248</v>
      </c>
      <c r="D374" s="2" t="s">
        <v>796</v>
      </c>
      <c r="E374" s="2" t="s">
        <v>774</v>
      </c>
      <c r="F374" s="15" t="n">
        <v>17.14</v>
      </c>
      <c r="G374" s="15" t="n">
        <v>15.25</v>
      </c>
      <c r="H374" s="15" t="n">
        <v>1.89</v>
      </c>
      <c r="I374" s="15" t="n">
        <v>0</v>
      </c>
      <c r="J374" s="15" t="n">
        <v>0</v>
      </c>
      <c r="K374" s="16" t="n">
        <f aca="false">IF(F374=0,"",G374/F374)</f>
        <v>0.88973162193699</v>
      </c>
    </row>
    <row r="375" customFormat="false" ht="15" hidden="false" customHeight="false" outlineLevel="0" collapsed="false">
      <c r="A375" s="2" t="s">
        <v>863</v>
      </c>
      <c r="B375" s="2" t="s">
        <v>22</v>
      </c>
      <c r="C375" s="2" t="s">
        <v>229</v>
      </c>
      <c r="D375" s="2" t="s">
        <v>840</v>
      </c>
      <c r="E375" s="2" t="s">
        <v>840</v>
      </c>
      <c r="F375" s="15" t="n">
        <v>0.28</v>
      </c>
      <c r="G375" s="15" t="n">
        <v>0.21</v>
      </c>
      <c r="H375" s="15" t="n">
        <v>0.07</v>
      </c>
      <c r="I375" s="15" t="n">
        <v>0</v>
      </c>
      <c r="J375" s="15" t="n">
        <v>0</v>
      </c>
      <c r="K375" s="16" t="n">
        <f aca="false">IF(F375=0,"",G375/F375)</f>
        <v>0.75</v>
      </c>
    </row>
    <row r="376" customFormat="false" ht="15" hidden="false" customHeight="false" outlineLevel="0" collapsed="false">
      <c r="A376" s="2" t="s">
        <v>864</v>
      </c>
      <c r="B376" s="2" t="s">
        <v>22</v>
      </c>
      <c r="C376" s="2" t="s">
        <v>233</v>
      </c>
      <c r="D376" s="2" t="s">
        <v>815</v>
      </c>
      <c r="E376" s="2" t="s">
        <v>108</v>
      </c>
      <c r="F376" s="15" t="n">
        <v>28.93</v>
      </c>
      <c r="G376" s="15" t="n">
        <v>12.71</v>
      </c>
      <c r="H376" s="15" t="n">
        <v>9.2</v>
      </c>
      <c r="I376" s="15" t="n">
        <v>0</v>
      </c>
      <c r="J376" s="15" t="n">
        <v>3.07</v>
      </c>
      <c r="K376" s="16" t="n">
        <f aca="false">IF(F376=0,"",G376/F376)</f>
        <v>0.439336329070169</v>
      </c>
    </row>
    <row r="377" customFormat="false" ht="15" hidden="false" customHeight="false" outlineLevel="0" collapsed="false">
      <c r="A377" s="2" t="s">
        <v>865</v>
      </c>
      <c r="B377" s="2" t="s">
        <v>24</v>
      </c>
      <c r="C377" s="2" t="s">
        <v>229</v>
      </c>
      <c r="D377" s="2" t="s">
        <v>671</v>
      </c>
      <c r="E377" s="2" t="s">
        <v>866</v>
      </c>
      <c r="F377" s="15" t="n">
        <v>11.57</v>
      </c>
      <c r="G377" s="15" t="n">
        <v>11.57</v>
      </c>
      <c r="H377" s="15" t="n">
        <v>0</v>
      </c>
      <c r="I377" s="15" t="n">
        <v>0</v>
      </c>
      <c r="J377" s="15" t="n">
        <v>0</v>
      </c>
      <c r="K377" s="16" t="n">
        <f aca="false">IF(F377=0,"",G377/F377)</f>
        <v>1</v>
      </c>
    </row>
    <row r="378" customFormat="false" ht="15" hidden="false" customHeight="false" outlineLevel="0" collapsed="false">
      <c r="A378" s="2" t="s">
        <v>867</v>
      </c>
      <c r="B378" s="2" t="s">
        <v>24</v>
      </c>
      <c r="C378" s="2" t="s">
        <v>233</v>
      </c>
      <c r="D378" s="2" t="s">
        <v>815</v>
      </c>
      <c r="E378" s="2" t="s">
        <v>724</v>
      </c>
      <c r="F378" s="15" t="n">
        <v>5.82</v>
      </c>
      <c r="G378" s="15" t="n">
        <v>1.9</v>
      </c>
      <c r="H378" s="15" t="n">
        <v>3.92</v>
      </c>
      <c r="I378" s="15" t="n">
        <v>0</v>
      </c>
      <c r="J378" s="15" t="n">
        <v>0</v>
      </c>
      <c r="K378" s="16" t="n">
        <f aca="false">IF(F378=0,"",G378/F378)</f>
        <v>0.326460481099656</v>
      </c>
    </row>
    <row r="379" customFormat="false" ht="15" hidden="false" customHeight="false" outlineLevel="0" collapsed="false">
      <c r="A379" s="2" t="s">
        <v>868</v>
      </c>
      <c r="B379" s="2" t="s">
        <v>22</v>
      </c>
      <c r="C379" s="2" t="s">
        <v>252</v>
      </c>
      <c r="D379" s="2" t="s">
        <v>724</v>
      </c>
      <c r="E379" s="2" t="s">
        <v>869</v>
      </c>
      <c r="F379" s="15" t="n">
        <v>1.17</v>
      </c>
      <c r="G379" s="15" t="n">
        <v>0.28</v>
      </c>
      <c r="H379" s="15" t="n">
        <v>0.88</v>
      </c>
      <c r="I379" s="15" t="n">
        <v>0</v>
      </c>
      <c r="J379" s="15" t="n">
        <v>0</v>
      </c>
      <c r="K379" s="16" t="n">
        <f aca="false">IF(F379=0,"",G379/F379)</f>
        <v>0.239316239316239</v>
      </c>
    </row>
    <row r="380" customFormat="false" ht="15" hidden="false" customHeight="false" outlineLevel="0" collapsed="false">
      <c r="A380" s="2" t="s">
        <v>870</v>
      </c>
      <c r="B380" s="2" t="s">
        <v>24</v>
      </c>
      <c r="C380" s="2" t="s">
        <v>248</v>
      </c>
      <c r="D380" s="2" t="s">
        <v>847</v>
      </c>
      <c r="E380" s="2" t="s">
        <v>793</v>
      </c>
      <c r="F380" s="15" t="n">
        <v>16.86</v>
      </c>
      <c r="G380" s="15" t="n">
        <v>15.77</v>
      </c>
      <c r="H380" s="15" t="n">
        <v>1.09</v>
      </c>
      <c r="I380" s="15" t="n">
        <v>0</v>
      </c>
      <c r="J380" s="15" t="n">
        <v>0</v>
      </c>
      <c r="K380" s="16" t="n">
        <f aca="false">IF(F380=0,"",G380/F380)</f>
        <v>0.935349940688019</v>
      </c>
    </row>
    <row r="381" customFormat="false" ht="15" hidden="false" customHeight="false" outlineLevel="0" collapsed="false">
      <c r="A381" s="2" t="s">
        <v>871</v>
      </c>
      <c r="B381" s="2" t="s">
        <v>24</v>
      </c>
      <c r="C381" s="2" t="s">
        <v>229</v>
      </c>
      <c r="D381" s="2" t="s">
        <v>840</v>
      </c>
      <c r="E381" s="2" t="s">
        <v>550</v>
      </c>
      <c r="F381" s="15" t="n">
        <v>1.7</v>
      </c>
      <c r="G381" s="15" t="n">
        <v>0.67</v>
      </c>
      <c r="H381" s="15" t="n">
        <v>1.03</v>
      </c>
      <c r="I381" s="15" t="n">
        <v>0</v>
      </c>
      <c r="J381" s="15" t="n">
        <v>0</v>
      </c>
      <c r="K381" s="16" t="n">
        <f aca="false">IF(F381=0,"",G381/F381)</f>
        <v>0.394117647058824</v>
      </c>
    </row>
    <row r="382" customFormat="false" ht="15" hidden="false" customHeight="false" outlineLevel="0" collapsed="false">
      <c r="A382" s="2" t="s">
        <v>872</v>
      </c>
      <c r="B382" s="2" t="s">
        <v>24</v>
      </c>
      <c r="C382" s="2" t="s">
        <v>233</v>
      </c>
      <c r="D382" s="2" t="s">
        <v>724</v>
      </c>
      <c r="E382" s="2" t="s">
        <v>873</v>
      </c>
      <c r="F382" s="15" t="n">
        <v>10.07</v>
      </c>
      <c r="G382" s="15" t="n">
        <v>5.98</v>
      </c>
      <c r="H382" s="15" t="n">
        <v>1.25</v>
      </c>
      <c r="I382" s="15" t="n">
        <v>0</v>
      </c>
      <c r="J382" s="15" t="n">
        <v>0.77</v>
      </c>
      <c r="K382" s="16" t="n">
        <f aca="false">IF(F382=0,"",G382/F382)</f>
        <v>0.593843098311817</v>
      </c>
    </row>
    <row r="383" customFormat="false" ht="15" hidden="false" customHeight="false" outlineLevel="0" collapsed="false">
      <c r="A383" s="2" t="s">
        <v>874</v>
      </c>
      <c r="B383" s="2" t="s">
        <v>24</v>
      </c>
      <c r="C383" s="2" t="s">
        <v>252</v>
      </c>
      <c r="D383" s="2" t="s">
        <v>592</v>
      </c>
      <c r="E383" s="2" t="s">
        <v>873</v>
      </c>
      <c r="F383" s="15" t="n">
        <v>1.08</v>
      </c>
      <c r="G383" s="15" t="n">
        <v>1.08</v>
      </c>
      <c r="H383" s="15" t="n">
        <v>0</v>
      </c>
      <c r="I383" s="15" t="n">
        <v>0</v>
      </c>
      <c r="J383" s="15" t="n">
        <v>0</v>
      </c>
      <c r="K383" s="16" t="n">
        <f aca="false">IF(F383=0,"",G383/F383)</f>
        <v>1</v>
      </c>
    </row>
    <row r="384" customFormat="false" ht="15" hidden="false" customHeight="false" outlineLevel="0" collapsed="false">
      <c r="A384" s="2" t="s">
        <v>875</v>
      </c>
      <c r="B384" s="2" t="s">
        <v>24</v>
      </c>
      <c r="C384" s="2" t="s">
        <v>248</v>
      </c>
      <c r="D384" s="2" t="s">
        <v>876</v>
      </c>
      <c r="E384" s="2" t="s">
        <v>801</v>
      </c>
      <c r="F384" s="15" t="n">
        <v>3.97</v>
      </c>
      <c r="G384" s="15" t="n">
        <v>3.79</v>
      </c>
      <c r="H384" s="15" t="n">
        <v>0.18</v>
      </c>
      <c r="I384" s="15" t="n">
        <v>0</v>
      </c>
      <c r="J384" s="15" t="n">
        <v>0</v>
      </c>
      <c r="K384" s="16" t="n">
        <f aca="false">IF(F384=0,"",G384/F384)</f>
        <v>0.954659949622166</v>
      </c>
    </row>
    <row r="385" customFormat="false" ht="15" hidden="false" customHeight="false" outlineLevel="0" collapsed="false">
      <c r="A385" s="2" t="s">
        <v>877</v>
      </c>
      <c r="B385" s="2" t="s">
        <v>24</v>
      </c>
      <c r="C385" s="2" t="s">
        <v>233</v>
      </c>
      <c r="D385" s="2" t="s">
        <v>869</v>
      </c>
      <c r="E385" s="2" t="s">
        <v>878</v>
      </c>
      <c r="F385" s="15" t="n">
        <v>1.7</v>
      </c>
      <c r="G385" s="15" t="n">
        <v>1.7</v>
      </c>
      <c r="H385" s="15" t="n">
        <v>0</v>
      </c>
      <c r="I385" s="15" t="n">
        <v>0</v>
      </c>
      <c r="J385" s="15" t="n">
        <v>0</v>
      </c>
      <c r="K385" s="16" t="n">
        <f aca="false">IF(F385=0,"",G385/F385)</f>
        <v>1</v>
      </c>
    </row>
    <row r="386" customFormat="false" ht="15" hidden="false" customHeight="false" outlineLevel="0" collapsed="false">
      <c r="A386" s="2" t="s">
        <v>879</v>
      </c>
      <c r="B386" s="2" t="s">
        <v>24</v>
      </c>
      <c r="C386" s="2" t="s">
        <v>233</v>
      </c>
      <c r="D386" s="2" t="s">
        <v>869</v>
      </c>
      <c r="E386" s="2" t="s">
        <v>878</v>
      </c>
      <c r="F386" s="15" t="n">
        <v>1.81</v>
      </c>
      <c r="G386" s="15" t="n">
        <v>1.81</v>
      </c>
      <c r="H386" s="15" t="n">
        <v>0</v>
      </c>
      <c r="I386" s="15" t="n">
        <v>0</v>
      </c>
      <c r="J386" s="15" t="n">
        <v>0</v>
      </c>
      <c r="K386" s="16" t="n">
        <f aca="false">IF(F386=0,"",G386/F386)</f>
        <v>1</v>
      </c>
    </row>
    <row r="387" customFormat="false" ht="15" hidden="false" customHeight="false" outlineLevel="0" collapsed="false">
      <c r="A387" s="2" t="s">
        <v>880</v>
      </c>
      <c r="B387" s="2" t="s">
        <v>22</v>
      </c>
      <c r="C387" s="2" t="s">
        <v>229</v>
      </c>
      <c r="D387" s="2" t="s">
        <v>111</v>
      </c>
      <c r="E387" s="2" t="s">
        <v>217</v>
      </c>
      <c r="F387" s="15" t="n">
        <v>9.96</v>
      </c>
      <c r="G387" s="15" t="n">
        <v>7.62</v>
      </c>
      <c r="H387" s="15" t="n">
        <v>1.95</v>
      </c>
      <c r="I387" s="15" t="n">
        <v>0</v>
      </c>
      <c r="J387" s="15" t="n">
        <v>0.39</v>
      </c>
      <c r="K387" s="16" t="n">
        <f aca="false">IF(F387=0,"",G387/F387)</f>
        <v>0.765060240963855</v>
      </c>
    </row>
    <row r="388" customFormat="false" ht="15" hidden="false" customHeight="false" outlineLevel="0" collapsed="false">
      <c r="A388" s="2" t="s">
        <v>881</v>
      </c>
      <c r="B388" s="2" t="s">
        <v>24</v>
      </c>
      <c r="C388" s="2" t="s">
        <v>252</v>
      </c>
      <c r="D388" s="2" t="s">
        <v>713</v>
      </c>
      <c r="E388" s="2" t="s">
        <v>106</v>
      </c>
      <c r="F388" s="15" t="n">
        <v>0.7</v>
      </c>
      <c r="G388" s="15" t="n">
        <v>0.7</v>
      </c>
      <c r="H388" s="15" t="n">
        <v>0</v>
      </c>
      <c r="I388" s="15" t="n">
        <v>0</v>
      </c>
      <c r="J388" s="15" t="n">
        <v>0</v>
      </c>
      <c r="K388" s="16" t="n">
        <f aca="false">IF(F388=0,"",G388/F388)</f>
        <v>1</v>
      </c>
    </row>
    <row r="389" customFormat="false" ht="15" hidden="false" customHeight="false" outlineLevel="0" collapsed="false">
      <c r="A389" s="2" t="s">
        <v>882</v>
      </c>
      <c r="B389" s="2" t="s">
        <v>24</v>
      </c>
      <c r="C389" s="2" t="s">
        <v>233</v>
      </c>
      <c r="D389" s="2" t="s">
        <v>211</v>
      </c>
      <c r="E389" s="2" t="s">
        <v>774</v>
      </c>
      <c r="F389" s="15" t="n">
        <v>13.2</v>
      </c>
      <c r="G389" s="15" t="n">
        <v>6.05</v>
      </c>
      <c r="H389" s="15" t="n">
        <v>2.02</v>
      </c>
      <c r="I389" s="15" t="n">
        <v>0</v>
      </c>
      <c r="J389" s="15" t="n">
        <v>5.14</v>
      </c>
      <c r="K389" s="16" t="n">
        <f aca="false">IF(F389=0,"",G389/F389)</f>
        <v>0.458333333333333</v>
      </c>
    </row>
    <row r="390" customFormat="false" ht="15" hidden="false" customHeight="false" outlineLevel="0" collapsed="false">
      <c r="A390" s="2" t="s">
        <v>883</v>
      </c>
      <c r="B390" s="2" t="s">
        <v>22</v>
      </c>
      <c r="C390" s="2" t="s">
        <v>229</v>
      </c>
      <c r="D390" s="2" t="s">
        <v>211</v>
      </c>
      <c r="E390" s="2" t="s">
        <v>593</v>
      </c>
      <c r="F390" s="15" t="n">
        <v>10.85</v>
      </c>
      <c r="G390" s="15" t="n">
        <v>5.87</v>
      </c>
      <c r="H390" s="15" t="n">
        <v>4.98</v>
      </c>
      <c r="I390" s="15" t="n">
        <v>0</v>
      </c>
      <c r="J390" s="15" t="n">
        <v>0</v>
      </c>
      <c r="K390" s="16" t="n">
        <f aca="false">IF(F390=0,"",G390/F390)</f>
        <v>0.541013824884793</v>
      </c>
    </row>
    <row r="391" customFormat="false" ht="15" hidden="false" customHeight="false" outlineLevel="0" collapsed="false">
      <c r="A391" s="2" t="s">
        <v>884</v>
      </c>
      <c r="B391" s="2" t="s">
        <v>22</v>
      </c>
      <c r="C391" s="2" t="s">
        <v>233</v>
      </c>
      <c r="D391" s="2" t="s">
        <v>885</v>
      </c>
      <c r="E391" s="2" t="s">
        <v>866</v>
      </c>
      <c r="F391" s="15" t="n">
        <v>0.77</v>
      </c>
      <c r="G391" s="15" t="n">
        <v>0.04</v>
      </c>
      <c r="H391" s="15" t="n">
        <v>0.73</v>
      </c>
      <c r="I391" s="15" t="n">
        <v>0</v>
      </c>
      <c r="J391" s="15" t="n">
        <v>0</v>
      </c>
      <c r="K391" s="16" t="n">
        <f aca="false">IF(F391=0,"",G391/F391)</f>
        <v>0.0519480519480519</v>
      </c>
    </row>
    <row r="392" customFormat="false" ht="15" hidden="false" customHeight="false" outlineLevel="0" collapsed="false">
      <c r="A392" s="2" t="s">
        <v>886</v>
      </c>
      <c r="B392" s="2" t="s">
        <v>22</v>
      </c>
      <c r="C392" s="2" t="s">
        <v>573</v>
      </c>
      <c r="D392" s="2" t="s">
        <v>885</v>
      </c>
      <c r="E392" s="2" t="s">
        <v>106</v>
      </c>
      <c r="F392" s="15" t="n">
        <v>2.09</v>
      </c>
      <c r="G392" s="15" t="n">
        <v>0.06</v>
      </c>
      <c r="H392" s="15" t="n">
        <v>2.03</v>
      </c>
      <c r="I392" s="15" t="n">
        <v>0</v>
      </c>
      <c r="J392" s="15" t="n">
        <v>0</v>
      </c>
      <c r="K392" s="16" t="n">
        <f aca="false">IF(F392=0,"",G392/F392)</f>
        <v>0.0287081339712919</v>
      </c>
    </row>
    <row r="393" customFormat="false" ht="15" hidden="false" customHeight="false" outlineLevel="0" collapsed="false">
      <c r="A393" s="2" t="s">
        <v>887</v>
      </c>
      <c r="B393" s="2" t="s">
        <v>24</v>
      </c>
      <c r="C393" s="2" t="s">
        <v>248</v>
      </c>
      <c r="D393" s="2" t="s">
        <v>713</v>
      </c>
      <c r="E393" s="2" t="s">
        <v>592</v>
      </c>
      <c r="F393" s="15" t="n">
        <v>1.77</v>
      </c>
      <c r="G393" s="15" t="n">
        <v>0.79</v>
      </c>
      <c r="H393" s="15" t="n">
        <v>0.98</v>
      </c>
      <c r="I393" s="15" t="n">
        <v>0</v>
      </c>
      <c r="J393" s="15" t="n">
        <v>0</v>
      </c>
      <c r="K393" s="16" t="n">
        <f aca="false">IF(F393=0,"",G393/F393)</f>
        <v>0.446327683615819</v>
      </c>
    </row>
    <row r="394" customFormat="false" ht="15" hidden="false" customHeight="false" outlineLevel="0" collapsed="false">
      <c r="A394" s="2" t="s">
        <v>888</v>
      </c>
      <c r="B394" s="2" t="s">
        <v>24</v>
      </c>
      <c r="C394" s="2" t="s">
        <v>248</v>
      </c>
      <c r="D394" s="2" t="s">
        <v>873</v>
      </c>
      <c r="E394" s="2" t="s">
        <v>213</v>
      </c>
      <c r="F394" s="15" t="n">
        <v>6.88</v>
      </c>
      <c r="G394" s="15" t="n">
        <v>0.1</v>
      </c>
      <c r="H394" s="15" t="n">
        <v>6.78</v>
      </c>
      <c r="I394" s="15" t="n">
        <v>0</v>
      </c>
      <c r="J394" s="15" t="n">
        <v>0</v>
      </c>
      <c r="K394" s="16" t="n">
        <f aca="false">IF(F394=0,"",G394/F394)</f>
        <v>0.0145348837209302</v>
      </c>
    </row>
    <row r="395" customFormat="false" ht="15" hidden="false" customHeight="false" outlineLevel="0" collapsed="false">
      <c r="A395" s="2" t="s">
        <v>889</v>
      </c>
      <c r="B395" s="2" t="s">
        <v>24</v>
      </c>
      <c r="C395" s="2" t="s">
        <v>229</v>
      </c>
      <c r="D395" s="2" t="s">
        <v>768</v>
      </c>
      <c r="E395" s="2" t="s">
        <v>112</v>
      </c>
      <c r="F395" s="15" t="n">
        <v>27.72</v>
      </c>
      <c r="G395" s="15" t="n">
        <v>27.72</v>
      </c>
      <c r="H395" s="15" t="n">
        <v>0</v>
      </c>
      <c r="I395" s="15" t="n">
        <v>0</v>
      </c>
      <c r="J395" s="15" t="n">
        <v>0</v>
      </c>
      <c r="K395" s="16" t="n">
        <f aca="false">IF(F395=0,"",G395/F395)</f>
        <v>1</v>
      </c>
    </row>
    <row r="396" customFormat="false" ht="15" hidden="false" customHeight="false" outlineLevel="0" collapsed="false">
      <c r="A396" s="2" t="s">
        <v>890</v>
      </c>
      <c r="B396" s="2" t="s">
        <v>24</v>
      </c>
      <c r="C396" s="2" t="s">
        <v>233</v>
      </c>
      <c r="D396" s="2" t="s">
        <v>847</v>
      </c>
      <c r="E396" s="2" t="s">
        <v>593</v>
      </c>
      <c r="F396" s="15" t="n">
        <v>0.99</v>
      </c>
      <c r="G396" s="15" t="n">
        <v>0.04</v>
      </c>
      <c r="H396" s="15" t="n">
        <v>0.94</v>
      </c>
      <c r="I396" s="15" t="n">
        <v>0</v>
      </c>
      <c r="J396" s="15" t="n">
        <v>0</v>
      </c>
      <c r="K396" s="16" t="n">
        <f aca="false">IF(F396=0,"",G396/F396)</f>
        <v>0.0404040404040404</v>
      </c>
    </row>
    <row r="397" customFormat="false" ht="15" hidden="false" customHeight="false" outlineLevel="0" collapsed="false">
      <c r="A397" s="2" t="s">
        <v>891</v>
      </c>
      <c r="B397" s="2" t="s">
        <v>24</v>
      </c>
      <c r="C397" s="2" t="s">
        <v>233</v>
      </c>
      <c r="D397" s="2" t="s">
        <v>593</v>
      </c>
      <c r="E397" s="2" t="s">
        <v>774</v>
      </c>
      <c r="F397" s="15" t="n">
        <v>2.96</v>
      </c>
      <c r="G397" s="15" t="n">
        <v>0</v>
      </c>
      <c r="H397" s="15" t="n">
        <v>1.3</v>
      </c>
      <c r="I397" s="15" t="n">
        <v>0</v>
      </c>
      <c r="J397" s="15" t="n">
        <v>0.21</v>
      </c>
      <c r="K397" s="16" t="n">
        <f aca="false">IF(F397=0,"",G397/F397)</f>
        <v>0</v>
      </c>
    </row>
    <row r="398" customFormat="false" ht="15" hidden="false" customHeight="false" outlineLevel="0" collapsed="false">
      <c r="A398" s="2" t="s">
        <v>892</v>
      </c>
      <c r="B398" s="2" t="s">
        <v>24</v>
      </c>
      <c r="C398" s="2" t="s">
        <v>252</v>
      </c>
      <c r="D398" s="2" t="s">
        <v>549</v>
      </c>
      <c r="E398" s="2" t="s">
        <v>893</v>
      </c>
      <c r="F398" s="15" t="n">
        <v>23.42</v>
      </c>
      <c r="G398" s="15" t="n">
        <v>0</v>
      </c>
      <c r="H398" s="15" t="n">
        <v>23.42</v>
      </c>
      <c r="I398" s="15" t="n">
        <v>0</v>
      </c>
      <c r="J398" s="15" t="n">
        <v>0</v>
      </c>
      <c r="K398" s="16" t="n">
        <f aca="false">IF(F398=0,"",G398/F398)</f>
        <v>0</v>
      </c>
    </row>
    <row r="399" customFormat="false" ht="15" hidden="false" customHeight="false" outlineLevel="0" collapsed="false">
      <c r="A399" s="2" t="s">
        <v>894</v>
      </c>
      <c r="B399" s="2" t="s">
        <v>24</v>
      </c>
      <c r="C399" s="2" t="s">
        <v>229</v>
      </c>
      <c r="D399" s="2" t="s">
        <v>774</v>
      </c>
      <c r="E399" s="2" t="s">
        <v>774</v>
      </c>
      <c r="F399" s="15" t="n">
        <v>0.11</v>
      </c>
      <c r="G399" s="15" t="n">
        <v>0.11</v>
      </c>
      <c r="H399" s="15" t="n">
        <v>0</v>
      </c>
      <c r="I399" s="15" t="n">
        <v>0</v>
      </c>
      <c r="J399" s="15" t="n">
        <v>0</v>
      </c>
      <c r="K399" s="16" t="n">
        <f aca="false">IF(F399=0,"",G399/F399)</f>
        <v>1</v>
      </c>
    </row>
    <row r="400" customFormat="false" ht="15" hidden="false" customHeight="false" outlineLevel="0" collapsed="false">
      <c r="A400" s="2" t="s">
        <v>895</v>
      </c>
      <c r="B400" s="2" t="s">
        <v>24</v>
      </c>
      <c r="C400" s="2" t="s">
        <v>252</v>
      </c>
      <c r="D400" s="2" t="s">
        <v>213</v>
      </c>
      <c r="E400" s="2" t="s">
        <v>213</v>
      </c>
      <c r="F400" s="15" t="n">
        <v>0.4</v>
      </c>
      <c r="G400" s="15" t="n">
        <v>0.4</v>
      </c>
      <c r="H400" s="15" t="n">
        <v>0</v>
      </c>
      <c r="I400" s="15" t="n">
        <v>0</v>
      </c>
      <c r="J400" s="15" t="n">
        <v>0</v>
      </c>
      <c r="K400" s="16" t="n">
        <f aca="false">IF(F400=0,"",G400/F400)</f>
        <v>1</v>
      </c>
    </row>
    <row r="401" customFormat="false" ht="15" hidden="false" customHeight="false" outlineLevel="0" collapsed="false">
      <c r="A401" s="2" t="s">
        <v>896</v>
      </c>
      <c r="B401" s="2" t="s">
        <v>22</v>
      </c>
      <c r="C401" s="2" t="s">
        <v>229</v>
      </c>
      <c r="D401" s="2" t="s">
        <v>793</v>
      </c>
      <c r="E401" s="2" t="s">
        <v>112</v>
      </c>
      <c r="F401" s="15" t="n">
        <v>18.08</v>
      </c>
      <c r="G401" s="15" t="n">
        <v>5.92</v>
      </c>
      <c r="H401" s="15" t="n">
        <v>12.16</v>
      </c>
      <c r="I401" s="15" t="n">
        <v>0</v>
      </c>
      <c r="J401" s="15" t="n">
        <v>0</v>
      </c>
      <c r="K401" s="16" t="n">
        <f aca="false">IF(F401=0,"",G401/F401)</f>
        <v>0.327433628318584</v>
      </c>
    </row>
    <row r="402" customFormat="false" ht="15" hidden="false" customHeight="false" outlineLevel="0" collapsed="false">
      <c r="A402" s="2" t="s">
        <v>897</v>
      </c>
      <c r="B402" s="2" t="s">
        <v>22</v>
      </c>
      <c r="C402" s="2" t="s">
        <v>229</v>
      </c>
      <c r="D402" s="2" t="s">
        <v>841</v>
      </c>
      <c r="E402" s="2" t="s">
        <v>112</v>
      </c>
      <c r="F402" s="15" t="n">
        <v>12.06</v>
      </c>
      <c r="G402" s="15" t="n">
        <v>6.91</v>
      </c>
      <c r="H402" s="15" t="n">
        <v>5.14</v>
      </c>
      <c r="I402" s="15" t="n">
        <v>0</v>
      </c>
      <c r="J402" s="15" t="n">
        <v>0</v>
      </c>
      <c r="K402" s="16" t="n">
        <f aca="false">IF(F402=0,"",G402/F402)</f>
        <v>0.572968490878939</v>
      </c>
    </row>
    <row r="403" customFormat="false" ht="15" hidden="false" customHeight="false" outlineLevel="0" collapsed="false">
      <c r="A403" s="2" t="s">
        <v>898</v>
      </c>
      <c r="B403" s="2" t="s">
        <v>24</v>
      </c>
      <c r="C403" s="2" t="s">
        <v>248</v>
      </c>
      <c r="D403" s="2" t="s">
        <v>768</v>
      </c>
      <c r="E403" s="2" t="s">
        <v>841</v>
      </c>
      <c r="F403" s="15" t="n">
        <v>15.69</v>
      </c>
      <c r="G403" s="15" t="n">
        <v>0</v>
      </c>
      <c r="H403" s="15" t="n">
        <v>15.69</v>
      </c>
      <c r="I403" s="15" t="n">
        <v>0</v>
      </c>
      <c r="J403" s="15" t="n">
        <v>0</v>
      </c>
      <c r="K403" s="16" t="n">
        <f aca="false">IF(F403=0,"",G403/F403)</f>
        <v>0</v>
      </c>
    </row>
    <row r="404" customFormat="false" ht="15" hidden="false" customHeight="false" outlineLevel="0" collapsed="false">
      <c r="A404" s="2" t="s">
        <v>899</v>
      </c>
      <c r="B404" s="2" t="s">
        <v>24</v>
      </c>
      <c r="C404" s="2" t="s">
        <v>229</v>
      </c>
      <c r="D404" s="2" t="s">
        <v>876</v>
      </c>
      <c r="E404" s="2" t="s">
        <v>215</v>
      </c>
      <c r="F404" s="15" t="n">
        <v>6.97</v>
      </c>
      <c r="G404" s="15" t="n">
        <v>6.97</v>
      </c>
      <c r="H404" s="15" t="n">
        <v>0</v>
      </c>
      <c r="I404" s="15" t="n">
        <v>0</v>
      </c>
      <c r="J404" s="15" t="n">
        <v>0</v>
      </c>
      <c r="K404" s="16" t="n">
        <f aca="false">IF(F404=0,"",G404/F404)</f>
        <v>1</v>
      </c>
    </row>
    <row r="405" customFormat="false" ht="15" hidden="false" customHeight="false" outlineLevel="0" collapsed="false">
      <c r="A405" s="2" t="s">
        <v>900</v>
      </c>
      <c r="B405" s="2" t="s">
        <v>22</v>
      </c>
      <c r="C405" s="2" t="s">
        <v>233</v>
      </c>
      <c r="D405" s="2" t="s">
        <v>109</v>
      </c>
      <c r="E405" s="2" t="s">
        <v>835</v>
      </c>
      <c r="F405" s="15" t="n">
        <v>3.01</v>
      </c>
      <c r="G405" s="15" t="n">
        <v>1.87</v>
      </c>
      <c r="H405" s="15" t="n">
        <v>1.14</v>
      </c>
      <c r="I405" s="15" t="n">
        <v>0</v>
      </c>
      <c r="J405" s="15" t="n">
        <v>0</v>
      </c>
      <c r="K405" s="16" t="n">
        <f aca="false">IF(F405=0,"",G405/F405)</f>
        <v>0.621262458471761</v>
      </c>
    </row>
    <row r="406" customFormat="false" ht="15" hidden="false" customHeight="false" outlineLevel="0" collapsed="false">
      <c r="A406" s="2" t="s">
        <v>901</v>
      </c>
      <c r="B406" s="2" t="s">
        <v>22</v>
      </c>
      <c r="C406" s="2" t="s">
        <v>233</v>
      </c>
      <c r="D406" s="2" t="s">
        <v>109</v>
      </c>
      <c r="E406" s="2" t="s">
        <v>893</v>
      </c>
      <c r="F406" s="15" t="n">
        <v>10.86</v>
      </c>
      <c r="G406" s="15" t="n">
        <v>7.87</v>
      </c>
      <c r="H406" s="15" t="n">
        <v>3</v>
      </c>
      <c r="I406" s="15" t="n">
        <v>0</v>
      </c>
      <c r="J406" s="15" t="n">
        <v>0</v>
      </c>
      <c r="K406" s="16" t="n">
        <f aca="false">IF(F406=0,"",G406/F406)</f>
        <v>0.724677716390424</v>
      </c>
    </row>
    <row r="407" customFormat="false" ht="15" hidden="false" customHeight="false" outlineLevel="0" collapsed="false">
      <c r="A407" s="2" t="s">
        <v>902</v>
      </c>
      <c r="B407" s="2" t="s">
        <v>24</v>
      </c>
      <c r="C407" s="2" t="s">
        <v>252</v>
      </c>
      <c r="D407" s="2" t="s">
        <v>215</v>
      </c>
      <c r="E407" s="2" t="s">
        <v>903</v>
      </c>
      <c r="F407" s="15" t="n">
        <v>16.89</v>
      </c>
      <c r="G407" s="15" t="n">
        <v>11.32</v>
      </c>
      <c r="H407" s="15" t="n">
        <v>0</v>
      </c>
      <c r="I407" s="15" t="n">
        <v>0</v>
      </c>
      <c r="J407" s="15" t="n">
        <v>5.56</v>
      </c>
      <c r="K407" s="16" t="n">
        <f aca="false">IF(F407=0,"",G407/F407)</f>
        <v>0.670219064535228</v>
      </c>
    </row>
    <row r="408" customFormat="false" ht="15" hidden="false" customHeight="false" outlineLevel="0" collapsed="false">
      <c r="A408" s="2" t="s">
        <v>904</v>
      </c>
      <c r="B408" s="2" t="s">
        <v>22</v>
      </c>
      <c r="C408" s="2" t="s">
        <v>229</v>
      </c>
      <c r="D408" s="2" t="s">
        <v>550</v>
      </c>
      <c r="E408" s="2" t="s">
        <v>793</v>
      </c>
      <c r="F408" s="15" t="n">
        <v>0.99</v>
      </c>
      <c r="G408" s="15" t="n">
        <v>0.06</v>
      </c>
      <c r="H408" s="15" t="n">
        <v>0.93</v>
      </c>
      <c r="I408" s="15" t="n">
        <v>0</v>
      </c>
      <c r="J408" s="15" t="n">
        <v>0</v>
      </c>
      <c r="K408" s="16" t="n">
        <f aca="false">IF(F408=0,"",G408/F408)</f>
        <v>0.0606060606060606</v>
      </c>
    </row>
    <row r="409" customFormat="false" ht="15" hidden="false" customHeight="false" outlineLevel="0" collapsed="false">
      <c r="A409" s="2" t="s">
        <v>905</v>
      </c>
      <c r="B409" s="2" t="s">
        <v>22</v>
      </c>
      <c r="C409" s="2" t="s">
        <v>229</v>
      </c>
      <c r="D409" s="2" t="s">
        <v>793</v>
      </c>
      <c r="E409" s="2" t="s">
        <v>835</v>
      </c>
      <c r="F409" s="15" t="n">
        <v>6.74</v>
      </c>
      <c r="G409" s="15" t="n">
        <v>4.64</v>
      </c>
      <c r="H409" s="15" t="n">
        <v>0.36</v>
      </c>
      <c r="I409" s="15" t="n">
        <v>0</v>
      </c>
      <c r="J409" s="15" t="n">
        <v>0.04</v>
      </c>
      <c r="K409" s="16" t="n">
        <f aca="false">IF(F409=0,"",G409/F409)</f>
        <v>0.688427299703264</v>
      </c>
    </row>
    <row r="410" customFormat="false" ht="15" hidden="false" customHeight="false" outlineLevel="0" collapsed="false">
      <c r="A410" s="2" t="s">
        <v>906</v>
      </c>
      <c r="B410" s="2" t="s">
        <v>22</v>
      </c>
      <c r="C410" s="2" t="s">
        <v>229</v>
      </c>
      <c r="D410" s="2" t="s">
        <v>793</v>
      </c>
      <c r="E410" s="2" t="s">
        <v>215</v>
      </c>
      <c r="F410" s="15" t="n">
        <v>0.75</v>
      </c>
      <c r="G410" s="15" t="n">
        <v>0.57</v>
      </c>
      <c r="H410" s="15" t="n">
        <v>0.18</v>
      </c>
      <c r="I410" s="15" t="n">
        <v>0</v>
      </c>
      <c r="J410" s="15" t="n">
        <v>0</v>
      </c>
      <c r="K410" s="16" t="n">
        <f aca="false">IF(F410=0,"",G410/F410)</f>
        <v>0.76</v>
      </c>
    </row>
    <row r="411" customFormat="false" ht="15" hidden="false" customHeight="false" outlineLevel="0" collapsed="false">
      <c r="A411" s="2" t="s">
        <v>907</v>
      </c>
      <c r="B411" s="2" t="s">
        <v>22</v>
      </c>
      <c r="C411" s="2" t="s">
        <v>233</v>
      </c>
      <c r="D411" s="2" t="s">
        <v>215</v>
      </c>
      <c r="E411" s="2" t="s">
        <v>835</v>
      </c>
      <c r="F411" s="15" t="n">
        <v>6.77</v>
      </c>
      <c r="G411" s="15" t="n">
        <v>2.95</v>
      </c>
      <c r="H411" s="15" t="n">
        <v>3.83</v>
      </c>
      <c r="I411" s="15" t="n">
        <v>0</v>
      </c>
      <c r="J411" s="15" t="n">
        <v>0</v>
      </c>
      <c r="K411" s="16" t="n">
        <f aca="false">IF(F411=0,"",G411/F411)</f>
        <v>0.435745937961595</v>
      </c>
    </row>
    <row r="412" customFormat="false" ht="15" hidden="false" customHeight="false" outlineLevel="0" collapsed="false">
      <c r="A412" s="2" t="s">
        <v>908</v>
      </c>
      <c r="B412" s="2" t="s">
        <v>24</v>
      </c>
      <c r="C412" s="2" t="s">
        <v>233</v>
      </c>
      <c r="D412" s="2" t="s">
        <v>111</v>
      </c>
      <c r="E412" s="2" t="s">
        <v>909</v>
      </c>
      <c r="F412" s="15" t="n">
        <v>3.1</v>
      </c>
      <c r="G412" s="15" t="n">
        <v>1.02</v>
      </c>
      <c r="H412" s="15" t="n">
        <v>1.09</v>
      </c>
      <c r="I412" s="15" t="n">
        <v>0</v>
      </c>
      <c r="J412" s="15" t="n">
        <v>0.06</v>
      </c>
      <c r="K412" s="16" t="n">
        <f aca="false">IF(F412=0,"",G412/F412)</f>
        <v>0.329032258064516</v>
      </c>
    </row>
    <row r="413" customFormat="false" ht="15" hidden="false" customHeight="false" outlineLevel="0" collapsed="false">
      <c r="A413" s="2" t="s">
        <v>910</v>
      </c>
      <c r="B413" s="2" t="s">
        <v>24</v>
      </c>
      <c r="C413" s="2" t="s">
        <v>229</v>
      </c>
      <c r="D413" s="2" t="s">
        <v>326</v>
      </c>
      <c r="E413" s="2" t="s">
        <v>112</v>
      </c>
      <c r="F413" s="15" t="n">
        <v>5.06</v>
      </c>
      <c r="G413" s="15" t="n">
        <v>5.06</v>
      </c>
      <c r="H413" s="15" t="n">
        <v>0</v>
      </c>
      <c r="I413" s="15" t="n">
        <v>0</v>
      </c>
      <c r="J413" s="15" t="n">
        <v>0</v>
      </c>
      <c r="K413" s="16" t="n">
        <f aca="false">IF(F413=0,"",G413/F413)</f>
        <v>1</v>
      </c>
    </row>
    <row r="414" customFormat="false" ht="15" hidden="false" customHeight="false" outlineLevel="0" collapsed="false">
      <c r="A414" s="2" t="s">
        <v>911</v>
      </c>
      <c r="B414" s="2" t="s">
        <v>24</v>
      </c>
      <c r="C414" s="2" t="s">
        <v>229</v>
      </c>
      <c r="D414" s="2" t="s">
        <v>217</v>
      </c>
      <c r="E414" s="2" t="s">
        <v>217</v>
      </c>
      <c r="F414" s="15" t="n">
        <v>0.16</v>
      </c>
      <c r="G414" s="15" t="n">
        <v>0.03</v>
      </c>
      <c r="H414" s="15" t="n">
        <v>0.13</v>
      </c>
      <c r="I414" s="15" t="n">
        <v>0</v>
      </c>
      <c r="J414" s="15" t="n">
        <v>0</v>
      </c>
      <c r="K414" s="16" t="n">
        <f aca="false">IF(F414=0,"",G414/F414)</f>
        <v>0.1875</v>
      </c>
    </row>
    <row r="415" customFormat="false" ht="15" hidden="false" customHeight="false" outlineLevel="0" collapsed="false">
      <c r="A415" s="2" t="s">
        <v>912</v>
      </c>
      <c r="B415" s="2" t="s">
        <v>24</v>
      </c>
      <c r="C415" s="2" t="s">
        <v>233</v>
      </c>
      <c r="D415" s="2" t="s">
        <v>913</v>
      </c>
      <c r="E415" s="2" t="s">
        <v>112</v>
      </c>
      <c r="F415" s="15" t="n">
        <v>5.48</v>
      </c>
      <c r="G415" s="15" t="n">
        <v>1.11</v>
      </c>
      <c r="H415" s="15" t="n">
        <v>4.37</v>
      </c>
      <c r="I415" s="15" t="n">
        <v>0</v>
      </c>
      <c r="J415" s="15" t="n">
        <v>0</v>
      </c>
      <c r="K415" s="16" t="n">
        <f aca="false">IF(F415=0,"",G415/F415)</f>
        <v>0.202554744525547</v>
      </c>
    </row>
    <row r="417" customFormat="false" ht="15" hidden="false" customHeight="false" outlineLevel="0" collapsed="false">
      <c r="E417" s="3" t="s">
        <v>914</v>
      </c>
      <c r="F417" s="17" t="n">
        <f aca="false">MEDIAN(F2:F415)</f>
        <v>4.145</v>
      </c>
    </row>
    <row r="418" customFormat="false" ht="15" hidden="false" customHeight="false" outlineLevel="0" collapsed="false">
      <c r="E418" s="3" t="s">
        <v>915</v>
      </c>
      <c r="F418" s="17" t="n">
        <f aca="false">PERCENTILE(F2:F415,0.85)</f>
        <v>18.1985</v>
      </c>
    </row>
    <row r="419" customFormat="false" ht="15" hidden="false" customHeight="false" outlineLevel="0" collapsed="false">
      <c r="E419" s="3" t="s">
        <v>916</v>
      </c>
      <c r="F419" s="8" t="n">
        <f aca="false">SUM(H2:H415)/SUM(F2:F415)</f>
        <v>0.232427816526322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5" t="s">
        <v>917</v>
      </c>
    </row>
    <row r="2" customFormat="false" ht="15" hidden="false" customHeight="false" outlineLevel="0" collapsed="false">
      <c r="A2" s="4" t="s">
        <v>918</v>
      </c>
    </row>
    <row r="4" customFormat="false" ht="15" hidden="false" customHeight="false" outlineLevel="0" collapsed="false">
      <c r="A4" s="2" t="s">
        <v>919</v>
      </c>
      <c r="B4" s="15" t="n">
        <v>6</v>
      </c>
    </row>
    <row r="5" customFormat="false" ht="15" hidden="false" customHeight="false" outlineLevel="0" collapsed="false">
      <c r="A5" s="2" t="s">
        <v>920</v>
      </c>
      <c r="B5" s="15" t="n">
        <v>10</v>
      </c>
    </row>
    <row r="6" customFormat="false" ht="15" hidden="false" customHeight="false" outlineLevel="0" collapsed="false">
      <c r="A6" s="2" t="s">
        <v>921</v>
      </c>
      <c r="B6" s="15" t="n">
        <v>4</v>
      </c>
    </row>
    <row r="7" customFormat="false" ht="15" hidden="false" customHeight="false" outlineLevel="0" collapsed="false">
      <c r="A7" s="2" t="s">
        <v>922</v>
      </c>
      <c r="B7" s="15" t="n">
        <v>6</v>
      </c>
    </row>
    <row r="8" customFormat="false" ht="15" hidden="false" customHeight="false" outlineLevel="0" collapsed="false">
      <c r="A8" s="2" t="s">
        <v>923</v>
      </c>
      <c r="B8" s="18" t="n">
        <v>0.7</v>
      </c>
    </row>
    <row r="9" customFormat="false" ht="15" hidden="false" customHeight="false" outlineLevel="0" collapsed="false">
      <c r="A9" s="2" t="s">
        <v>924</v>
      </c>
      <c r="B9" s="18" t="n">
        <v>0.8</v>
      </c>
    </row>
    <row r="10" customFormat="false" ht="15" hidden="false" customHeight="false" outlineLevel="0" collapsed="false">
      <c r="A10" s="2" t="s">
        <v>925</v>
      </c>
      <c r="B10" s="18" t="n">
        <v>0.2</v>
      </c>
    </row>
    <row r="11" customFormat="false" ht="15" hidden="false" customHeight="false" outlineLevel="0" collapsed="false">
      <c r="A11" s="3" t="s">
        <v>926</v>
      </c>
      <c r="B11" s="19" t="n">
        <f aca="false">B4*B5</f>
        <v>60</v>
      </c>
    </row>
    <row r="12" customFormat="false" ht="15" hidden="false" customHeight="false" outlineLevel="0" collapsed="false">
      <c r="A12" s="3" t="s">
        <v>927</v>
      </c>
      <c r="B12" s="19" t="n">
        <f aca="false">B11-B6-B7</f>
        <v>50</v>
      </c>
    </row>
    <row r="13" customFormat="false" ht="15" hidden="false" customHeight="false" outlineLevel="0" collapsed="false">
      <c r="A13" s="3" t="s">
        <v>928</v>
      </c>
      <c r="B13" s="19" t="n">
        <f aca="false">B12*B8</f>
        <v>35</v>
      </c>
    </row>
    <row r="14" customFormat="false" ht="15" hidden="false" customHeight="false" outlineLevel="0" collapsed="false">
      <c r="A14" s="3" t="s">
        <v>929</v>
      </c>
      <c r="B14" s="19" t="n">
        <f aca="false">B13*B10</f>
        <v>7</v>
      </c>
    </row>
    <row r="15" customFormat="false" ht="15" hidden="false" customHeight="false" outlineLevel="0" collapsed="false">
      <c r="A15" s="3" t="s">
        <v>930</v>
      </c>
      <c r="B15" s="20" t="n">
        <f aca="false">(B13-B14)*B9</f>
        <v>22.4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2026-10-14T18:19:47Z</dcterms:created>
  <dc:creator>openpyxl</dc:creator>
  <dc:description/>
  <dc:language>en-US</dc:language>
  <cp:lastModifiedBy/>
  <dcterms:modified xsi:type="dcterms:W3CDTF">2026-10-14T18:19:47Z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