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urney" sheetId="1" state="visible" r:id="rId1"/>
    <sheet xmlns:r="http://schemas.openxmlformats.org/officeDocument/2006/relationships" name="Fears data" sheetId="2" state="visible" r:id="rId2"/>
    <sheet xmlns:r="http://schemas.openxmlformats.org/officeDocument/2006/relationships" name="Themes" sheetId="3" state="visible" r:id="rId3"/>
    <sheet xmlns:r="http://schemas.openxmlformats.org/officeDocument/2006/relationships" name="Steps" sheetId="4" state="visible" r:id="rId4"/>
    <sheet xmlns:r="http://schemas.openxmlformats.org/officeDocument/2006/relationships" name="2023 results" sheetId="5" state="visible" r:id="rId5"/>
    <sheet xmlns:r="http://schemas.openxmlformats.org/officeDocument/2006/relationships" name="Fixes" sheetId="6" state="visible" r:id="rId6"/>
    <sheet xmlns:r="http://schemas.openxmlformats.org/officeDocument/2006/relationships" name="Videos" sheetId="7" state="visible" r:id="rId7"/>
    <sheet xmlns:r="http://schemas.openxmlformats.org/officeDocument/2006/relationships" name="Sources" sheetId="8" state="visible" r:id="rId8"/>
  </sheets>
  <definedNames>
    <definedName name="_xlnm._FilterDatabase" localSheetId="5" hidden="1">'Fixes'!$A$4:$H$19</definedName>
  </definedNames>
  <calcPr calcId="124519" fullCalcOnLoad="1"/>
</workbook>
</file>

<file path=xl/styles.xml><?xml version="1.0" encoding="utf-8"?>
<styleSheet xmlns="http://schemas.openxmlformats.org/spreadsheetml/2006/main">
  <numFmts count="2">
    <numFmt numFmtId="164" formatCode="0.0%"/>
    <numFmt numFmtId="165" formatCode="+0.0;-0.0;0.0"/>
  </numFmts>
  <fonts count="24">
    <font>
      <name val="Calibri"/>
      <family val="2"/>
      <color theme="1"/>
      <sz val="11"/>
      <scheme val="minor"/>
    </font>
    <font>
      <name val="Arial"/>
      <b val="1"/>
      <color rgb="001E2A47"/>
      <sz val="18"/>
    </font>
    <font>
      <name val="Arial"/>
      <color rgb="005B6478"/>
      <sz val="10"/>
    </font>
    <font>
      <name val="Arial"/>
      <b val="1"/>
      <color rgb="00FFFFFF"/>
      <sz val="10"/>
    </font>
    <font>
      <name val="Arial"/>
      <sz val="9"/>
    </font>
    <font>
      <name val="Arial"/>
      <color rgb="005B6478"/>
      <sz val="9"/>
    </font>
    <font>
      <name val="Arial"/>
      <b val="1"/>
      <color rgb="001B1F2A"/>
      <sz val="10"/>
    </font>
    <font>
      <name val="Arial"/>
      <color rgb="001B1F2A"/>
      <sz val="10"/>
    </font>
    <font>
      <name val="Arial"/>
      <color rgb="000000FF"/>
      <sz val="10"/>
    </font>
    <font>
      <name val="Arial"/>
      <i val="1"/>
      <color rgb="005B6478"/>
      <sz val="9"/>
    </font>
    <font>
      <name val="Arial"/>
      <b val="1"/>
      <color rgb="001E2A47"/>
      <sz val="22"/>
    </font>
    <font>
      <name val="Arial"/>
      <color rgb="005B6478"/>
      <sz val="11"/>
    </font>
    <font>
      <name val="Arial"/>
      <b val="1"/>
      <color rgb="001E2A47"/>
      <sz val="24"/>
    </font>
    <font>
      <name val="Arial"/>
      <b val="1"/>
      <color rgb="00B07A10"/>
      <sz val="24"/>
    </font>
    <font>
      <name val="Arial"/>
      <b val="1"/>
      <color rgb="00D7322B"/>
      <sz val="24"/>
    </font>
    <font>
      <name val="Arial"/>
      <b val="1"/>
      <color rgb="001E2A47"/>
      <sz val="14"/>
    </font>
    <font>
      <name val="Arial"/>
      <b val="1"/>
      <color rgb="001E2A47"/>
      <sz val="12"/>
    </font>
    <font>
      <name val="Arial"/>
      <b val="1"/>
      <color rgb="001B1F2A"/>
      <sz val="12"/>
    </font>
    <font>
      <name val="Arial"/>
      <b val="1"/>
      <color rgb="005B6478"/>
      <sz val="10"/>
    </font>
    <font>
      <name val="Arial"/>
      <sz val="10"/>
    </font>
    <font>
      <name val="Arial"/>
      <b val="1"/>
      <color rgb="00D7322B"/>
      <sz val="10"/>
    </font>
    <font>
      <name val="Arial"/>
      <b val="1"/>
      <color rgb="002F6B4F"/>
    </font>
    <font>
      <name val="Arial"/>
      <b val="1"/>
      <color rgb="002F6B4F"/>
      <sz val="14"/>
    </font>
    <font>
      <name val="Arial"/>
      <b val="1"/>
      <sz val="10"/>
    </font>
  </fonts>
  <fills count="4">
    <fill>
      <patternFill/>
    </fill>
    <fill>
      <patternFill patternType="gray125"/>
    </fill>
    <fill>
      <patternFill patternType="solid">
        <fgColor rgb="001E2A47"/>
      </patternFill>
    </fill>
    <fill>
      <patternFill patternType="solid">
        <fgColor rgb="00FFF6D8"/>
      </patternFill>
    </fill>
  </fills>
  <borders count="4">
    <border>
      <left/>
      <right/>
      <top/>
      <bottom/>
      <diagonal/>
    </border>
    <border>
      <bottom style="thin">
        <color rgb="00E2DCCB"/>
      </bottom>
    </border>
    <border>
      <left/>
      <right/>
      <top/>
      <bottom style="thin">
        <color rgb="00E2DCCB"/>
      </bottom>
      <diagonal/>
    </border>
    <border>
      <left style="thin">
        <color rgb="00E1B13B"/>
      </left>
      <right style="thin">
        <color rgb="00E1B13B"/>
      </right>
      <top style="thin">
        <color rgb="00E1B13B"/>
      </top>
      <bottom style="thin">
        <color rgb="00E1B13B"/>
      </bottom>
    </border>
  </borders>
  <cellStyleXfs count="1">
    <xf numFmtId="0" fontId="0" fillId="0" borderId="0"/>
  </cellStyleXfs>
  <cellXfs count="38">
    <xf numFmtId="0" fontId="0" fillId="0" borderId="0" pivotButton="0" quotePrefix="0" xfId="0"/>
    <xf numFmtId="0" fontId="10" fillId="0" borderId="0" pivotButton="0" quotePrefix="0" xfId="0"/>
    <xf numFmtId="0" fontId="11" fillId="0" borderId="0" pivotButton="0" quotePrefix="0" xfId="0"/>
    <xf numFmtId="0" fontId="5" fillId="0" borderId="0" pivotButton="0" quotePrefix="0" xfId="0"/>
    <xf numFmtId="3" fontId="12" fillId="0" borderId="0" pivotButton="0" quotePrefix="0" xfId="0"/>
    <xf numFmtId="9" fontId="13" fillId="0" borderId="0" pivotButton="0" quotePrefix="0" xfId="0"/>
    <xf numFmtId="164" fontId="14" fillId="0" borderId="0" pivotButton="0" quotePrefix="0" xfId="0"/>
    <xf numFmtId="0" fontId="15" fillId="0" borderId="0" pivotButton="0" quotePrefix="0" xfId="0"/>
    <xf numFmtId="0" fontId="3" fillId="2" borderId="0" applyAlignment="1" pivotButton="0" quotePrefix="0" xfId="0">
      <alignment vertical="center" wrapText="1"/>
    </xf>
    <xf numFmtId="0" fontId="6" fillId="0" borderId="1" applyAlignment="1" pivotButton="0" quotePrefix="0" xfId="0">
      <alignment horizontal="center" vertical="top"/>
    </xf>
    <xf numFmtId="0" fontId="6" fillId="0" borderId="1" applyAlignment="1" pivotButton="0" quotePrefix="0" xfId="0">
      <alignment vertical="top"/>
    </xf>
    <xf numFmtId="1" fontId="7" fillId="0" borderId="1" applyAlignment="1" pivotButton="0" quotePrefix="0" xfId="0">
      <alignment vertical="top"/>
    </xf>
    <xf numFmtId="9" fontId="6" fillId="0" borderId="1" applyAlignment="1" pivotButton="0" quotePrefix="0" xfId="0">
      <alignment vertical="top"/>
    </xf>
    <xf numFmtId="0" fontId="7" fillId="0" borderId="1" applyAlignment="1" pivotButton="0" quotePrefix="0" xfId="0">
      <alignment vertical="top" wrapText="1"/>
    </xf>
    <xf numFmtId="0" fontId="0" fillId="0" borderId="2" pivotButton="0" quotePrefix="0" xfId="0"/>
    <xf numFmtId="0" fontId="16" fillId="0" borderId="0" pivotButton="0" quotePrefix="0" xfId="0"/>
    <xf numFmtId="0" fontId="17" fillId="3" borderId="3" pivotButton="0" quotePrefix="0" xfId="0"/>
    <xf numFmtId="0" fontId="9" fillId="0" borderId="0" pivotButton="0" quotePrefix="0" xfId="0"/>
    <xf numFmtId="0" fontId="18" fillId="0" borderId="0" pivotButton="0" quotePrefix="0" xfId="0"/>
    <xf numFmtId="0" fontId="19" fillId="0" borderId="0" applyAlignment="1" pivotButton="0" quotePrefix="0" xfId="0">
      <alignment vertical="top" wrapText="1"/>
    </xf>
    <xf numFmtId="0" fontId="1" fillId="0" borderId="0" pivotButton="0" quotePrefix="0" xfId="0"/>
    <xf numFmtId="0" fontId="2" fillId="0" borderId="0" pivotButton="0" quotePrefix="0" xfId="0"/>
    <xf numFmtId="0" fontId="4" fillId="0" borderId="0" pivotButton="0" quotePrefix="0" xfId="0"/>
    <xf numFmtId="0" fontId="2" fillId="0" borderId="1" applyAlignment="1" pivotButton="0" quotePrefix="0" xfId="0">
      <alignment vertical="top"/>
    </xf>
    <xf numFmtId="3" fontId="7" fillId="0" borderId="1" applyAlignment="1" pivotButton="0" quotePrefix="0" xfId="0">
      <alignment vertical="top"/>
    </xf>
    <xf numFmtId="164" fontId="7" fillId="0" borderId="1" applyAlignment="1" pivotButton="0" quotePrefix="0" xfId="0">
      <alignment vertical="top"/>
    </xf>
    <xf numFmtId="164" fontId="8" fillId="0" borderId="1" applyAlignment="1" pivotButton="0" quotePrefix="0" xfId="0">
      <alignment vertical="top"/>
    </xf>
    <xf numFmtId="165" fontId="7" fillId="0" borderId="1" applyAlignment="1" pivotButton="0" quotePrefix="0" xfId="0">
      <alignment vertical="top"/>
    </xf>
    <xf numFmtId="0" fontId="2" fillId="0" borderId="1" applyAlignment="1" pivotButton="0" quotePrefix="0" xfId="0">
      <alignment horizontal="right" vertical="top"/>
    </xf>
    <xf numFmtId="3" fontId="8" fillId="0" borderId="1" applyAlignment="1" pivotButton="0" quotePrefix="0" xfId="0">
      <alignment vertical="top"/>
    </xf>
    <xf numFmtId="164" fontId="6" fillId="0" borderId="1" applyAlignment="1" pivotButton="0" quotePrefix="0" xfId="0">
      <alignment vertical="top"/>
    </xf>
    <xf numFmtId="3" fontId="6" fillId="0" borderId="1" applyAlignment="1" pivotButton="0" quotePrefix="0" xfId="0">
      <alignment vertical="top"/>
    </xf>
    <xf numFmtId="164" fontId="20" fillId="0" borderId="1" applyAlignment="1" pivotButton="0" quotePrefix="0" xfId="0">
      <alignment vertical="top"/>
    </xf>
    <xf numFmtId="0" fontId="6" fillId="0" borderId="1" applyAlignment="1" pivotButton="0" quotePrefix="0" xfId="0">
      <alignment vertical="top" wrapText="1"/>
    </xf>
    <xf numFmtId="0" fontId="21" fillId="0" borderId="0" pivotButton="0" quotePrefix="0" xfId="0"/>
    <xf numFmtId="0" fontId="22" fillId="0" borderId="0" pivotButton="0" quotePrefix="0" xfId="0"/>
    <xf numFmtId="0" fontId="7" fillId="0" borderId="1" applyAlignment="1" pivotButton="0" quotePrefix="0" xfId="0">
      <alignment vertical="top"/>
    </xf>
    <xf numFmtId="0" fontId="23" fillId="0" borderId="0" pivotButton="0" quotePrefix="0" xfId="0"/>
  </cellXfs>
  <cellStyles count="1">
    <cellStyle name="Normal" xfId="0" builtinId="0" hidden="0"/>
  </cellStyles>
  <dxfs count="2">
    <dxf>
      <font>
        <name val="Arial"/>
        <b val="1"/>
        <color rgb="00D7322B"/>
      </font>
    </dxf>
    <dxf>
      <fill>
        <patternFill patternType="solid">
          <fgColor rgb="00DCEFE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Fear by step</a:t>
            </a:r>
          </a:p>
        </rich>
      </tx>
    </title>
    <plotArea>
      <barChart>
        <barDir val="col"/>
        <grouping val="clustered"/>
        <ser>
          <idx val="0"/>
          <order val="0"/>
          <tx>
            <strRef>
              <f>'Journey'!E22</f>
            </strRef>
          </tx>
          <spPr>
            <a:solidFill xmlns:a="http://schemas.openxmlformats.org/drawingml/2006/main">
              <a:srgbClr val="E1B13B"/>
            </a:solidFill>
            <a:ln xmlns:a="http://schemas.openxmlformats.org/drawingml/2006/main">
              <a:noFill/>
              <a:prstDash val="solid"/>
            </a:ln>
          </spPr>
          <cat>
            <numRef>
              <f>'Journey'!$C$23:$C$29</f>
            </numRef>
          </cat>
          <val>
            <numRef>
              <f>'Journey'!$E$23:$E$29</f>
            </numRef>
          </val>
        </ser>
        <dLbls>
          <numFmt formatCode="0%"/>
          <showLegendKey val="0"/>
          <showVal val="1"/>
          <showCatName val="0"/>
          <showSerName val="0"/>
        </dLbls>
        <gapWidth val="50"/>
        <axId val="10"/>
        <axId val="100"/>
      </barChart>
      <catAx>
        <axId val="10"/>
        <scaling>
          <orientation val="minMax"/>
        </scaling>
        <axPos val="l"/>
        <majorTickMark val="none"/>
        <minorTickMark val="none"/>
        <crossAx val="100"/>
        <lblOffset val="100"/>
      </catAx>
      <valAx>
        <axId val="100"/>
        <scaling>
          <orientation val="minMax"/>
        </scaling>
        <axPos val="l"/>
        <numFmt formatCode="0%" sourceLinked="0"/>
        <majorTickMark val="none"/>
        <minorTickMark val="none"/>
        <crossAx val="10"/>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Share of fear comments by theme</a:t>
            </a:r>
          </a:p>
        </rich>
      </tx>
    </title>
    <plotArea>
      <barChart>
        <barDir val="bar"/>
        <grouping val="clustered"/>
        <ser>
          <idx val="0"/>
          <order val="0"/>
          <tx>
            <strRef>
              <f>'Themes'!D4</f>
            </strRef>
          </tx>
          <spPr>
            <a:solidFill xmlns:a="http://schemas.openxmlformats.org/drawingml/2006/main">
              <a:srgbClr val="E1B13B"/>
            </a:solidFill>
            <a:ln xmlns:a="http://schemas.openxmlformats.org/drawingml/2006/main">
              <a:noFill/>
              <a:prstDash val="solid"/>
            </a:ln>
          </spPr>
          <cat>
            <numRef>
              <f>'Themes'!$A$5:$A$19</f>
            </numRef>
          </cat>
          <val>
            <numRef>
              <f>'Themes'!$D$5:$D$19</f>
            </numRef>
          </val>
        </ser>
        <dLbls>
          <numFmt formatCode="0%"/>
          <showLegendKey val="0"/>
          <showVal val="1"/>
          <showCatName val="0"/>
          <showSerName val="0"/>
        </dLbls>
        <gapWidth val="40"/>
        <axId val="10"/>
        <axId val="100"/>
      </barChart>
      <catAx>
        <axId val="10"/>
        <scaling>
          <orientation val="maxMin"/>
        </scaling>
        <axPos val="l"/>
        <majorTickMark val="none"/>
        <minorTickMark val="none"/>
        <crossAx val="100"/>
        <lblOffset val="100"/>
      </catAx>
      <valAx>
        <axId val="100"/>
        <scaling>
          <orientation val="minMax"/>
        </scaling>
        <axPos val="l"/>
        <numFmt formatCode="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1.png" Id="rId2"/></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1</col>
      <colOff>0</colOff>
      <row>30</row>
      <rowOff>0</rowOff>
    </from>
    <ext cx="57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0</row>
      <rowOff>0</rowOff>
    </from>
    <ext cx="11239500" cy="22479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21</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rgb="00E1B13B"/>
    <outlinePr summaryBelow="1" summaryRight="1"/>
    <pageSetUpPr/>
  </sheetPr>
  <dimension ref="B14:J47"/>
  <sheetViews>
    <sheetView showGridLines="0" workbookViewId="0">
      <selection activeCell="A1" sqref="A1"/>
    </sheetView>
  </sheetViews>
  <sheetFormatPr baseColWidth="8" defaultRowHeight="15"/>
  <cols>
    <col width="3"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ht="15" customHeight="1"/>
    <row r="2" ht="15" customHeight="1"/>
    <row r="3" ht="15" customHeight="1"/>
    <row r="4" ht="15" customHeight="1"/>
    <row r="5" ht="15" customHeight="1"/>
    <row r="6" ht="15" customHeight="1"/>
    <row r="7" ht="15" customHeight="1"/>
    <row r="8" ht="15" customHeight="1"/>
    <row r="9" ht="15" customHeight="1"/>
    <row r="10" ht="15" customHeight="1"/>
    <row r="11" ht="15" customHeight="1"/>
    <row r="12" ht="15" customHeight="1"/>
    <row r="13" ht="15" customHeight="1"/>
    <row r="14">
      <c r="B14" s="1" t="inlineStr">
        <is>
          <t>Will My Vote Count?</t>
        </is>
      </c>
    </row>
    <row r="15">
      <c r="B15" s="2" t="inlineStr">
        <is>
          <t>Which steps in INEC's process cause the most public fear, and which fixes would rebuild trust before the 16 January 2027 vote?</t>
        </is>
      </c>
    </row>
    <row r="17">
      <c r="B17" s="3" t="inlineStr">
        <is>
          <t>Comments read</t>
        </is>
      </c>
      <c r="D17" s="3" t="inlineStr">
        <is>
          <t>Raised a specific concern</t>
        </is>
      </c>
      <c r="F17" s="3" t="inlineStr">
        <is>
          <t>About upload, collation or courts</t>
        </is>
      </c>
      <c r="H17" s="3" t="inlineStr">
        <is>
          <t>2023 units with no usable result</t>
        </is>
      </c>
    </row>
    <row r="18" ht="34" customHeight="1">
      <c r="B18" s="4">
        <f>SUM(Videos!E5:E109)</f>
        <v/>
      </c>
      <c r="D18" s="4">
        <f>COUNTA('Fears data'!$A$5:$A$1347)</f>
        <v/>
      </c>
      <c r="F18" s="5">
        <f>SUMPRODUCT(--((('Fears data'!$Y$5:$Y$1347)+('Fears data'!$Z$5:$Z$1347)+('Fears data'!$AA$5:$AA$1347))&gt;0))/D18</f>
        <v/>
      </c>
      <c r="H18" s="6">
        <f>'2023 results'!G43</f>
        <v/>
      </c>
    </row>
    <row r="20">
      <c r="B20" s="7" t="inlineStr">
        <is>
          <t>The journey of one vote</t>
        </is>
      </c>
    </row>
    <row r="21">
      <c r="B21" s="3" t="inlineStr">
        <is>
          <t>Share of fear comments touching each step. A comment can touch several steps.</t>
        </is>
      </c>
    </row>
    <row r="22" ht="30" customHeight="1">
      <c r="B22" s="8" t="inlineStr">
        <is>
          <t>Step</t>
        </is>
      </c>
      <c r="C22" s="8" t="inlineStr">
        <is>
          <t>What it is</t>
        </is>
      </c>
      <c r="D22" s="8" t="inlineStr">
        <is>
          <t>Fear comments</t>
        </is>
      </c>
      <c r="E22" s="8" t="inlineStr">
        <is>
          <t>Share</t>
        </is>
      </c>
      <c r="F22" s="8" t="inlineStr">
        <is>
          <t>What fails</t>
        </is>
      </c>
    </row>
    <row r="23" ht="30" customHeight="1">
      <c r="B23" s="9" t="n">
        <v>1</v>
      </c>
      <c r="C23" s="10" t="inlineStr">
        <is>
          <t>Register</t>
        </is>
      </c>
      <c r="D23" s="11">
        <f>SUM('Fears data'!$U$5:$U$1347)</f>
        <v/>
      </c>
      <c r="E23" s="12">
        <f>D23/$D$18</f>
        <v/>
      </c>
      <c r="F23" s="13" t="inlineStr">
        <is>
          <t>Permanent voter cards (PVCs) go uncollected and the register is never audited</t>
        </is>
      </c>
      <c r="G23" s="14" t="n"/>
      <c r="H23" s="14" t="n"/>
      <c r="I23" s="14" t="n"/>
      <c r="J23" s="14" t="n"/>
    </row>
    <row r="24" ht="30" customHeight="1">
      <c r="B24" s="9" t="n">
        <v>2</v>
      </c>
      <c r="C24" s="10" t="inlineStr">
        <is>
          <t>Nominate</t>
        </is>
      </c>
      <c r="D24" s="11">
        <f>SUM('Fears data'!$V$5:$V$1347)</f>
        <v/>
      </c>
      <c r="E24" s="12">
        <f>D24/$D$18</f>
        <v/>
      </c>
      <c r="F24" s="13" t="inlineStr">
        <is>
          <t>Party crises and pre-election cases are settled by courts and INEC recognition</t>
        </is>
      </c>
      <c r="G24" s="14" t="n"/>
      <c r="H24" s="14" t="n"/>
      <c r="I24" s="14" t="n"/>
      <c r="J24" s="14" t="n"/>
    </row>
    <row r="25" ht="30" customHeight="1">
      <c r="B25" s="9" t="n">
        <v>3</v>
      </c>
      <c r="C25" s="10" t="inlineStr">
        <is>
          <t>Vote</t>
        </is>
      </c>
      <c r="D25" s="11">
        <f>SUM('Fears data'!$W$5:$W$1347)</f>
        <v/>
      </c>
      <c r="E25" s="12">
        <f>D25/$D$18</f>
        <v/>
      </c>
      <c r="F25" s="13" t="inlineStr">
        <is>
          <t>Units open late and votes are bought</t>
        </is>
      </c>
      <c r="G25" s="14" t="n"/>
      <c r="H25" s="14" t="n"/>
      <c r="I25" s="14" t="n"/>
      <c r="J25" s="14" t="n"/>
    </row>
    <row r="26" ht="30" customHeight="1">
      <c r="B26" s="9" t="n">
        <v>4</v>
      </c>
      <c r="C26" s="10" t="inlineStr">
        <is>
          <t>Stay safe</t>
        </is>
      </c>
      <c r="D26" s="11">
        <f>SUM('Fears data'!$X$5:$X$1347)</f>
        <v/>
      </c>
      <c r="E26" s="12">
        <f>D26/$D$18</f>
        <v/>
      </c>
      <c r="F26" s="13" t="inlineStr">
        <is>
          <t>Violence and thugs keep voters away</t>
        </is>
      </c>
      <c r="G26" s="14" t="n"/>
      <c r="H26" s="14" t="n"/>
      <c r="I26" s="14" t="n"/>
      <c r="J26" s="14" t="n"/>
    </row>
    <row r="27" ht="30" customHeight="1">
      <c r="B27" s="9" t="n">
        <v>5</v>
      </c>
      <c r="C27" s="10" t="inlineStr">
        <is>
          <t>Upload</t>
        </is>
      </c>
      <c r="D27" s="11">
        <f>SUM('Fears data'!$Y$5:$Y$1347)</f>
        <v/>
      </c>
      <c r="E27" s="12">
        <f>D27/$D$18</f>
        <v/>
      </c>
      <c r="F27" s="13" t="inlineStr">
        <is>
          <t>Polling unit result sheets reach IReV, INEC’s public results website, late, unreadable or not at all</t>
        </is>
      </c>
      <c r="G27" s="14" t="n"/>
      <c r="H27" s="14" t="n"/>
      <c r="I27" s="14" t="n"/>
      <c r="J27" s="14" t="n"/>
    </row>
    <row r="28" ht="30" customHeight="1">
      <c r="B28" s="9" t="n">
        <v>6</v>
      </c>
      <c r="C28" s="10" t="inlineStr">
        <is>
          <t>Collate</t>
        </is>
      </c>
      <c r="D28" s="11">
        <f>SUM('Fears data'!$Z$5:$Z$1347)</f>
        <v/>
      </c>
      <c r="E28" s="12">
        <f>D28/$D$18</f>
        <v/>
      </c>
      <c r="F28" s="13" t="inlineStr">
        <is>
          <t>Totals change while unit results are added up at ward, local government and state centres</t>
        </is>
      </c>
      <c r="G28" s="14" t="n"/>
      <c r="H28" s="14" t="n"/>
      <c r="I28" s="14" t="n"/>
      <c r="J28" s="14" t="n"/>
    </row>
    <row r="29" ht="30" customHeight="1">
      <c r="B29" s="9" t="n">
        <v>7</v>
      </c>
      <c r="C29" s="10" t="inlineStr">
        <is>
          <t>Go to court</t>
        </is>
      </c>
      <c r="D29" s="11">
        <f>SUM('Fears data'!$AA$5:$AA$1347)</f>
        <v/>
      </c>
      <c r="E29" s="12">
        <f>D29/$D$18</f>
        <v/>
      </c>
      <c r="F29" s="13" t="inlineStr">
        <is>
          <t>Courts settle outcomes, and a failed upload alone does not void a result</t>
        </is>
      </c>
      <c r="G29" s="14" t="n"/>
      <c r="H29" s="14" t="n"/>
      <c r="I29" s="14" t="n"/>
      <c r="J29" s="14" t="n"/>
    </row>
    <row r="31">
      <c r="G31" s="15" t="inlineStr">
        <is>
          <t>Pick a step</t>
        </is>
      </c>
    </row>
    <row r="32">
      <c r="G32" s="16" t="inlineStr">
        <is>
          <t>Collate</t>
        </is>
      </c>
      <c r="H32" s="17" t="inlineStr">
        <is>
          <t>&lt; change me</t>
        </is>
      </c>
    </row>
    <row r="34">
      <c r="G34" s="18" t="inlineStr">
        <is>
          <t>Evidence</t>
        </is>
      </c>
    </row>
    <row r="35">
      <c r="G35" s="19">
        <f>INDEX(Steps!E5:E11,MATCH(G32,Steps!C5:C11,0))</f>
        <v/>
      </c>
    </row>
    <row r="36"/>
    <row r="37"/>
    <row r="38"/>
    <row r="40">
      <c r="G40" s="18" t="inlineStr">
        <is>
          <t>Fixes for this step</t>
        </is>
      </c>
    </row>
    <row r="41" ht="42" customHeight="1">
      <c r="G41" s="19">
        <f t="array" ref="G41">IFERROR(INDEX(Fixes!$D$5:$D$19,SMALL(IF(Fixes!$C$5:$C$19=INDEX(Steps!$B$5:$B$11,MATCH($G$32,Steps!$C$5:$C$11,0)),ROW(Fixes!$C$5:$C$19)-4),1)),"")</f>
        <v/>
      </c>
    </row>
    <row r="42" ht="42" customHeight="1">
      <c r="G42" s="19">
        <f t="array" ref="G42">IFERROR(INDEX(Fixes!$D$5:$D$19,SMALL(IF(Fixes!$C$5:$C$19=INDEX(Steps!$B$5:$B$11,MATCH($G$32,Steps!$C$5:$C$11,0)),ROW(Fixes!$C$5:$C$19)-4),2)),"")</f>
        <v/>
      </c>
    </row>
    <row r="43" ht="42" customHeight="1">
      <c r="G43" s="19">
        <f t="array" ref="G43">IFERROR(INDEX(Fixes!$D$5:$D$19,SMALL(IF(Fixes!$C$5:$C$19=INDEX(Steps!$B$5:$B$11,MATCH($G$32,Steps!$C$5:$C$11,0)),ROW(Fixes!$C$5:$C$19)-4),3)),"")</f>
        <v/>
      </c>
    </row>
    <row r="47">
      <c r="B47" s="17" t="inlineStr">
        <is>
          <t>Read me: Amaka is an imaginary first-time voter in Enugu. Data: public YouTube comments (vidIQ), CCIJ audit of 2023 IReV result sheets, Yiaga Africa and Afrobarometer surveys. This is a reading of public fear, not a poll.</t>
        </is>
      </c>
    </row>
  </sheetData>
  <mergeCells count="12">
    <mergeCell ref="G35:J38"/>
    <mergeCell ref="F29:J29"/>
    <mergeCell ref="F24:J24"/>
    <mergeCell ref="F23:J23"/>
    <mergeCell ref="G43:J43"/>
    <mergeCell ref="F25:J25"/>
    <mergeCell ref="F28:J28"/>
    <mergeCell ref="F22:J22"/>
    <mergeCell ref="G41:J41"/>
    <mergeCell ref="F26:J26"/>
    <mergeCell ref="F27:J27"/>
    <mergeCell ref="G42:J42"/>
  </mergeCells>
  <conditionalFormatting sqref="E23:E29">
    <cfRule type="dataBar" priority="1">
      <dataBar>
        <cfvo type="num" val="0"/>
        <cfvo type="max"/>
        <color rgb="00E1B13B"/>
      </dataBar>
    </cfRule>
    <cfRule type="expression" priority="2" dxfId="0">
      <formula>E23=MAX($E$23:$E$29)</formula>
    </cfRule>
  </conditionalFormatting>
  <dataValidations count="1">
    <dataValidation sqref="G32" showDropDown="0" showInputMessage="0" showErrorMessage="0" allowBlank="0" type="list">
      <formula1>=$C$23:$C$29</formula1>
    </dataValidation>
  </dataValidation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1E2A47"/>
    <outlinePr summaryBelow="1" summaryRight="1"/>
    <pageSetUpPr/>
  </sheetPr>
  <dimension ref="A1:AA134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1" customWidth="1" min="2" max="2"/>
    <col width="22"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s>
  <sheetData>
    <row r="1">
      <c r="A1" s="20" t="inlineStr">
        <is>
          <t>Fear comments, tagged</t>
        </is>
      </c>
    </row>
    <row r="2">
      <c r="A2" s="21" t="inlineStr">
        <is>
          <t>One row per public YouTube comment that names a fear (April 2025 to October 2026). 1 = the comment names that theme. Text and author names are not stored.</t>
        </is>
      </c>
    </row>
    <row r="4" ht="30" customHeight="1">
      <c r="A4" s="8" t="inlineStr">
        <is>
          <t>id</t>
        </is>
      </c>
      <c r="B4" s="8" t="inlineStr">
        <is>
          <t>month</t>
        </is>
      </c>
      <c r="C4" s="8" t="inlineStr">
        <is>
          <t>channel</t>
        </is>
      </c>
      <c r="D4" s="8" t="inlineStr">
        <is>
          <t>video_id</t>
        </is>
      </c>
      <c r="E4" s="8" t="inlineStr">
        <is>
          <t>tone</t>
        </is>
      </c>
      <c r="F4" s="8" t="inlineStr">
        <is>
          <t>rigging</t>
        </is>
      </c>
      <c r="G4" s="8" t="inlineStr">
        <is>
          <t>upload</t>
        </is>
      </c>
      <c r="H4" s="8" t="inlineStr">
        <is>
          <t>violence</t>
        </is>
      </c>
      <c r="I4" s="8" t="inlineStr">
        <is>
          <t>thugs</t>
        </is>
      </c>
      <c r="J4" s="8" t="inlineStr">
        <is>
          <t>vote_buying</t>
        </is>
      </c>
      <c r="K4" s="8" t="inlineStr">
        <is>
          <t>inec_trust</t>
        </is>
      </c>
      <c r="L4" s="8" t="inlineStr">
        <is>
          <t>apathy</t>
        </is>
      </c>
      <c r="M4" s="8" t="inlineStr">
        <is>
          <t>courts</t>
        </is>
      </c>
      <c r="N4" s="8" t="inlineStr">
        <is>
          <t>registration</t>
        </is>
      </c>
      <c r="O4" s="8" t="inlineStr">
        <is>
          <t>misinfo</t>
        </is>
      </c>
      <c r="P4" s="8" t="inlineStr">
        <is>
          <t>one_party</t>
        </is>
      </c>
      <c r="Q4" s="8" t="inlineStr">
        <is>
          <t>diaspora</t>
        </is>
      </c>
      <c r="R4" s="8" t="inlineStr">
        <is>
          <t>hardship</t>
        </is>
      </c>
      <c r="S4" s="8" t="inlineStr">
        <is>
          <t>ethnic</t>
        </is>
      </c>
      <c r="T4" s="8" t="inlineStr">
        <is>
          <t>court_pre</t>
        </is>
      </c>
      <c r="U4" s="8" t="inlineStr">
        <is>
          <t>step_1</t>
        </is>
      </c>
      <c r="V4" s="8" t="inlineStr">
        <is>
          <t>step_2</t>
        </is>
      </c>
      <c r="W4" s="8" t="inlineStr">
        <is>
          <t>step_3</t>
        </is>
      </c>
      <c r="X4" s="8" t="inlineStr">
        <is>
          <t>step_4</t>
        </is>
      </c>
      <c r="Y4" s="8" t="inlineStr">
        <is>
          <t>step_5</t>
        </is>
      </c>
      <c r="Z4" s="8" t="inlineStr">
        <is>
          <t>step_6</t>
        </is>
      </c>
      <c r="AA4" s="8" t="inlineStr">
        <is>
          <t>step_7</t>
        </is>
      </c>
    </row>
    <row r="5">
      <c r="A5" s="22" t="inlineStr">
        <is>
          <t>b7b8c9b2ba65ff793391007386868c8c2916b6f8</t>
        </is>
      </c>
      <c r="B5" s="22" t="inlineStr">
        <is>
          <t>2025-04</t>
        </is>
      </c>
      <c r="C5" s="22" t="inlineStr">
        <is>
          <t>YouTube</t>
        </is>
      </c>
      <c r="D5" s="22" t="n">
        <v>0</v>
      </c>
      <c r="E5" s="22" t="inlineStr">
        <is>
          <t>Channels Television</t>
        </is>
      </c>
      <c r="F5" s="22" t="inlineStr">
        <is>
          <t>fQ8FDQn4go0</t>
        </is>
      </c>
      <c r="G5" s="22" t="n">
        <v>-0.34</v>
      </c>
      <c r="H5" s="22" t="n">
        <v>0</v>
      </c>
      <c r="I5" s="22" t="n">
        <v>0</v>
      </c>
      <c r="J5" s="22" t="n">
        <v>0</v>
      </c>
      <c r="K5" s="22" t="n">
        <v>0</v>
      </c>
      <c r="L5" s="22" t="n">
        <v>0</v>
      </c>
      <c r="M5" s="22" t="n">
        <v>0</v>
      </c>
      <c r="N5" s="22" t="n">
        <v>0</v>
      </c>
      <c r="O5" s="22" t="n">
        <v>0</v>
      </c>
      <c r="P5" s="22" t="n">
        <v>0</v>
      </c>
      <c r="Q5" s="22" t="n">
        <v>0</v>
      </c>
      <c r="R5" s="22" t="n">
        <v>0</v>
      </c>
      <c r="S5" s="22" t="n">
        <v>0</v>
      </c>
      <c r="T5" s="22" t="n">
        <v>0</v>
      </c>
      <c r="U5" s="3">
        <f>IF(OR(N5=1,Q5=1),1,0)</f>
        <v/>
      </c>
      <c r="V5" s="3">
        <f>IF(OR(T5=1,P5=1),1,0)</f>
        <v/>
      </c>
      <c r="W5" s="3">
        <f>IF(OR(J5=1),1,0)</f>
        <v/>
      </c>
      <c r="X5" s="3">
        <f>IF(OR(I5=1,H5=1),1,0)</f>
        <v/>
      </c>
      <c r="Y5" s="3">
        <f>IF(OR(G5=1),1,0)</f>
        <v/>
      </c>
      <c r="Z5" s="3">
        <f>IF(OR(F5=1),1,0)</f>
        <v/>
      </c>
      <c r="AA5" s="3">
        <f>IF(OR(M5=1),1,0)</f>
        <v/>
      </c>
    </row>
    <row r="6">
      <c r="A6" s="22" t="inlineStr">
        <is>
          <t>370073da847c9d7c4120ef0894770bd3a3fe5ab8</t>
        </is>
      </c>
      <c r="B6" s="22" t="inlineStr">
        <is>
          <t>2025-04</t>
        </is>
      </c>
      <c r="C6" s="22" t="inlineStr">
        <is>
          <t>YouTube</t>
        </is>
      </c>
      <c r="D6" s="22" t="n">
        <v>0</v>
      </c>
      <c r="E6" s="22" t="inlineStr">
        <is>
          <t>Channels Television</t>
        </is>
      </c>
      <c r="F6" s="22" t="inlineStr">
        <is>
          <t>fQ8FDQn4go0</t>
        </is>
      </c>
      <c r="G6" s="22" t="n">
        <v>-0.469</v>
      </c>
      <c r="H6" s="22" t="n">
        <v>0</v>
      </c>
      <c r="I6" s="22" t="n">
        <v>0</v>
      </c>
      <c r="J6" s="22" t="n">
        <v>0</v>
      </c>
      <c r="K6" s="22" t="n">
        <v>0</v>
      </c>
      <c r="L6" s="22" t="n">
        <v>0</v>
      </c>
      <c r="M6" s="22" t="n">
        <v>0</v>
      </c>
      <c r="N6" s="22" t="n">
        <v>0</v>
      </c>
      <c r="O6" s="22" t="n">
        <v>0</v>
      </c>
      <c r="P6" s="22" t="n">
        <v>0</v>
      </c>
      <c r="Q6" s="22" t="n">
        <v>0</v>
      </c>
      <c r="R6" s="22" t="n">
        <v>0</v>
      </c>
      <c r="S6" s="22" t="n">
        <v>0</v>
      </c>
      <c r="T6" s="22" t="n">
        <v>0</v>
      </c>
      <c r="U6" s="3">
        <f>IF(OR(N6=1,Q6=1),1,0)</f>
        <v/>
      </c>
      <c r="V6" s="3">
        <f>IF(OR(T6=1,P6=1),1,0)</f>
        <v/>
      </c>
      <c r="W6" s="3">
        <f>IF(OR(J6=1),1,0)</f>
        <v/>
      </c>
      <c r="X6" s="3">
        <f>IF(OR(I6=1,H6=1),1,0)</f>
        <v/>
      </c>
      <c r="Y6" s="3">
        <f>IF(OR(G6=1),1,0)</f>
        <v/>
      </c>
      <c r="Z6" s="3">
        <f>IF(OR(F6=1),1,0)</f>
        <v/>
      </c>
      <c r="AA6" s="3">
        <f>IF(OR(M6=1),1,0)</f>
        <v/>
      </c>
    </row>
    <row r="7">
      <c r="A7" s="22" t="inlineStr">
        <is>
          <t>4f1ff3f8f10cade3ee01e901678caad21fc7f54c</t>
        </is>
      </c>
      <c r="B7" s="22" t="inlineStr">
        <is>
          <t>2025-07</t>
        </is>
      </c>
      <c r="C7" s="22" t="inlineStr">
        <is>
          <t>YouTube</t>
        </is>
      </c>
      <c r="D7" s="22" t="n">
        <v>0</v>
      </c>
      <c r="E7" s="22" t="inlineStr">
        <is>
          <t>Channels Television</t>
        </is>
      </c>
      <c r="F7" s="22" t="inlineStr">
        <is>
          <t>-_AdFq9Q1Yk</t>
        </is>
      </c>
      <c r="G7" s="22" t="n">
        <v>-0.602</v>
      </c>
      <c r="H7" s="22" t="n">
        <v>0</v>
      </c>
      <c r="I7" s="22" t="n">
        <v>0</v>
      </c>
      <c r="J7" s="22" t="n">
        <v>0</v>
      </c>
      <c r="K7" s="22" t="n">
        <v>0</v>
      </c>
      <c r="L7" s="22" t="n">
        <v>0</v>
      </c>
      <c r="M7" s="22" t="n">
        <v>0</v>
      </c>
      <c r="N7" s="22" t="n">
        <v>0</v>
      </c>
      <c r="O7" s="22" t="n">
        <v>0</v>
      </c>
      <c r="P7" s="22" t="n">
        <v>0</v>
      </c>
      <c r="Q7" s="22" t="n">
        <v>0</v>
      </c>
      <c r="R7" s="22" t="n">
        <v>0</v>
      </c>
      <c r="S7" s="22" t="n">
        <v>0</v>
      </c>
      <c r="T7" s="22" t="n">
        <v>0</v>
      </c>
      <c r="U7" s="3">
        <f>IF(OR(N7=1,Q7=1),1,0)</f>
        <v/>
      </c>
      <c r="V7" s="3">
        <f>IF(OR(T7=1,P7=1),1,0)</f>
        <v/>
      </c>
      <c r="W7" s="3">
        <f>IF(OR(J7=1),1,0)</f>
        <v/>
      </c>
      <c r="X7" s="3">
        <f>IF(OR(I7=1,H7=1),1,0)</f>
        <v/>
      </c>
      <c r="Y7" s="3">
        <f>IF(OR(G7=1),1,0)</f>
        <v/>
      </c>
      <c r="Z7" s="3">
        <f>IF(OR(F7=1),1,0)</f>
        <v/>
      </c>
      <c r="AA7" s="3">
        <f>IF(OR(M7=1),1,0)</f>
        <v/>
      </c>
    </row>
    <row r="8">
      <c r="A8" s="22" t="inlineStr">
        <is>
          <t>076b451a5d31b67e4d8783f392697718cf8bf1e6</t>
        </is>
      </c>
      <c r="B8" s="22" t="inlineStr">
        <is>
          <t>2025-07</t>
        </is>
      </c>
      <c r="C8" s="22" t="inlineStr">
        <is>
          <t>YouTube</t>
        </is>
      </c>
      <c r="D8" s="22" t="n">
        <v>0</v>
      </c>
      <c r="E8" s="22" t="inlineStr">
        <is>
          <t>Channels Television</t>
        </is>
      </c>
      <c r="F8" s="22" t="inlineStr">
        <is>
          <t>-_AdFq9Q1Yk</t>
        </is>
      </c>
      <c r="G8" s="22" t="n">
        <v>0.173</v>
      </c>
      <c r="H8" s="22" t="n">
        <v>0</v>
      </c>
      <c r="I8" s="22" t="n">
        <v>0</v>
      </c>
      <c r="J8" s="22" t="n">
        <v>0</v>
      </c>
      <c r="K8" s="22" t="n">
        <v>0</v>
      </c>
      <c r="L8" s="22" t="n">
        <v>0</v>
      </c>
      <c r="M8" s="22" t="n">
        <v>0</v>
      </c>
      <c r="N8" s="22" t="n">
        <v>0</v>
      </c>
      <c r="O8" s="22" t="n">
        <v>0</v>
      </c>
      <c r="P8" s="22" t="n">
        <v>0</v>
      </c>
      <c r="Q8" s="22" t="n">
        <v>0</v>
      </c>
      <c r="R8" s="22" t="n">
        <v>0</v>
      </c>
      <c r="S8" s="22" t="n">
        <v>0</v>
      </c>
      <c r="T8" s="22" t="n">
        <v>0</v>
      </c>
      <c r="U8" s="3">
        <f>IF(OR(N8=1,Q8=1),1,0)</f>
        <v/>
      </c>
      <c r="V8" s="3">
        <f>IF(OR(T8=1,P8=1),1,0)</f>
        <v/>
      </c>
      <c r="W8" s="3">
        <f>IF(OR(J8=1),1,0)</f>
        <v/>
      </c>
      <c r="X8" s="3">
        <f>IF(OR(I8=1,H8=1),1,0)</f>
        <v/>
      </c>
      <c r="Y8" s="3">
        <f>IF(OR(G8=1),1,0)</f>
        <v/>
      </c>
      <c r="Z8" s="3">
        <f>IF(OR(F8=1),1,0)</f>
        <v/>
      </c>
      <c r="AA8" s="3">
        <f>IF(OR(M8=1),1,0)</f>
        <v/>
      </c>
    </row>
    <row r="9">
      <c r="A9" s="22" t="inlineStr">
        <is>
          <t>66facc8f6db83bf7a3fdd8c180a09775a85e3e84</t>
        </is>
      </c>
      <c r="B9" s="22" t="inlineStr">
        <is>
          <t>2025-07</t>
        </is>
      </c>
      <c r="C9" s="22" t="inlineStr">
        <is>
          <t>YouTube</t>
        </is>
      </c>
      <c r="D9" s="22" t="n">
        <v>0</v>
      </c>
      <c r="E9" s="22" t="inlineStr">
        <is>
          <t>Channels Television</t>
        </is>
      </c>
      <c r="F9" s="22" t="inlineStr">
        <is>
          <t>-_AdFq9Q1Yk</t>
        </is>
      </c>
      <c r="G9" s="22" t="n">
        <v>-0.902</v>
      </c>
      <c r="H9" s="22" t="n">
        <v>0</v>
      </c>
      <c r="I9" s="22" t="n">
        <v>0</v>
      </c>
      <c r="J9" s="22" t="n">
        <v>0</v>
      </c>
      <c r="K9" s="22" t="n">
        <v>0</v>
      </c>
      <c r="L9" s="22" t="n">
        <v>1</v>
      </c>
      <c r="M9" s="22" t="n">
        <v>0</v>
      </c>
      <c r="N9" s="22" t="n">
        <v>0</v>
      </c>
      <c r="O9" s="22" t="n">
        <v>0</v>
      </c>
      <c r="P9" s="22" t="n">
        <v>0</v>
      </c>
      <c r="Q9" s="22" t="n">
        <v>0</v>
      </c>
      <c r="R9" s="22" t="n">
        <v>0</v>
      </c>
      <c r="S9" s="22" t="n">
        <v>0</v>
      </c>
      <c r="T9" s="22" t="n">
        <v>0</v>
      </c>
      <c r="U9" s="3">
        <f>IF(OR(N9=1,Q9=1),1,0)</f>
        <v/>
      </c>
      <c r="V9" s="3">
        <f>IF(OR(T9=1,P9=1),1,0)</f>
        <v/>
      </c>
      <c r="W9" s="3">
        <f>IF(OR(J9=1),1,0)</f>
        <v/>
      </c>
      <c r="X9" s="3">
        <f>IF(OR(I9=1,H9=1),1,0)</f>
        <v/>
      </c>
      <c r="Y9" s="3">
        <f>IF(OR(G9=1),1,0)</f>
        <v/>
      </c>
      <c r="Z9" s="3">
        <f>IF(OR(F9=1),1,0)</f>
        <v/>
      </c>
      <c r="AA9" s="3">
        <f>IF(OR(M9=1),1,0)</f>
        <v/>
      </c>
    </row>
    <row r="10">
      <c r="A10" s="22" t="inlineStr">
        <is>
          <t>573109bffb702355cbae675a7eea4205d419ed47</t>
        </is>
      </c>
      <c r="B10" s="22" t="inlineStr">
        <is>
          <t>2025-07</t>
        </is>
      </c>
      <c r="C10" s="22" t="inlineStr">
        <is>
          <t>YouTube</t>
        </is>
      </c>
      <c r="D10" s="22" t="n">
        <v>0</v>
      </c>
      <c r="E10" s="22" t="inlineStr">
        <is>
          <t>Channels Television</t>
        </is>
      </c>
      <c r="F10" s="22" t="inlineStr">
        <is>
          <t>-_AdFq9Q1Yk</t>
        </is>
      </c>
      <c r="G10" s="22" t="n">
        <v>0.549</v>
      </c>
      <c r="H10" s="22" t="n">
        <v>1</v>
      </c>
      <c r="I10" s="22" t="n">
        <v>0</v>
      </c>
      <c r="J10" s="22" t="n">
        <v>0</v>
      </c>
      <c r="K10" s="22" t="n">
        <v>0</v>
      </c>
      <c r="L10" s="22" t="n">
        <v>0</v>
      </c>
      <c r="M10" s="22" t="n">
        <v>0</v>
      </c>
      <c r="N10" s="22" t="n">
        <v>0</v>
      </c>
      <c r="O10" s="22" t="n">
        <v>0</v>
      </c>
      <c r="P10" s="22" t="n">
        <v>0</v>
      </c>
      <c r="Q10" s="22" t="n">
        <v>0</v>
      </c>
      <c r="R10" s="22" t="n">
        <v>0</v>
      </c>
      <c r="S10" s="22" t="n">
        <v>0</v>
      </c>
      <c r="T10" s="22" t="n">
        <v>0</v>
      </c>
      <c r="U10" s="3">
        <f>IF(OR(N10=1,Q10=1),1,0)</f>
        <v/>
      </c>
      <c r="V10" s="3">
        <f>IF(OR(T10=1,P10=1),1,0)</f>
        <v/>
      </c>
      <c r="W10" s="3">
        <f>IF(OR(J10=1),1,0)</f>
        <v/>
      </c>
      <c r="X10" s="3">
        <f>IF(OR(I10=1,H10=1),1,0)</f>
        <v/>
      </c>
      <c r="Y10" s="3">
        <f>IF(OR(G10=1),1,0)</f>
        <v/>
      </c>
      <c r="Z10" s="3">
        <f>IF(OR(F10=1),1,0)</f>
        <v/>
      </c>
      <c r="AA10" s="3">
        <f>IF(OR(M10=1),1,0)</f>
        <v/>
      </c>
    </row>
    <row r="11">
      <c r="A11" s="22" t="inlineStr">
        <is>
          <t>27b3ab65a51015b1487165dca7d78da264e04fd8</t>
        </is>
      </c>
      <c r="B11" s="22" t="inlineStr">
        <is>
          <t>2025-07</t>
        </is>
      </c>
      <c r="C11" s="22" t="inlineStr">
        <is>
          <t>YouTube</t>
        </is>
      </c>
      <c r="D11" s="22" t="n">
        <v>0</v>
      </c>
      <c r="E11" s="22" t="inlineStr">
        <is>
          <t>Channels Television</t>
        </is>
      </c>
      <c r="F11" s="22" t="inlineStr">
        <is>
          <t>-_AdFq9Q1Yk</t>
        </is>
      </c>
      <c r="G11" s="22" t="n">
        <v>0.318</v>
      </c>
      <c r="H11" s="22" t="n">
        <v>1</v>
      </c>
      <c r="I11" s="22" t="n">
        <v>0</v>
      </c>
      <c r="J11" s="22" t="n">
        <v>0</v>
      </c>
      <c r="K11" s="22" t="n">
        <v>0</v>
      </c>
      <c r="L11" s="22" t="n">
        <v>0</v>
      </c>
      <c r="M11" s="22" t="n">
        <v>0</v>
      </c>
      <c r="N11" s="22" t="n">
        <v>0</v>
      </c>
      <c r="O11" s="22" t="n">
        <v>0</v>
      </c>
      <c r="P11" s="22" t="n">
        <v>0</v>
      </c>
      <c r="Q11" s="22" t="n">
        <v>0</v>
      </c>
      <c r="R11" s="22" t="n">
        <v>0</v>
      </c>
      <c r="S11" s="22" t="n">
        <v>0</v>
      </c>
      <c r="T11" s="22" t="n">
        <v>0</v>
      </c>
      <c r="U11" s="3">
        <f>IF(OR(N11=1,Q11=1),1,0)</f>
        <v/>
      </c>
      <c r="V11" s="3">
        <f>IF(OR(T11=1,P11=1),1,0)</f>
        <v/>
      </c>
      <c r="W11" s="3">
        <f>IF(OR(J11=1),1,0)</f>
        <v/>
      </c>
      <c r="X11" s="3">
        <f>IF(OR(I11=1,H11=1),1,0)</f>
        <v/>
      </c>
      <c r="Y11" s="3">
        <f>IF(OR(G11=1),1,0)</f>
        <v/>
      </c>
      <c r="Z11" s="3">
        <f>IF(OR(F11=1),1,0)</f>
        <v/>
      </c>
      <c r="AA11" s="3">
        <f>IF(OR(M11=1),1,0)</f>
        <v/>
      </c>
    </row>
    <row r="12">
      <c r="A12" s="22" t="inlineStr">
        <is>
          <t>8dfc6972f90968e12065109bf9940e29765f2d33</t>
        </is>
      </c>
      <c r="B12" s="22" t="inlineStr">
        <is>
          <t>2025-07</t>
        </is>
      </c>
      <c r="C12" s="22" t="inlineStr">
        <is>
          <t>YouTube</t>
        </is>
      </c>
      <c r="D12" s="22" t="n">
        <v>0</v>
      </c>
      <c r="E12" s="22" t="inlineStr">
        <is>
          <t>Channels Television</t>
        </is>
      </c>
      <c r="F12" s="22" t="inlineStr">
        <is>
          <t>-_AdFq9Q1Yk</t>
        </is>
      </c>
      <c r="G12" s="22" t="n">
        <v>0.856</v>
      </c>
      <c r="H12" s="22" t="n">
        <v>1</v>
      </c>
      <c r="I12" s="22" t="n">
        <v>0</v>
      </c>
      <c r="J12" s="22" t="n">
        <v>0</v>
      </c>
      <c r="K12" s="22" t="n">
        <v>0</v>
      </c>
      <c r="L12" s="22" t="n">
        <v>0</v>
      </c>
      <c r="M12" s="22" t="n">
        <v>0</v>
      </c>
      <c r="N12" s="22" t="n">
        <v>0</v>
      </c>
      <c r="O12" s="22" t="n">
        <v>0</v>
      </c>
      <c r="P12" s="22" t="n">
        <v>0</v>
      </c>
      <c r="Q12" s="22" t="n">
        <v>0</v>
      </c>
      <c r="R12" s="22" t="n">
        <v>0</v>
      </c>
      <c r="S12" s="22" t="n">
        <v>0</v>
      </c>
      <c r="T12" s="22" t="n">
        <v>0</v>
      </c>
      <c r="U12" s="3">
        <f>IF(OR(N12=1,Q12=1),1,0)</f>
        <v/>
      </c>
      <c r="V12" s="3">
        <f>IF(OR(T12=1,P12=1),1,0)</f>
        <v/>
      </c>
      <c r="W12" s="3">
        <f>IF(OR(J12=1),1,0)</f>
        <v/>
      </c>
      <c r="X12" s="3">
        <f>IF(OR(I12=1,H12=1),1,0)</f>
        <v/>
      </c>
      <c r="Y12" s="3">
        <f>IF(OR(G12=1),1,0)</f>
        <v/>
      </c>
      <c r="Z12" s="3">
        <f>IF(OR(F12=1),1,0)</f>
        <v/>
      </c>
      <c r="AA12" s="3">
        <f>IF(OR(M12=1),1,0)</f>
        <v/>
      </c>
    </row>
    <row r="13">
      <c r="A13" s="22" t="inlineStr">
        <is>
          <t>4a03d302913191ba53675c76ad61ab5625ff01e1</t>
        </is>
      </c>
      <c r="B13" s="22" t="inlineStr">
        <is>
          <t>2025-07</t>
        </is>
      </c>
      <c r="C13" s="22" t="inlineStr">
        <is>
          <t>YouTube</t>
        </is>
      </c>
      <c r="D13" s="22" t="n">
        <v>0</v>
      </c>
      <c r="E13" s="22" t="inlineStr">
        <is>
          <t>Channels Television</t>
        </is>
      </c>
      <c r="F13" s="22" t="inlineStr">
        <is>
          <t>-_AdFq9Q1Yk</t>
        </is>
      </c>
      <c r="G13" s="22" t="n">
        <v>0.604</v>
      </c>
      <c r="H13" s="22" t="n">
        <v>0</v>
      </c>
      <c r="I13" s="22" t="n">
        <v>0</v>
      </c>
      <c r="J13" s="22" t="n">
        <v>0</v>
      </c>
      <c r="K13" s="22" t="n">
        <v>0</v>
      </c>
      <c r="L13" s="22" t="n">
        <v>0</v>
      </c>
      <c r="M13" s="22" t="n">
        <v>0</v>
      </c>
      <c r="N13" s="22" t="n">
        <v>0</v>
      </c>
      <c r="O13" s="22" t="n">
        <v>1</v>
      </c>
      <c r="P13" s="22" t="n">
        <v>0</v>
      </c>
      <c r="Q13" s="22" t="n">
        <v>0</v>
      </c>
      <c r="R13" s="22" t="n">
        <v>0</v>
      </c>
      <c r="S13" s="22" t="n">
        <v>0</v>
      </c>
      <c r="T13" s="22" t="n">
        <v>0</v>
      </c>
      <c r="U13" s="3">
        <f>IF(OR(N13=1,Q13=1),1,0)</f>
        <v/>
      </c>
      <c r="V13" s="3">
        <f>IF(OR(T13=1,P13=1),1,0)</f>
        <v/>
      </c>
      <c r="W13" s="3">
        <f>IF(OR(J13=1),1,0)</f>
        <v/>
      </c>
      <c r="X13" s="3">
        <f>IF(OR(I13=1,H13=1),1,0)</f>
        <v/>
      </c>
      <c r="Y13" s="3">
        <f>IF(OR(G13=1),1,0)</f>
        <v/>
      </c>
      <c r="Z13" s="3">
        <f>IF(OR(F13=1),1,0)</f>
        <v/>
      </c>
      <c r="AA13" s="3">
        <f>IF(OR(M13=1),1,0)</f>
        <v/>
      </c>
    </row>
    <row r="14">
      <c r="A14" s="22" t="inlineStr">
        <is>
          <t>a7b5125a381b6b742846fddc09c0ba5c52fae002</t>
        </is>
      </c>
      <c r="B14" s="22" t="inlineStr">
        <is>
          <t>2025-07</t>
        </is>
      </c>
      <c r="C14" s="22" t="inlineStr">
        <is>
          <t>YouTube</t>
        </is>
      </c>
      <c r="D14" s="22" t="n">
        <v>0</v>
      </c>
      <c r="E14" s="22" t="inlineStr">
        <is>
          <t>Channels Television</t>
        </is>
      </c>
      <c r="F14" s="22" t="inlineStr">
        <is>
          <t>-_AdFq9Q1Yk</t>
        </is>
      </c>
      <c r="G14" s="22" t="n">
        <v>0.077</v>
      </c>
      <c r="H14" s="22" t="n">
        <v>0</v>
      </c>
      <c r="I14" s="22" t="n">
        <v>0</v>
      </c>
      <c r="J14" s="22" t="n">
        <v>0</v>
      </c>
      <c r="K14" s="22" t="n">
        <v>0</v>
      </c>
      <c r="L14" s="22" t="n">
        <v>0</v>
      </c>
      <c r="M14" s="22" t="n">
        <v>0</v>
      </c>
      <c r="N14" s="22" t="n">
        <v>0</v>
      </c>
      <c r="O14" s="22" t="n">
        <v>0</v>
      </c>
      <c r="P14" s="22" t="n">
        <v>0</v>
      </c>
      <c r="Q14" s="22" t="n">
        <v>0</v>
      </c>
      <c r="R14" s="22" t="n">
        <v>0</v>
      </c>
      <c r="S14" s="22" t="n">
        <v>0</v>
      </c>
      <c r="T14" s="22" t="n">
        <v>0</v>
      </c>
      <c r="U14" s="3">
        <f>IF(OR(N14=1,Q14=1),1,0)</f>
        <v/>
      </c>
      <c r="V14" s="3">
        <f>IF(OR(T14=1,P14=1),1,0)</f>
        <v/>
      </c>
      <c r="W14" s="3">
        <f>IF(OR(J14=1),1,0)</f>
        <v/>
      </c>
      <c r="X14" s="3">
        <f>IF(OR(I14=1,H14=1),1,0)</f>
        <v/>
      </c>
      <c r="Y14" s="3">
        <f>IF(OR(G14=1),1,0)</f>
        <v/>
      </c>
      <c r="Z14" s="3">
        <f>IF(OR(F14=1),1,0)</f>
        <v/>
      </c>
      <c r="AA14" s="3">
        <f>IF(OR(M14=1),1,0)</f>
        <v/>
      </c>
    </row>
    <row r="15">
      <c r="A15" s="22" t="inlineStr">
        <is>
          <t>22fcc50821be61005d91ac81e7958dd3312ef55a</t>
        </is>
      </c>
      <c r="B15" s="22" t="inlineStr">
        <is>
          <t>2025-07</t>
        </is>
      </c>
      <c r="C15" s="22" t="inlineStr">
        <is>
          <t>YouTube</t>
        </is>
      </c>
      <c r="D15" s="22" t="n">
        <v>0</v>
      </c>
      <c r="E15" s="22" t="inlineStr">
        <is>
          <t>Channels Television</t>
        </is>
      </c>
      <c r="F15" s="22" t="inlineStr">
        <is>
          <t>-_AdFq9Q1Yk</t>
        </is>
      </c>
      <c r="G15" s="22" t="n">
        <v>0.827</v>
      </c>
      <c r="H15" s="22" t="n">
        <v>0</v>
      </c>
      <c r="I15" s="22" t="n">
        <v>0</v>
      </c>
      <c r="J15" s="22" t="n">
        <v>0</v>
      </c>
      <c r="K15" s="22" t="n">
        <v>0</v>
      </c>
      <c r="L15" s="22" t="n">
        <v>0</v>
      </c>
      <c r="M15" s="22" t="n">
        <v>0</v>
      </c>
      <c r="N15" s="22" t="n">
        <v>0</v>
      </c>
      <c r="O15" s="22" t="n">
        <v>0</v>
      </c>
      <c r="P15" s="22" t="n">
        <v>0</v>
      </c>
      <c r="Q15" s="22" t="n">
        <v>0</v>
      </c>
      <c r="R15" s="22" t="n">
        <v>0</v>
      </c>
      <c r="S15" s="22" t="n">
        <v>0</v>
      </c>
      <c r="T15" s="22" t="n">
        <v>0</v>
      </c>
      <c r="U15" s="3">
        <f>IF(OR(N15=1,Q15=1),1,0)</f>
        <v/>
      </c>
      <c r="V15" s="3">
        <f>IF(OR(T15=1,P15=1),1,0)</f>
        <v/>
      </c>
      <c r="W15" s="3">
        <f>IF(OR(J15=1),1,0)</f>
        <v/>
      </c>
      <c r="X15" s="3">
        <f>IF(OR(I15=1,H15=1),1,0)</f>
        <v/>
      </c>
      <c r="Y15" s="3">
        <f>IF(OR(G15=1),1,0)</f>
        <v/>
      </c>
      <c r="Z15" s="3">
        <f>IF(OR(F15=1),1,0)</f>
        <v/>
      </c>
      <c r="AA15" s="3">
        <f>IF(OR(M15=1),1,0)</f>
        <v/>
      </c>
    </row>
    <row r="16">
      <c r="A16" s="22" t="inlineStr">
        <is>
          <t>308c40a4704466c325ce25bbf32b496c399603ec</t>
        </is>
      </c>
      <c r="B16" s="22" t="inlineStr">
        <is>
          <t>2025-07</t>
        </is>
      </c>
      <c r="C16" s="22" t="inlineStr">
        <is>
          <t>YouTube</t>
        </is>
      </c>
      <c r="D16" s="22" t="n">
        <v>0</v>
      </c>
      <c r="E16" s="22" t="inlineStr">
        <is>
          <t>Channels Television</t>
        </is>
      </c>
      <c r="F16" s="22" t="inlineStr">
        <is>
          <t>-_AdFq9Q1Yk</t>
        </is>
      </c>
      <c r="G16" s="22" t="n">
        <v>0.516</v>
      </c>
      <c r="H16" s="22" t="n">
        <v>1</v>
      </c>
      <c r="I16" s="22" t="n">
        <v>0</v>
      </c>
      <c r="J16" s="22" t="n">
        <v>0</v>
      </c>
      <c r="K16" s="22" t="n">
        <v>0</v>
      </c>
      <c r="L16" s="22" t="n">
        <v>0</v>
      </c>
      <c r="M16" s="22" t="n">
        <v>0</v>
      </c>
      <c r="N16" s="22" t="n">
        <v>0</v>
      </c>
      <c r="O16" s="22" t="n">
        <v>0</v>
      </c>
      <c r="P16" s="22" t="n">
        <v>0</v>
      </c>
      <c r="Q16" s="22" t="n">
        <v>0</v>
      </c>
      <c r="R16" s="22" t="n">
        <v>0</v>
      </c>
      <c r="S16" s="22" t="n">
        <v>0</v>
      </c>
      <c r="T16" s="22" t="n">
        <v>0</v>
      </c>
      <c r="U16" s="3">
        <f>IF(OR(N16=1,Q16=1),1,0)</f>
        <v/>
      </c>
      <c r="V16" s="3">
        <f>IF(OR(T16=1,P16=1),1,0)</f>
        <v/>
      </c>
      <c r="W16" s="3">
        <f>IF(OR(J16=1),1,0)</f>
        <v/>
      </c>
      <c r="X16" s="3">
        <f>IF(OR(I16=1,H16=1),1,0)</f>
        <v/>
      </c>
      <c r="Y16" s="3">
        <f>IF(OR(G16=1),1,0)</f>
        <v/>
      </c>
      <c r="Z16" s="3">
        <f>IF(OR(F16=1),1,0)</f>
        <v/>
      </c>
      <c r="AA16" s="3">
        <f>IF(OR(M16=1),1,0)</f>
        <v/>
      </c>
    </row>
    <row r="17">
      <c r="A17" s="22" t="inlineStr">
        <is>
          <t>e5001cd857ee049d131e229ee81039bb8e282464</t>
        </is>
      </c>
      <c r="B17" s="22" t="inlineStr">
        <is>
          <t>2025-07</t>
        </is>
      </c>
      <c r="C17" s="22" t="inlineStr">
        <is>
          <t>YouTube</t>
        </is>
      </c>
      <c r="D17" s="22" t="n">
        <v>0</v>
      </c>
      <c r="E17" s="22" t="inlineStr">
        <is>
          <t>Channels Television</t>
        </is>
      </c>
      <c r="F17" s="22" t="inlineStr">
        <is>
          <t>-_AdFq9Q1Yk</t>
        </is>
      </c>
      <c r="G17" s="22" t="n">
        <v>0.913</v>
      </c>
      <c r="H17" s="22" t="n">
        <v>1</v>
      </c>
      <c r="I17" s="22" t="n">
        <v>0</v>
      </c>
      <c r="J17" s="22" t="n">
        <v>0</v>
      </c>
      <c r="K17" s="22" t="n">
        <v>0</v>
      </c>
      <c r="L17" s="22" t="n">
        <v>0</v>
      </c>
      <c r="M17" s="22" t="n">
        <v>0</v>
      </c>
      <c r="N17" s="22" t="n">
        <v>0</v>
      </c>
      <c r="O17" s="22" t="n">
        <v>0</v>
      </c>
      <c r="P17" s="22" t="n">
        <v>0</v>
      </c>
      <c r="Q17" s="22" t="n">
        <v>0</v>
      </c>
      <c r="R17" s="22" t="n">
        <v>0</v>
      </c>
      <c r="S17" s="22" t="n">
        <v>0</v>
      </c>
      <c r="T17" s="22" t="n">
        <v>0</v>
      </c>
      <c r="U17" s="3">
        <f>IF(OR(N17=1,Q17=1),1,0)</f>
        <v/>
      </c>
      <c r="V17" s="3">
        <f>IF(OR(T17=1,P17=1),1,0)</f>
        <v/>
      </c>
      <c r="W17" s="3">
        <f>IF(OR(J17=1),1,0)</f>
        <v/>
      </c>
      <c r="X17" s="3">
        <f>IF(OR(I17=1,H17=1),1,0)</f>
        <v/>
      </c>
      <c r="Y17" s="3">
        <f>IF(OR(G17=1),1,0)</f>
        <v/>
      </c>
      <c r="Z17" s="3">
        <f>IF(OR(F17=1),1,0)</f>
        <v/>
      </c>
      <c r="AA17" s="3">
        <f>IF(OR(M17=1),1,0)</f>
        <v/>
      </c>
    </row>
    <row r="18">
      <c r="A18" s="22" t="inlineStr">
        <is>
          <t>d992a3d76c6de0c6110dc5fca10b4d315fff401f</t>
        </is>
      </c>
      <c r="B18" s="22" t="inlineStr">
        <is>
          <t>2025-07</t>
        </is>
      </c>
      <c r="C18" s="22" t="inlineStr">
        <is>
          <t>YouTube</t>
        </is>
      </c>
      <c r="D18" s="22" t="n">
        <v>0</v>
      </c>
      <c r="E18" s="22" t="inlineStr">
        <is>
          <t>Channels Television</t>
        </is>
      </c>
      <c r="F18" s="22" t="inlineStr">
        <is>
          <t>-_AdFq9Q1Yk</t>
        </is>
      </c>
      <c r="G18" s="22" t="n">
        <v>-0.296</v>
      </c>
      <c r="H18" s="22" t="n">
        <v>0</v>
      </c>
      <c r="I18" s="22" t="n">
        <v>0</v>
      </c>
      <c r="J18" s="22" t="n">
        <v>0</v>
      </c>
      <c r="K18" s="22" t="n">
        <v>0</v>
      </c>
      <c r="L18" s="22" t="n">
        <v>0</v>
      </c>
      <c r="M18" s="22" t="n">
        <v>0</v>
      </c>
      <c r="N18" s="22" t="n">
        <v>0</v>
      </c>
      <c r="O18" s="22" t="n">
        <v>0</v>
      </c>
      <c r="P18" s="22" t="n">
        <v>0</v>
      </c>
      <c r="Q18" s="22" t="n">
        <v>0</v>
      </c>
      <c r="R18" s="22" t="n">
        <v>0</v>
      </c>
      <c r="S18" s="22" t="n">
        <v>0</v>
      </c>
      <c r="T18" s="22" t="n">
        <v>0</v>
      </c>
      <c r="U18" s="3">
        <f>IF(OR(N18=1,Q18=1),1,0)</f>
        <v/>
      </c>
      <c r="V18" s="3">
        <f>IF(OR(T18=1,P18=1),1,0)</f>
        <v/>
      </c>
      <c r="W18" s="3">
        <f>IF(OR(J18=1),1,0)</f>
        <v/>
      </c>
      <c r="X18" s="3">
        <f>IF(OR(I18=1,H18=1),1,0)</f>
        <v/>
      </c>
      <c r="Y18" s="3">
        <f>IF(OR(G18=1),1,0)</f>
        <v/>
      </c>
      <c r="Z18" s="3">
        <f>IF(OR(F18=1),1,0)</f>
        <v/>
      </c>
      <c r="AA18" s="3">
        <f>IF(OR(M18=1),1,0)</f>
        <v/>
      </c>
    </row>
    <row r="19">
      <c r="A19" s="22" t="inlineStr">
        <is>
          <t>7a8e5c064c40f8395982e4957176427f361fa33f</t>
        </is>
      </c>
      <c r="B19" s="22" t="inlineStr">
        <is>
          <t>2025-07</t>
        </is>
      </c>
      <c r="C19" s="22" t="inlineStr">
        <is>
          <t>YouTube</t>
        </is>
      </c>
      <c r="D19" s="22" t="n">
        <v>0</v>
      </c>
      <c r="E19" s="22" t="inlineStr">
        <is>
          <t>Channels Television</t>
        </is>
      </c>
      <c r="F19" s="22" t="inlineStr">
        <is>
          <t>-_AdFq9Q1Yk</t>
        </is>
      </c>
      <c r="G19" s="22" t="n">
        <v>0.757</v>
      </c>
      <c r="H19" s="22" t="n">
        <v>0</v>
      </c>
      <c r="I19" s="22" t="n">
        <v>0</v>
      </c>
      <c r="J19" s="22" t="n">
        <v>0</v>
      </c>
      <c r="K19" s="22" t="n">
        <v>0</v>
      </c>
      <c r="L19" s="22" t="n">
        <v>0</v>
      </c>
      <c r="M19" s="22" t="n">
        <v>0</v>
      </c>
      <c r="N19" s="22" t="n">
        <v>0</v>
      </c>
      <c r="O19" s="22" t="n">
        <v>0</v>
      </c>
      <c r="P19" s="22" t="n">
        <v>0</v>
      </c>
      <c r="Q19" s="22" t="n">
        <v>0</v>
      </c>
      <c r="R19" s="22" t="n">
        <v>0</v>
      </c>
      <c r="S19" s="22" t="n">
        <v>0</v>
      </c>
      <c r="T19" s="22" t="n">
        <v>0</v>
      </c>
      <c r="U19" s="3">
        <f>IF(OR(N19=1,Q19=1),1,0)</f>
        <v/>
      </c>
      <c r="V19" s="3">
        <f>IF(OR(T19=1,P19=1),1,0)</f>
        <v/>
      </c>
      <c r="W19" s="3">
        <f>IF(OR(J19=1),1,0)</f>
        <v/>
      </c>
      <c r="X19" s="3">
        <f>IF(OR(I19=1,H19=1),1,0)</f>
        <v/>
      </c>
      <c r="Y19" s="3">
        <f>IF(OR(G19=1),1,0)</f>
        <v/>
      </c>
      <c r="Z19" s="3">
        <f>IF(OR(F19=1),1,0)</f>
        <v/>
      </c>
      <c r="AA19" s="3">
        <f>IF(OR(M19=1),1,0)</f>
        <v/>
      </c>
    </row>
    <row r="20">
      <c r="A20" s="22" t="inlineStr">
        <is>
          <t>34a24a246fee78aa104e940867b0493b6e96e347</t>
        </is>
      </c>
      <c r="B20" s="22" t="inlineStr">
        <is>
          <t>2025-07</t>
        </is>
      </c>
      <c r="C20" s="22" t="inlineStr">
        <is>
          <t>YouTube</t>
        </is>
      </c>
      <c r="D20" s="22" t="n">
        <v>0</v>
      </c>
      <c r="E20" s="22" t="inlineStr">
        <is>
          <t>Channels Television</t>
        </is>
      </c>
      <c r="F20" s="22" t="inlineStr">
        <is>
          <t>-_AdFq9Q1Yk</t>
        </is>
      </c>
      <c r="G20" s="22" t="n">
        <v>0.586</v>
      </c>
      <c r="H20" s="22" t="n">
        <v>0</v>
      </c>
      <c r="I20" s="22" t="n">
        <v>0</v>
      </c>
      <c r="J20" s="22" t="n">
        <v>0</v>
      </c>
      <c r="K20" s="22" t="n">
        <v>0</v>
      </c>
      <c r="L20" s="22" t="n">
        <v>0</v>
      </c>
      <c r="M20" s="22" t="n">
        <v>0</v>
      </c>
      <c r="N20" s="22" t="n">
        <v>0</v>
      </c>
      <c r="O20" s="22" t="n">
        <v>0</v>
      </c>
      <c r="P20" s="22" t="n">
        <v>0</v>
      </c>
      <c r="Q20" s="22" t="n">
        <v>0</v>
      </c>
      <c r="R20" s="22" t="n">
        <v>0</v>
      </c>
      <c r="S20" s="22" t="n">
        <v>0</v>
      </c>
      <c r="T20" s="22" t="n">
        <v>0</v>
      </c>
      <c r="U20" s="3">
        <f>IF(OR(N20=1,Q20=1),1,0)</f>
        <v/>
      </c>
      <c r="V20" s="3">
        <f>IF(OR(T20=1,P20=1),1,0)</f>
        <v/>
      </c>
      <c r="W20" s="3">
        <f>IF(OR(J20=1),1,0)</f>
        <v/>
      </c>
      <c r="X20" s="3">
        <f>IF(OR(I20=1,H20=1),1,0)</f>
        <v/>
      </c>
      <c r="Y20" s="3">
        <f>IF(OR(G20=1),1,0)</f>
        <v/>
      </c>
      <c r="Z20" s="3">
        <f>IF(OR(F20=1),1,0)</f>
        <v/>
      </c>
      <c r="AA20" s="3">
        <f>IF(OR(M20=1),1,0)</f>
        <v/>
      </c>
    </row>
    <row r="21">
      <c r="A21" s="22" t="inlineStr">
        <is>
          <t>46d550e704a49efb6b2966fa8da8539aebab65a6</t>
        </is>
      </c>
      <c r="B21" s="22" t="inlineStr">
        <is>
          <t>2025-08</t>
        </is>
      </c>
      <c r="C21" s="22" t="inlineStr">
        <is>
          <t>YouTube</t>
        </is>
      </c>
      <c r="D21" s="22" t="n">
        <v>0</v>
      </c>
      <c r="E21" s="22" t="inlineStr">
        <is>
          <t>Channels Television</t>
        </is>
      </c>
      <c r="F21" s="22" t="inlineStr">
        <is>
          <t>7eZWhQfOozg</t>
        </is>
      </c>
      <c r="G21" s="22" t="n">
        <v>-0.513</v>
      </c>
      <c r="H21" s="22" t="n">
        <v>0</v>
      </c>
      <c r="I21" s="22" t="n">
        <v>0</v>
      </c>
      <c r="J21" s="22" t="n">
        <v>0</v>
      </c>
      <c r="K21" s="22" t="n">
        <v>0</v>
      </c>
      <c r="L21" s="22" t="n">
        <v>0</v>
      </c>
      <c r="M21" s="22" t="n">
        <v>1</v>
      </c>
      <c r="N21" s="22" t="n">
        <v>0</v>
      </c>
      <c r="O21" s="22" t="n">
        <v>0</v>
      </c>
      <c r="P21" s="22" t="n">
        <v>0</v>
      </c>
      <c r="Q21" s="22" t="n">
        <v>0</v>
      </c>
      <c r="R21" s="22" t="n">
        <v>0</v>
      </c>
      <c r="S21" s="22" t="n">
        <v>0</v>
      </c>
      <c r="T21" s="22" t="n">
        <v>0</v>
      </c>
      <c r="U21" s="3">
        <f>IF(OR(N21=1,Q21=1),1,0)</f>
        <v/>
      </c>
      <c r="V21" s="3">
        <f>IF(OR(T21=1,P21=1),1,0)</f>
        <v/>
      </c>
      <c r="W21" s="3">
        <f>IF(OR(J21=1),1,0)</f>
        <v/>
      </c>
      <c r="X21" s="3">
        <f>IF(OR(I21=1,H21=1),1,0)</f>
        <v/>
      </c>
      <c r="Y21" s="3">
        <f>IF(OR(G21=1),1,0)</f>
        <v/>
      </c>
      <c r="Z21" s="3">
        <f>IF(OR(F21=1),1,0)</f>
        <v/>
      </c>
      <c r="AA21" s="3">
        <f>IF(OR(M21=1),1,0)</f>
        <v/>
      </c>
    </row>
    <row r="22">
      <c r="A22" s="22" t="inlineStr">
        <is>
          <t>bc60766f5e596850509819404213311da5891142</t>
        </is>
      </c>
      <c r="B22" s="22" t="inlineStr">
        <is>
          <t>2025-08</t>
        </is>
      </c>
      <c r="C22" s="22" t="inlineStr">
        <is>
          <t>YouTube</t>
        </is>
      </c>
      <c r="D22" s="22" t="n">
        <v>0</v>
      </c>
      <c r="E22" s="22" t="inlineStr">
        <is>
          <t>Channels Television</t>
        </is>
      </c>
      <c r="F22" s="22" t="inlineStr">
        <is>
          <t>7eZWhQfOozg</t>
        </is>
      </c>
      <c r="G22" s="22" t="n">
        <v>-0.888</v>
      </c>
      <c r="H22" s="22" t="n">
        <v>1</v>
      </c>
      <c r="I22" s="22" t="n">
        <v>0</v>
      </c>
      <c r="J22" s="22" t="n">
        <v>0</v>
      </c>
      <c r="K22" s="22" t="n">
        <v>0</v>
      </c>
      <c r="L22" s="22" t="n">
        <v>0</v>
      </c>
      <c r="M22" s="22" t="n">
        <v>1</v>
      </c>
      <c r="N22" s="22" t="n">
        <v>0</v>
      </c>
      <c r="O22" s="22" t="n">
        <v>1</v>
      </c>
      <c r="P22" s="22" t="n">
        <v>0</v>
      </c>
      <c r="Q22" s="22" t="n">
        <v>0</v>
      </c>
      <c r="R22" s="22" t="n">
        <v>0</v>
      </c>
      <c r="S22" s="22" t="n">
        <v>0</v>
      </c>
      <c r="T22" s="22" t="n">
        <v>0</v>
      </c>
      <c r="U22" s="3">
        <f>IF(OR(N22=1,Q22=1),1,0)</f>
        <v/>
      </c>
      <c r="V22" s="3">
        <f>IF(OR(T22=1,P22=1),1,0)</f>
        <v/>
      </c>
      <c r="W22" s="3">
        <f>IF(OR(J22=1),1,0)</f>
        <v/>
      </c>
      <c r="X22" s="3">
        <f>IF(OR(I22=1,H22=1),1,0)</f>
        <v/>
      </c>
      <c r="Y22" s="3">
        <f>IF(OR(G22=1),1,0)</f>
        <v/>
      </c>
      <c r="Z22" s="3">
        <f>IF(OR(F22=1),1,0)</f>
        <v/>
      </c>
      <c r="AA22" s="3">
        <f>IF(OR(M22=1),1,0)</f>
        <v/>
      </c>
    </row>
    <row r="23">
      <c r="A23" s="22" t="inlineStr">
        <is>
          <t>b5d63ac21140e2de9c0c586e91384b91895506d2</t>
        </is>
      </c>
      <c r="B23" s="22" t="inlineStr">
        <is>
          <t>2025-08</t>
        </is>
      </c>
      <c r="C23" s="22" t="inlineStr">
        <is>
          <t>YouTube</t>
        </is>
      </c>
      <c r="D23" s="22" t="n">
        <v>0</v>
      </c>
      <c r="E23" s="22" t="inlineStr">
        <is>
          <t>Channels Television</t>
        </is>
      </c>
      <c r="F23" s="22" t="inlineStr">
        <is>
          <t>7eZWhQfOozg</t>
        </is>
      </c>
      <c r="G23" s="22" t="n">
        <v>0.671</v>
      </c>
      <c r="H23" s="22" t="n">
        <v>0</v>
      </c>
      <c r="I23" s="22" t="n">
        <v>0</v>
      </c>
      <c r="J23" s="22" t="n">
        <v>0</v>
      </c>
      <c r="K23" s="22" t="n">
        <v>1</v>
      </c>
      <c r="L23" s="22" t="n">
        <v>0</v>
      </c>
      <c r="M23" s="22" t="n">
        <v>0</v>
      </c>
      <c r="N23" s="22" t="n">
        <v>0</v>
      </c>
      <c r="O23" s="22" t="n">
        <v>0</v>
      </c>
      <c r="P23" s="22" t="n">
        <v>0</v>
      </c>
      <c r="Q23" s="22" t="n">
        <v>0</v>
      </c>
      <c r="R23" s="22" t="n">
        <v>0</v>
      </c>
      <c r="S23" s="22" t="n">
        <v>0</v>
      </c>
      <c r="T23" s="22" t="n">
        <v>0</v>
      </c>
      <c r="U23" s="3">
        <f>IF(OR(N23=1,Q23=1),1,0)</f>
        <v/>
      </c>
      <c r="V23" s="3">
        <f>IF(OR(T23=1,P23=1),1,0)</f>
        <v/>
      </c>
      <c r="W23" s="3">
        <f>IF(OR(J23=1),1,0)</f>
        <v/>
      </c>
      <c r="X23" s="3">
        <f>IF(OR(I23=1,H23=1),1,0)</f>
        <v/>
      </c>
      <c r="Y23" s="3">
        <f>IF(OR(G23=1),1,0)</f>
        <v/>
      </c>
      <c r="Z23" s="3">
        <f>IF(OR(F23=1),1,0)</f>
        <v/>
      </c>
      <c r="AA23" s="3">
        <f>IF(OR(M23=1),1,0)</f>
        <v/>
      </c>
    </row>
    <row r="24">
      <c r="A24" s="22" t="inlineStr">
        <is>
          <t>26c0cb291118f394cbb60829f7b1352902214787</t>
        </is>
      </c>
      <c r="B24" s="22" t="inlineStr">
        <is>
          <t>2025-08</t>
        </is>
      </c>
      <c r="C24" s="22" t="inlineStr">
        <is>
          <t>YouTube</t>
        </is>
      </c>
      <c r="D24" s="22" t="n">
        <v>0</v>
      </c>
      <c r="E24" s="22" t="inlineStr">
        <is>
          <t>Channels Television</t>
        </is>
      </c>
      <c r="F24" s="22" t="inlineStr">
        <is>
          <t>7eZWhQfOozg</t>
        </is>
      </c>
      <c r="G24" s="22" t="n">
        <v>-0.893</v>
      </c>
      <c r="H24" s="22" t="n">
        <v>1</v>
      </c>
      <c r="I24" s="22" t="n">
        <v>0</v>
      </c>
      <c r="J24" s="22" t="n">
        <v>0</v>
      </c>
      <c r="K24" s="22" t="n">
        <v>0</v>
      </c>
      <c r="L24" s="22" t="n">
        <v>0</v>
      </c>
      <c r="M24" s="22" t="n">
        <v>0</v>
      </c>
      <c r="N24" s="22" t="n">
        <v>0</v>
      </c>
      <c r="O24" s="22" t="n">
        <v>0</v>
      </c>
      <c r="P24" s="22" t="n">
        <v>0</v>
      </c>
      <c r="Q24" s="22" t="n">
        <v>0</v>
      </c>
      <c r="R24" s="22" t="n">
        <v>0</v>
      </c>
      <c r="S24" s="22" t="n">
        <v>0</v>
      </c>
      <c r="T24" s="22" t="n">
        <v>0</v>
      </c>
      <c r="U24" s="3">
        <f>IF(OR(N24=1,Q24=1),1,0)</f>
        <v/>
      </c>
      <c r="V24" s="3">
        <f>IF(OR(T24=1,P24=1),1,0)</f>
        <v/>
      </c>
      <c r="W24" s="3">
        <f>IF(OR(J24=1),1,0)</f>
        <v/>
      </c>
      <c r="X24" s="3">
        <f>IF(OR(I24=1,H24=1),1,0)</f>
        <v/>
      </c>
      <c r="Y24" s="3">
        <f>IF(OR(G24=1),1,0)</f>
        <v/>
      </c>
      <c r="Z24" s="3">
        <f>IF(OR(F24=1),1,0)</f>
        <v/>
      </c>
      <c r="AA24" s="3">
        <f>IF(OR(M24=1),1,0)</f>
        <v/>
      </c>
    </row>
    <row r="25">
      <c r="A25" s="22" t="inlineStr">
        <is>
          <t>61be33200b84b74888235dddd3392013d6b87512</t>
        </is>
      </c>
      <c r="B25" s="22" t="inlineStr">
        <is>
          <t>2025-08</t>
        </is>
      </c>
      <c r="C25" s="22" t="inlineStr">
        <is>
          <t>YouTube</t>
        </is>
      </c>
      <c r="D25" s="22" t="n">
        <v>0</v>
      </c>
      <c r="E25" s="22" t="inlineStr">
        <is>
          <t>Channels Television</t>
        </is>
      </c>
      <c r="F25" s="22" t="inlineStr">
        <is>
          <t>7eZWhQfOozg</t>
        </is>
      </c>
      <c r="G25" s="22" t="n">
        <v>-0.477</v>
      </c>
      <c r="H25" s="22" t="n">
        <v>0</v>
      </c>
      <c r="I25" s="22" t="n">
        <v>0</v>
      </c>
      <c r="J25" s="22" t="n">
        <v>0</v>
      </c>
      <c r="K25" s="22" t="n">
        <v>0</v>
      </c>
      <c r="L25" s="22" t="n">
        <v>0</v>
      </c>
      <c r="M25" s="22" t="n">
        <v>1</v>
      </c>
      <c r="N25" s="22" t="n">
        <v>0</v>
      </c>
      <c r="O25" s="22" t="n">
        <v>0</v>
      </c>
      <c r="P25" s="22" t="n">
        <v>0</v>
      </c>
      <c r="Q25" s="22" t="n">
        <v>0</v>
      </c>
      <c r="R25" s="22" t="n">
        <v>0</v>
      </c>
      <c r="S25" s="22" t="n">
        <v>0</v>
      </c>
      <c r="T25" s="22" t="n">
        <v>1</v>
      </c>
      <c r="U25" s="3">
        <f>IF(OR(N25=1,Q25=1),1,0)</f>
        <v/>
      </c>
      <c r="V25" s="3">
        <f>IF(OR(T25=1,P25=1),1,0)</f>
        <v/>
      </c>
      <c r="W25" s="3">
        <f>IF(OR(J25=1),1,0)</f>
        <v/>
      </c>
      <c r="X25" s="3">
        <f>IF(OR(I25=1,H25=1),1,0)</f>
        <v/>
      </c>
      <c r="Y25" s="3">
        <f>IF(OR(G25=1),1,0)</f>
        <v/>
      </c>
      <c r="Z25" s="3">
        <f>IF(OR(F25=1),1,0)</f>
        <v/>
      </c>
      <c r="AA25" s="3">
        <f>IF(OR(M25=1),1,0)</f>
        <v/>
      </c>
    </row>
    <row r="26">
      <c r="A26" s="22" t="inlineStr">
        <is>
          <t>65df725c0c1a715667d9a1d8ea4677ba3258502c</t>
        </is>
      </c>
      <c r="B26" s="22" t="inlineStr">
        <is>
          <t>2025-08</t>
        </is>
      </c>
      <c r="C26" s="22" t="inlineStr">
        <is>
          <t>YouTube</t>
        </is>
      </c>
      <c r="D26" s="22" t="n">
        <v>0</v>
      </c>
      <c r="E26" s="22" t="inlineStr">
        <is>
          <t>Channels Television</t>
        </is>
      </c>
      <c r="F26" s="22" t="inlineStr">
        <is>
          <t>7eZWhQfOozg</t>
        </is>
      </c>
      <c r="G26" s="22" t="n">
        <v>-0.876</v>
      </c>
      <c r="H26" s="22" t="n">
        <v>1</v>
      </c>
      <c r="I26" s="22" t="n">
        <v>0</v>
      </c>
      <c r="J26" s="22" t="n">
        <v>0</v>
      </c>
      <c r="K26" s="22" t="n">
        <v>0</v>
      </c>
      <c r="L26" s="22" t="n">
        <v>0</v>
      </c>
      <c r="M26" s="22" t="n">
        <v>1</v>
      </c>
      <c r="N26" s="22" t="n">
        <v>0</v>
      </c>
      <c r="O26" s="22" t="n">
        <v>0</v>
      </c>
      <c r="P26" s="22" t="n">
        <v>0</v>
      </c>
      <c r="Q26" s="22" t="n">
        <v>0</v>
      </c>
      <c r="R26" s="22" t="n">
        <v>0</v>
      </c>
      <c r="S26" s="22" t="n">
        <v>0</v>
      </c>
      <c r="T26" s="22" t="n">
        <v>0</v>
      </c>
      <c r="U26" s="3">
        <f>IF(OR(N26=1,Q26=1),1,0)</f>
        <v/>
      </c>
      <c r="V26" s="3">
        <f>IF(OR(T26=1,P26=1),1,0)</f>
        <v/>
      </c>
      <c r="W26" s="3">
        <f>IF(OR(J26=1),1,0)</f>
        <v/>
      </c>
      <c r="X26" s="3">
        <f>IF(OR(I26=1,H26=1),1,0)</f>
        <v/>
      </c>
      <c r="Y26" s="3">
        <f>IF(OR(G26=1),1,0)</f>
        <v/>
      </c>
      <c r="Z26" s="3">
        <f>IF(OR(F26=1),1,0)</f>
        <v/>
      </c>
      <c r="AA26" s="3">
        <f>IF(OR(M26=1),1,0)</f>
        <v/>
      </c>
    </row>
    <row r="27">
      <c r="A27" s="22" t="inlineStr">
        <is>
          <t>def98e0fc311b70be6ae1a7d091b52ee56f8948b</t>
        </is>
      </c>
      <c r="B27" s="22" t="inlineStr">
        <is>
          <t>2025-08</t>
        </is>
      </c>
      <c r="C27" s="22" t="inlineStr">
        <is>
          <t>YouTube</t>
        </is>
      </c>
      <c r="D27" s="22" t="n">
        <v>0</v>
      </c>
      <c r="E27" s="22" t="inlineStr">
        <is>
          <t>Channels Television</t>
        </is>
      </c>
      <c r="F27" s="22" t="inlineStr">
        <is>
          <t>7eZWhQfOozg</t>
        </is>
      </c>
      <c r="G27" s="22" t="n">
        <v>0.637</v>
      </c>
      <c r="H27" s="22" t="n">
        <v>0</v>
      </c>
      <c r="I27" s="22" t="n">
        <v>0</v>
      </c>
      <c r="J27" s="22" t="n">
        <v>0</v>
      </c>
      <c r="K27" s="22" t="n">
        <v>0</v>
      </c>
      <c r="L27" s="22" t="n">
        <v>0</v>
      </c>
      <c r="M27" s="22" t="n">
        <v>0</v>
      </c>
      <c r="N27" s="22" t="n">
        <v>0</v>
      </c>
      <c r="O27" s="22" t="n">
        <v>0</v>
      </c>
      <c r="P27" s="22" t="n">
        <v>0</v>
      </c>
      <c r="Q27" s="22" t="n">
        <v>0</v>
      </c>
      <c r="R27" s="22" t="n">
        <v>0</v>
      </c>
      <c r="S27" s="22" t="n">
        <v>0</v>
      </c>
      <c r="T27" s="22" t="n">
        <v>0</v>
      </c>
      <c r="U27" s="3">
        <f>IF(OR(N27=1,Q27=1),1,0)</f>
        <v/>
      </c>
      <c r="V27" s="3">
        <f>IF(OR(T27=1,P27=1),1,0)</f>
        <v/>
      </c>
      <c r="W27" s="3">
        <f>IF(OR(J27=1),1,0)</f>
        <v/>
      </c>
      <c r="X27" s="3">
        <f>IF(OR(I27=1,H27=1),1,0)</f>
        <v/>
      </c>
      <c r="Y27" s="3">
        <f>IF(OR(G27=1),1,0)</f>
        <v/>
      </c>
      <c r="Z27" s="3">
        <f>IF(OR(F27=1),1,0)</f>
        <v/>
      </c>
      <c r="AA27" s="3">
        <f>IF(OR(M27=1),1,0)</f>
        <v/>
      </c>
    </row>
    <row r="28">
      <c r="A28" s="22" t="inlineStr">
        <is>
          <t>c5b625959b74c1272ce4eb3811e3cb93f4da28e8</t>
        </is>
      </c>
      <c r="B28" s="22" t="inlineStr">
        <is>
          <t>2025-08</t>
        </is>
      </c>
      <c r="C28" s="22" t="inlineStr">
        <is>
          <t>YouTube</t>
        </is>
      </c>
      <c r="D28" s="22" t="n">
        <v>0</v>
      </c>
      <c r="E28" s="22" t="inlineStr">
        <is>
          <t>Channels Television</t>
        </is>
      </c>
      <c r="F28" s="22" t="inlineStr">
        <is>
          <t>7eZWhQfOozg</t>
        </is>
      </c>
      <c r="G28" s="22" t="n">
        <v>0</v>
      </c>
      <c r="H28" s="22" t="n">
        <v>1</v>
      </c>
      <c r="I28" s="22" t="n">
        <v>0</v>
      </c>
      <c r="J28" s="22" t="n">
        <v>0</v>
      </c>
      <c r="K28" s="22" t="n">
        <v>0</v>
      </c>
      <c r="L28" s="22" t="n">
        <v>0</v>
      </c>
      <c r="M28" s="22" t="n">
        <v>0</v>
      </c>
      <c r="N28" s="22" t="n">
        <v>0</v>
      </c>
      <c r="O28" s="22" t="n">
        <v>0</v>
      </c>
      <c r="P28" s="22" t="n">
        <v>0</v>
      </c>
      <c r="Q28" s="22" t="n">
        <v>0</v>
      </c>
      <c r="R28" s="22" t="n">
        <v>0</v>
      </c>
      <c r="S28" s="22" t="n">
        <v>0</v>
      </c>
      <c r="T28" s="22" t="n">
        <v>0</v>
      </c>
      <c r="U28" s="3">
        <f>IF(OR(N28=1,Q28=1),1,0)</f>
        <v/>
      </c>
      <c r="V28" s="3">
        <f>IF(OR(T28=1,P28=1),1,0)</f>
        <v/>
      </c>
      <c r="W28" s="3">
        <f>IF(OR(J28=1),1,0)</f>
        <v/>
      </c>
      <c r="X28" s="3">
        <f>IF(OR(I28=1,H28=1),1,0)</f>
        <v/>
      </c>
      <c r="Y28" s="3">
        <f>IF(OR(G28=1),1,0)</f>
        <v/>
      </c>
      <c r="Z28" s="3">
        <f>IF(OR(F28=1),1,0)</f>
        <v/>
      </c>
      <c r="AA28" s="3">
        <f>IF(OR(M28=1),1,0)</f>
        <v/>
      </c>
    </row>
    <row r="29">
      <c r="A29" s="22" t="inlineStr">
        <is>
          <t>de6257500f83b433f4e851f8edd65a2ffb53cc99</t>
        </is>
      </c>
      <c r="B29" s="22" t="inlineStr">
        <is>
          <t>2025-08</t>
        </is>
      </c>
      <c r="C29" s="22" t="inlineStr">
        <is>
          <t>YouTube</t>
        </is>
      </c>
      <c r="D29" s="22" t="n">
        <v>0</v>
      </c>
      <c r="E29" s="22" t="inlineStr">
        <is>
          <t>Channels Television</t>
        </is>
      </c>
      <c r="F29" s="22" t="inlineStr">
        <is>
          <t>7eZWhQfOozg</t>
        </is>
      </c>
      <c r="G29" s="22" t="n">
        <v>-0.44</v>
      </c>
      <c r="H29" s="22" t="n">
        <v>1</v>
      </c>
      <c r="I29" s="22" t="n">
        <v>0</v>
      </c>
      <c r="J29" s="22" t="n">
        <v>0</v>
      </c>
      <c r="K29" s="22" t="n">
        <v>0</v>
      </c>
      <c r="L29" s="22" t="n">
        <v>0</v>
      </c>
      <c r="M29" s="22" t="n">
        <v>0</v>
      </c>
      <c r="N29" s="22" t="n">
        <v>0</v>
      </c>
      <c r="O29" s="22" t="n">
        <v>0</v>
      </c>
      <c r="P29" s="22" t="n">
        <v>0</v>
      </c>
      <c r="Q29" s="22" t="n">
        <v>0</v>
      </c>
      <c r="R29" s="22" t="n">
        <v>0</v>
      </c>
      <c r="S29" s="22" t="n">
        <v>0</v>
      </c>
      <c r="T29" s="22" t="n">
        <v>0</v>
      </c>
      <c r="U29" s="3">
        <f>IF(OR(N29=1,Q29=1),1,0)</f>
        <v/>
      </c>
      <c r="V29" s="3">
        <f>IF(OR(T29=1,P29=1),1,0)</f>
        <v/>
      </c>
      <c r="W29" s="3">
        <f>IF(OR(J29=1),1,0)</f>
        <v/>
      </c>
      <c r="X29" s="3">
        <f>IF(OR(I29=1,H29=1),1,0)</f>
        <v/>
      </c>
      <c r="Y29" s="3">
        <f>IF(OR(G29=1),1,0)</f>
        <v/>
      </c>
      <c r="Z29" s="3">
        <f>IF(OR(F29=1),1,0)</f>
        <v/>
      </c>
      <c r="AA29" s="3">
        <f>IF(OR(M29=1),1,0)</f>
        <v/>
      </c>
    </row>
    <row r="30">
      <c r="A30" s="22" t="inlineStr">
        <is>
          <t>18be91432db9f6052be24bef8382c8ac13e50090</t>
        </is>
      </c>
      <c r="B30" s="22" t="inlineStr">
        <is>
          <t>2025-08</t>
        </is>
      </c>
      <c r="C30" s="22" t="inlineStr">
        <is>
          <t>YouTube</t>
        </is>
      </c>
      <c r="D30" s="22" t="n">
        <v>0</v>
      </c>
      <c r="E30" s="22" t="inlineStr">
        <is>
          <t>Channels Television</t>
        </is>
      </c>
      <c r="F30" s="22" t="inlineStr">
        <is>
          <t>7eZWhQfOozg</t>
        </is>
      </c>
      <c r="G30" s="22" t="n">
        <v>-0.856</v>
      </c>
      <c r="H30" s="22" t="n">
        <v>0</v>
      </c>
      <c r="I30" s="22" t="n">
        <v>0</v>
      </c>
      <c r="J30" s="22" t="n">
        <v>0</v>
      </c>
      <c r="K30" s="22" t="n">
        <v>0</v>
      </c>
      <c r="L30" s="22" t="n">
        <v>0</v>
      </c>
      <c r="M30" s="22" t="n">
        <v>1</v>
      </c>
      <c r="N30" s="22" t="n">
        <v>0</v>
      </c>
      <c r="O30" s="22" t="n">
        <v>0</v>
      </c>
      <c r="P30" s="22" t="n">
        <v>0</v>
      </c>
      <c r="Q30" s="22" t="n">
        <v>0</v>
      </c>
      <c r="R30" s="22" t="n">
        <v>0</v>
      </c>
      <c r="S30" s="22" t="n">
        <v>0</v>
      </c>
      <c r="T30" s="22" t="n">
        <v>0</v>
      </c>
      <c r="U30" s="3">
        <f>IF(OR(N30=1,Q30=1),1,0)</f>
        <v/>
      </c>
      <c r="V30" s="3">
        <f>IF(OR(T30=1,P30=1),1,0)</f>
        <v/>
      </c>
      <c r="W30" s="3">
        <f>IF(OR(J30=1),1,0)</f>
        <v/>
      </c>
      <c r="X30" s="3">
        <f>IF(OR(I30=1,H30=1),1,0)</f>
        <v/>
      </c>
      <c r="Y30" s="3">
        <f>IF(OR(G30=1),1,0)</f>
        <v/>
      </c>
      <c r="Z30" s="3">
        <f>IF(OR(F30=1),1,0)</f>
        <v/>
      </c>
      <c r="AA30" s="3">
        <f>IF(OR(M30=1),1,0)</f>
        <v/>
      </c>
    </row>
    <row r="31">
      <c r="A31" s="22" t="inlineStr">
        <is>
          <t>e2ac2386ea4074c0e70ae7fe2b6b3812f2cb3fdd</t>
        </is>
      </c>
      <c r="B31" s="22" t="inlineStr">
        <is>
          <t>2025-08</t>
        </is>
      </c>
      <c r="C31" s="22" t="inlineStr">
        <is>
          <t>YouTube</t>
        </is>
      </c>
      <c r="D31" s="22" t="n">
        <v>0</v>
      </c>
      <c r="E31" s="22" t="inlineStr">
        <is>
          <t>Channels Television</t>
        </is>
      </c>
      <c r="F31" s="22" t="inlineStr">
        <is>
          <t>7eZWhQfOozg</t>
        </is>
      </c>
      <c r="G31" s="22" t="n">
        <v>-0.859</v>
      </c>
      <c r="H31" s="22" t="n">
        <v>0</v>
      </c>
      <c r="I31" s="22" t="n">
        <v>0</v>
      </c>
      <c r="J31" s="22" t="n">
        <v>0</v>
      </c>
      <c r="K31" s="22" t="n">
        <v>0</v>
      </c>
      <c r="L31" s="22" t="n">
        <v>0</v>
      </c>
      <c r="M31" s="22" t="n">
        <v>1</v>
      </c>
      <c r="N31" s="22" t="n">
        <v>0</v>
      </c>
      <c r="O31" s="22" t="n">
        <v>0</v>
      </c>
      <c r="P31" s="22" t="n">
        <v>0</v>
      </c>
      <c r="Q31" s="22" t="n">
        <v>0</v>
      </c>
      <c r="R31" s="22" t="n">
        <v>0</v>
      </c>
      <c r="S31" s="22" t="n">
        <v>0</v>
      </c>
      <c r="T31" s="22" t="n">
        <v>1</v>
      </c>
      <c r="U31" s="3">
        <f>IF(OR(N31=1,Q31=1),1,0)</f>
        <v/>
      </c>
      <c r="V31" s="3">
        <f>IF(OR(T31=1,P31=1),1,0)</f>
        <v/>
      </c>
      <c r="W31" s="3">
        <f>IF(OR(J31=1),1,0)</f>
        <v/>
      </c>
      <c r="X31" s="3">
        <f>IF(OR(I31=1,H31=1),1,0)</f>
        <v/>
      </c>
      <c r="Y31" s="3">
        <f>IF(OR(G31=1),1,0)</f>
        <v/>
      </c>
      <c r="Z31" s="3">
        <f>IF(OR(F31=1),1,0)</f>
        <v/>
      </c>
      <c r="AA31" s="3">
        <f>IF(OR(M31=1),1,0)</f>
        <v/>
      </c>
    </row>
    <row r="32">
      <c r="A32" s="22" t="inlineStr">
        <is>
          <t>90d2c87e45bb24b43efa964014ecf9f1c8f8c792</t>
        </is>
      </c>
      <c r="B32" s="22" t="inlineStr">
        <is>
          <t>2026-02</t>
        </is>
      </c>
      <c r="C32" s="22" t="inlineStr">
        <is>
          <t>YouTube</t>
        </is>
      </c>
      <c r="D32" s="22" t="n">
        <v>0</v>
      </c>
      <c r="E32" s="22" t="inlineStr">
        <is>
          <t>Channels Television</t>
        </is>
      </c>
      <c r="F32" s="22" t="inlineStr">
        <is>
          <t>95HiAsHA5Qs</t>
        </is>
      </c>
      <c r="G32" s="22" t="n">
        <v>-0.426</v>
      </c>
      <c r="H32" s="22" t="n">
        <v>1</v>
      </c>
      <c r="I32" s="22" t="n">
        <v>1</v>
      </c>
      <c r="J32" s="22" t="n">
        <v>0</v>
      </c>
      <c r="K32" s="22" t="n">
        <v>0</v>
      </c>
      <c r="L32" s="22" t="n">
        <v>0</v>
      </c>
      <c r="M32" s="22" t="n">
        <v>0</v>
      </c>
      <c r="N32" s="22" t="n">
        <v>0</v>
      </c>
      <c r="O32" s="22" t="n">
        <v>0</v>
      </c>
      <c r="P32" s="22" t="n">
        <v>0</v>
      </c>
      <c r="Q32" s="22" t="n">
        <v>0</v>
      </c>
      <c r="R32" s="22" t="n">
        <v>0</v>
      </c>
      <c r="S32" s="22" t="n">
        <v>0</v>
      </c>
      <c r="T32" s="22" t="n">
        <v>0</v>
      </c>
      <c r="U32" s="3">
        <f>IF(OR(N32=1,Q32=1),1,0)</f>
        <v/>
      </c>
      <c r="V32" s="3">
        <f>IF(OR(T32=1,P32=1),1,0)</f>
        <v/>
      </c>
      <c r="W32" s="3">
        <f>IF(OR(J32=1),1,0)</f>
        <v/>
      </c>
      <c r="X32" s="3">
        <f>IF(OR(I32=1,H32=1),1,0)</f>
        <v/>
      </c>
      <c r="Y32" s="3">
        <f>IF(OR(G32=1),1,0)</f>
        <v/>
      </c>
      <c r="Z32" s="3">
        <f>IF(OR(F32=1),1,0)</f>
        <v/>
      </c>
      <c r="AA32" s="3">
        <f>IF(OR(M32=1),1,0)</f>
        <v/>
      </c>
    </row>
    <row r="33">
      <c r="A33" s="22" t="inlineStr">
        <is>
          <t>12dc4a2564345e5b8e7fb5850841454a91076d31</t>
        </is>
      </c>
      <c r="B33" s="22" t="inlineStr">
        <is>
          <t>2026-02</t>
        </is>
      </c>
      <c r="C33" s="22" t="inlineStr">
        <is>
          <t>YouTube</t>
        </is>
      </c>
      <c r="D33" s="22" t="n">
        <v>0</v>
      </c>
      <c r="E33" s="22" t="inlineStr">
        <is>
          <t>Channels Television</t>
        </is>
      </c>
      <c r="F33" s="22" t="inlineStr">
        <is>
          <t>95HiAsHA5Qs</t>
        </is>
      </c>
      <c r="G33" s="22" t="n">
        <v>-0.026</v>
      </c>
      <c r="H33" s="22" t="n">
        <v>0</v>
      </c>
      <c r="I33" s="22" t="n">
        <v>0</v>
      </c>
      <c r="J33" s="22" t="n">
        <v>0</v>
      </c>
      <c r="K33" s="22" t="n">
        <v>1</v>
      </c>
      <c r="L33" s="22" t="n">
        <v>0</v>
      </c>
      <c r="M33" s="22" t="n">
        <v>0</v>
      </c>
      <c r="N33" s="22" t="n">
        <v>0</v>
      </c>
      <c r="O33" s="22" t="n">
        <v>0</v>
      </c>
      <c r="P33" s="22" t="n">
        <v>0</v>
      </c>
      <c r="Q33" s="22" t="n">
        <v>0</v>
      </c>
      <c r="R33" s="22" t="n">
        <v>0</v>
      </c>
      <c r="S33" s="22" t="n">
        <v>0</v>
      </c>
      <c r="T33" s="22" t="n">
        <v>0</v>
      </c>
      <c r="U33" s="3">
        <f>IF(OR(N33=1,Q33=1),1,0)</f>
        <v/>
      </c>
      <c r="V33" s="3">
        <f>IF(OR(T33=1,P33=1),1,0)</f>
        <v/>
      </c>
      <c r="W33" s="3">
        <f>IF(OR(J33=1),1,0)</f>
        <v/>
      </c>
      <c r="X33" s="3">
        <f>IF(OR(I33=1,H33=1),1,0)</f>
        <v/>
      </c>
      <c r="Y33" s="3">
        <f>IF(OR(G33=1),1,0)</f>
        <v/>
      </c>
      <c r="Z33" s="3">
        <f>IF(OR(F33=1),1,0)</f>
        <v/>
      </c>
      <c r="AA33" s="3">
        <f>IF(OR(M33=1),1,0)</f>
        <v/>
      </c>
    </row>
    <row r="34">
      <c r="A34" s="22" t="inlineStr">
        <is>
          <t>e65a9bf4d4491773c4586212ccf9210bd95d7ce0</t>
        </is>
      </c>
      <c r="B34" s="22" t="inlineStr">
        <is>
          <t>2026-02</t>
        </is>
      </c>
      <c r="C34" s="22" t="inlineStr">
        <is>
          <t>YouTube</t>
        </is>
      </c>
      <c r="D34" s="22" t="n">
        <v>0</v>
      </c>
      <c r="E34" s="22" t="inlineStr">
        <is>
          <t>Channels Television</t>
        </is>
      </c>
      <c r="F34" s="22" t="inlineStr">
        <is>
          <t>95HiAsHA5Qs</t>
        </is>
      </c>
      <c r="G34" s="22" t="n">
        <v>0</v>
      </c>
      <c r="H34" s="22" t="n">
        <v>0</v>
      </c>
      <c r="I34" s="22" t="n">
        <v>1</v>
      </c>
      <c r="J34" s="22" t="n">
        <v>0</v>
      </c>
      <c r="K34" s="22" t="n">
        <v>0</v>
      </c>
      <c r="L34" s="22" t="n">
        <v>0</v>
      </c>
      <c r="M34" s="22" t="n">
        <v>0</v>
      </c>
      <c r="N34" s="22" t="n">
        <v>0</v>
      </c>
      <c r="O34" s="22" t="n">
        <v>0</v>
      </c>
      <c r="P34" s="22" t="n">
        <v>0</v>
      </c>
      <c r="Q34" s="22" t="n">
        <v>0</v>
      </c>
      <c r="R34" s="22" t="n">
        <v>0</v>
      </c>
      <c r="S34" s="22" t="n">
        <v>0</v>
      </c>
      <c r="T34" s="22" t="n">
        <v>0</v>
      </c>
      <c r="U34" s="3">
        <f>IF(OR(N34=1,Q34=1),1,0)</f>
        <v/>
      </c>
      <c r="V34" s="3">
        <f>IF(OR(T34=1,P34=1),1,0)</f>
        <v/>
      </c>
      <c r="W34" s="3">
        <f>IF(OR(J34=1),1,0)</f>
        <v/>
      </c>
      <c r="X34" s="3">
        <f>IF(OR(I34=1,H34=1),1,0)</f>
        <v/>
      </c>
      <c r="Y34" s="3">
        <f>IF(OR(G34=1),1,0)</f>
        <v/>
      </c>
      <c r="Z34" s="3">
        <f>IF(OR(F34=1),1,0)</f>
        <v/>
      </c>
      <c r="AA34" s="3">
        <f>IF(OR(M34=1),1,0)</f>
        <v/>
      </c>
    </row>
    <row r="35">
      <c r="A35" s="22" t="inlineStr">
        <is>
          <t>78245f6146bd176f8238f3e6017e0519cb588bf3</t>
        </is>
      </c>
      <c r="B35" s="22" t="inlineStr">
        <is>
          <t>2026-02</t>
        </is>
      </c>
      <c r="C35" s="22" t="inlineStr">
        <is>
          <t>YouTube</t>
        </is>
      </c>
      <c r="D35" s="22" t="n">
        <v>0</v>
      </c>
      <c r="E35" s="22" t="inlineStr">
        <is>
          <t>Channels Television</t>
        </is>
      </c>
      <c r="F35" s="22" t="inlineStr">
        <is>
          <t>95HiAsHA5Qs</t>
        </is>
      </c>
      <c r="G35" s="22" t="n">
        <v>-0.401</v>
      </c>
      <c r="H35" s="22" t="n">
        <v>0</v>
      </c>
      <c r="I35" s="22" t="n">
        <v>1</v>
      </c>
      <c r="J35" s="22" t="n">
        <v>0</v>
      </c>
      <c r="K35" s="22" t="n">
        <v>0</v>
      </c>
      <c r="L35" s="22" t="n">
        <v>0</v>
      </c>
      <c r="M35" s="22" t="n">
        <v>0</v>
      </c>
      <c r="N35" s="22" t="n">
        <v>0</v>
      </c>
      <c r="O35" s="22" t="n">
        <v>0</v>
      </c>
      <c r="P35" s="22" t="n">
        <v>0</v>
      </c>
      <c r="Q35" s="22" t="n">
        <v>0</v>
      </c>
      <c r="R35" s="22" t="n">
        <v>0</v>
      </c>
      <c r="S35" s="22" t="n">
        <v>0</v>
      </c>
      <c r="T35" s="22" t="n">
        <v>0</v>
      </c>
      <c r="U35" s="3">
        <f>IF(OR(N35=1,Q35=1),1,0)</f>
        <v/>
      </c>
      <c r="V35" s="3">
        <f>IF(OR(T35=1,P35=1),1,0)</f>
        <v/>
      </c>
      <c r="W35" s="3">
        <f>IF(OR(J35=1),1,0)</f>
        <v/>
      </c>
      <c r="X35" s="3">
        <f>IF(OR(I35=1,H35=1),1,0)</f>
        <v/>
      </c>
      <c r="Y35" s="3">
        <f>IF(OR(G35=1),1,0)</f>
        <v/>
      </c>
      <c r="Z35" s="3">
        <f>IF(OR(F35=1),1,0)</f>
        <v/>
      </c>
      <c r="AA35" s="3">
        <f>IF(OR(M35=1),1,0)</f>
        <v/>
      </c>
    </row>
    <row r="36">
      <c r="A36" s="22" t="inlineStr">
        <is>
          <t>55b1b4da0bfb8a3b6024cf299a67015ef3332d43</t>
        </is>
      </c>
      <c r="B36" s="22" t="inlineStr">
        <is>
          <t>2026-02</t>
        </is>
      </c>
      <c r="C36" s="22" t="inlineStr">
        <is>
          <t>YouTube</t>
        </is>
      </c>
      <c r="D36" s="22" t="n">
        <v>0</v>
      </c>
      <c r="E36" s="22" t="inlineStr">
        <is>
          <t>Channels Television</t>
        </is>
      </c>
      <c r="F36" s="22" t="inlineStr">
        <is>
          <t>95HiAsHA5Qs</t>
        </is>
      </c>
      <c r="G36" s="22" t="n">
        <v>0.62</v>
      </c>
      <c r="H36" s="22" t="n">
        <v>1</v>
      </c>
      <c r="I36" s="22" t="n">
        <v>0</v>
      </c>
      <c r="J36" s="22" t="n">
        <v>0</v>
      </c>
      <c r="K36" s="22" t="n">
        <v>0</v>
      </c>
      <c r="L36" s="22" t="n">
        <v>0</v>
      </c>
      <c r="M36" s="22" t="n">
        <v>0</v>
      </c>
      <c r="N36" s="22" t="n">
        <v>0</v>
      </c>
      <c r="O36" s="22" t="n">
        <v>0</v>
      </c>
      <c r="P36" s="22" t="n">
        <v>0</v>
      </c>
      <c r="Q36" s="22" t="n">
        <v>0</v>
      </c>
      <c r="R36" s="22" t="n">
        <v>0</v>
      </c>
      <c r="S36" s="22" t="n">
        <v>0</v>
      </c>
      <c r="T36" s="22" t="n">
        <v>0</v>
      </c>
      <c r="U36" s="3">
        <f>IF(OR(N36=1,Q36=1),1,0)</f>
        <v/>
      </c>
      <c r="V36" s="3">
        <f>IF(OR(T36=1,P36=1),1,0)</f>
        <v/>
      </c>
      <c r="W36" s="3">
        <f>IF(OR(J36=1),1,0)</f>
        <v/>
      </c>
      <c r="X36" s="3">
        <f>IF(OR(I36=1,H36=1),1,0)</f>
        <v/>
      </c>
      <c r="Y36" s="3">
        <f>IF(OR(G36=1),1,0)</f>
        <v/>
      </c>
      <c r="Z36" s="3">
        <f>IF(OR(F36=1),1,0)</f>
        <v/>
      </c>
      <c r="AA36" s="3">
        <f>IF(OR(M36=1),1,0)</f>
        <v/>
      </c>
    </row>
    <row r="37">
      <c r="A37" s="22" t="inlineStr">
        <is>
          <t>29cb3dd6b284fc8ac5faabcecc0c305490d98207</t>
        </is>
      </c>
      <c r="B37" s="22" t="inlineStr">
        <is>
          <t>2026-02</t>
        </is>
      </c>
      <c r="C37" s="22" t="inlineStr">
        <is>
          <t>YouTube</t>
        </is>
      </c>
      <c r="D37" s="22" t="n">
        <v>0</v>
      </c>
      <c r="E37" s="22" t="inlineStr">
        <is>
          <t>Channels Television</t>
        </is>
      </c>
      <c r="F37" s="22" t="inlineStr">
        <is>
          <t>95HiAsHA5Qs</t>
        </is>
      </c>
      <c r="G37" s="22" t="n">
        <v>0.29</v>
      </c>
      <c r="H37" s="22" t="n">
        <v>0</v>
      </c>
      <c r="I37" s="22" t="n">
        <v>1</v>
      </c>
      <c r="J37" s="22" t="n">
        <v>0</v>
      </c>
      <c r="K37" s="22" t="n">
        <v>0</v>
      </c>
      <c r="L37" s="22" t="n">
        <v>0</v>
      </c>
      <c r="M37" s="22" t="n">
        <v>0</v>
      </c>
      <c r="N37" s="22" t="n">
        <v>0</v>
      </c>
      <c r="O37" s="22" t="n">
        <v>0</v>
      </c>
      <c r="P37" s="22" t="n">
        <v>0</v>
      </c>
      <c r="Q37" s="22" t="n">
        <v>0</v>
      </c>
      <c r="R37" s="22" t="n">
        <v>0</v>
      </c>
      <c r="S37" s="22" t="n">
        <v>0</v>
      </c>
      <c r="T37" s="22" t="n">
        <v>0</v>
      </c>
      <c r="U37" s="3">
        <f>IF(OR(N37=1,Q37=1),1,0)</f>
        <v/>
      </c>
      <c r="V37" s="3">
        <f>IF(OR(T37=1,P37=1),1,0)</f>
        <v/>
      </c>
      <c r="W37" s="3">
        <f>IF(OR(J37=1),1,0)</f>
        <v/>
      </c>
      <c r="X37" s="3">
        <f>IF(OR(I37=1,H37=1),1,0)</f>
        <v/>
      </c>
      <c r="Y37" s="3">
        <f>IF(OR(G37=1),1,0)</f>
        <v/>
      </c>
      <c r="Z37" s="3">
        <f>IF(OR(F37=1),1,0)</f>
        <v/>
      </c>
      <c r="AA37" s="3">
        <f>IF(OR(M37=1),1,0)</f>
        <v/>
      </c>
    </row>
    <row r="38">
      <c r="A38" s="22" t="inlineStr">
        <is>
          <t>b2a2d96feb8d01b37ced53c49ae1f2f607de36eb</t>
        </is>
      </c>
      <c r="B38" s="22" t="inlineStr">
        <is>
          <t>2026-02</t>
        </is>
      </c>
      <c r="C38" s="22" t="inlineStr">
        <is>
          <t>YouTube</t>
        </is>
      </c>
      <c r="D38" s="22" t="n">
        <v>0</v>
      </c>
      <c r="E38" s="22" t="inlineStr">
        <is>
          <t>Channels Television</t>
        </is>
      </c>
      <c r="F38" s="22" t="inlineStr">
        <is>
          <t>95HiAsHA5Qs</t>
        </is>
      </c>
      <c r="G38" s="22" t="n">
        <v>0.413</v>
      </c>
      <c r="H38" s="22" t="n">
        <v>1</v>
      </c>
      <c r="I38" s="22" t="n">
        <v>0</v>
      </c>
      <c r="J38" s="22" t="n">
        <v>0</v>
      </c>
      <c r="K38" s="22" t="n">
        <v>0</v>
      </c>
      <c r="L38" s="22" t="n">
        <v>0</v>
      </c>
      <c r="M38" s="22" t="n">
        <v>0</v>
      </c>
      <c r="N38" s="22" t="n">
        <v>0</v>
      </c>
      <c r="O38" s="22" t="n">
        <v>0</v>
      </c>
      <c r="P38" s="22" t="n">
        <v>0</v>
      </c>
      <c r="Q38" s="22" t="n">
        <v>0</v>
      </c>
      <c r="R38" s="22" t="n">
        <v>0</v>
      </c>
      <c r="S38" s="22" t="n">
        <v>0</v>
      </c>
      <c r="T38" s="22" t="n">
        <v>0</v>
      </c>
      <c r="U38" s="3">
        <f>IF(OR(N38=1,Q38=1),1,0)</f>
        <v/>
      </c>
      <c r="V38" s="3">
        <f>IF(OR(T38=1,P38=1),1,0)</f>
        <v/>
      </c>
      <c r="W38" s="3">
        <f>IF(OR(J38=1),1,0)</f>
        <v/>
      </c>
      <c r="X38" s="3">
        <f>IF(OR(I38=1,H38=1),1,0)</f>
        <v/>
      </c>
      <c r="Y38" s="3">
        <f>IF(OR(G38=1),1,0)</f>
        <v/>
      </c>
      <c r="Z38" s="3">
        <f>IF(OR(F38=1),1,0)</f>
        <v/>
      </c>
      <c r="AA38" s="3">
        <f>IF(OR(M38=1),1,0)</f>
        <v/>
      </c>
    </row>
    <row r="39">
      <c r="A39" s="22" t="inlineStr">
        <is>
          <t>437a740b0df8175f21a6ce505b69b4f93842da48</t>
        </is>
      </c>
      <c r="B39" s="22" t="inlineStr">
        <is>
          <t>2026-02</t>
        </is>
      </c>
      <c r="C39" s="22" t="inlineStr">
        <is>
          <t>YouTube</t>
        </is>
      </c>
      <c r="D39" s="22" t="n">
        <v>0</v>
      </c>
      <c r="E39" s="22" t="inlineStr">
        <is>
          <t>Channels Television</t>
        </is>
      </c>
      <c r="F39" s="22" t="inlineStr">
        <is>
          <t>95HiAsHA5Qs</t>
        </is>
      </c>
      <c r="G39" s="22" t="n">
        <v>0.836</v>
      </c>
      <c r="H39" s="22" t="n">
        <v>1</v>
      </c>
      <c r="I39" s="22" t="n">
        <v>0</v>
      </c>
      <c r="J39" s="22" t="n">
        <v>0</v>
      </c>
      <c r="K39" s="22" t="n">
        <v>0</v>
      </c>
      <c r="L39" s="22" t="n">
        <v>0</v>
      </c>
      <c r="M39" s="22" t="n">
        <v>0</v>
      </c>
      <c r="N39" s="22" t="n">
        <v>0</v>
      </c>
      <c r="O39" s="22" t="n">
        <v>0</v>
      </c>
      <c r="P39" s="22" t="n">
        <v>0</v>
      </c>
      <c r="Q39" s="22" t="n">
        <v>0</v>
      </c>
      <c r="R39" s="22" t="n">
        <v>0</v>
      </c>
      <c r="S39" s="22" t="n">
        <v>0</v>
      </c>
      <c r="T39" s="22" t="n">
        <v>0</v>
      </c>
      <c r="U39" s="3">
        <f>IF(OR(N39=1,Q39=1),1,0)</f>
        <v/>
      </c>
      <c r="V39" s="3">
        <f>IF(OR(T39=1,P39=1),1,0)</f>
        <v/>
      </c>
      <c r="W39" s="3">
        <f>IF(OR(J39=1),1,0)</f>
        <v/>
      </c>
      <c r="X39" s="3">
        <f>IF(OR(I39=1,H39=1),1,0)</f>
        <v/>
      </c>
      <c r="Y39" s="3">
        <f>IF(OR(G39=1),1,0)</f>
        <v/>
      </c>
      <c r="Z39" s="3">
        <f>IF(OR(F39=1),1,0)</f>
        <v/>
      </c>
      <c r="AA39" s="3">
        <f>IF(OR(M39=1),1,0)</f>
        <v/>
      </c>
    </row>
    <row r="40">
      <c r="A40" s="22" t="inlineStr">
        <is>
          <t>ab566005db95424474b8ff17cfaa96eb6e57da7b</t>
        </is>
      </c>
      <c r="B40" s="22" t="inlineStr">
        <is>
          <t>2026-02</t>
        </is>
      </c>
      <c r="C40" s="22" t="inlineStr">
        <is>
          <t>YouTube</t>
        </is>
      </c>
      <c r="D40" s="22" t="n">
        <v>0</v>
      </c>
      <c r="E40" s="22" t="inlineStr">
        <is>
          <t>Channels Television</t>
        </is>
      </c>
      <c r="F40" s="22" t="inlineStr">
        <is>
          <t>95HiAsHA5Qs</t>
        </is>
      </c>
      <c r="G40" s="22" t="n">
        <v>-0.493</v>
      </c>
      <c r="H40" s="22" t="n">
        <v>0</v>
      </c>
      <c r="I40" s="22" t="n">
        <v>0</v>
      </c>
      <c r="J40" s="22" t="n">
        <v>0</v>
      </c>
      <c r="K40" s="22" t="n">
        <v>0</v>
      </c>
      <c r="L40" s="22" t="n">
        <v>0</v>
      </c>
      <c r="M40" s="22" t="n">
        <v>0</v>
      </c>
      <c r="N40" s="22" t="n">
        <v>0</v>
      </c>
      <c r="O40" s="22" t="n">
        <v>1</v>
      </c>
      <c r="P40" s="22" t="n">
        <v>0</v>
      </c>
      <c r="Q40" s="22" t="n">
        <v>0</v>
      </c>
      <c r="R40" s="22" t="n">
        <v>0</v>
      </c>
      <c r="S40" s="22" t="n">
        <v>0</v>
      </c>
      <c r="T40" s="22" t="n">
        <v>0</v>
      </c>
      <c r="U40" s="3">
        <f>IF(OR(N40=1,Q40=1),1,0)</f>
        <v/>
      </c>
      <c r="V40" s="3">
        <f>IF(OR(T40=1,P40=1),1,0)</f>
        <v/>
      </c>
      <c r="W40" s="3">
        <f>IF(OR(J40=1),1,0)</f>
        <v/>
      </c>
      <c r="X40" s="3">
        <f>IF(OR(I40=1,H40=1),1,0)</f>
        <v/>
      </c>
      <c r="Y40" s="3">
        <f>IF(OR(G40=1),1,0)</f>
        <v/>
      </c>
      <c r="Z40" s="3">
        <f>IF(OR(F40=1),1,0)</f>
        <v/>
      </c>
      <c r="AA40" s="3">
        <f>IF(OR(M40=1),1,0)</f>
        <v/>
      </c>
    </row>
    <row r="41">
      <c r="A41" s="22" t="inlineStr">
        <is>
          <t>d072c1cbb02a1623e00d201739e84a2eca12015f</t>
        </is>
      </c>
      <c r="B41" s="22" t="inlineStr">
        <is>
          <t>2026-02</t>
        </is>
      </c>
      <c r="C41" s="22" t="inlineStr">
        <is>
          <t>YouTube</t>
        </is>
      </c>
      <c r="D41" s="22" t="n">
        <v>0</v>
      </c>
      <c r="E41" s="22" t="inlineStr">
        <is>
          <t>Channels Television</t>
        </is>
      </c>
      <c r="F41" s="22" t="inlineStr">
        <is>
          <t>95HiAsHA5Qs</t>
        </is>
      </c>
      <c r="G41" s="22" t="n">
        <v>0.492</v>
      </c>
      <c r="H41" s="22" t="n">
        <v>0</v>
      </c>
      <c r="I41" s="22" t="n">
        <v>1</v>
      </c>
      <c r="J41" s="22" t="n">
        <v>0</v>
      </c>
      <c r="K41" s="22" t="n">
        <v>0</v>
      </c>
      <c r="L41" s="22" t="n">
        <v>0</v>
      </c>
      <c r="M41" s="22" t="n">
        <v>0</v>
      </c>
      <c r="N41" s="22" t="n">
        <v>0</v>
      </c>
      <c r="O41" s="22" t="n">
        <v>0</v>
      </c>
      <c r="P41" s="22" t="n">
        <v>0</v>
      </c>
      <c r="Q41" s="22" t="n">
        <v>0</v>
      </c>
      <c r="R41" s="22" t="n">
        <v>0</v>
      </c>
      <c r="S41" s="22" t="n">
        <v>0</v>
      </c>
      <c r="T41" s="22" t="n">
        <v>0</v>
      </c>
      <c r="U41" s="3">
        <f>IF(OR(N41=1,Q41=1),1,0)</f>
        <v/>
      </c>
      <c r="V41" s="3">
        <f>IF(OR(T41=1,P41=1),1,0)</f>
        <v/>
      </c>
      <c r="W41" s="3">
        <f>IF(OR(J41=1),1,0)</f>
        <v/>
      </c>
      <c r="X41" s="3">
        <f>IF(OR(I41=1,H41=1),1,0)</f>
        <v/>
      </c>
      <c r="Y41" s="3">
        <f>IF(OR(G41=1),1,0)</f>
        <v/>
      </c>
      <c r="Z41" s="3">
        <f>IF(OR(F41=1),1,0)</f>
        <v/>
      </c>
      <c r="AA41" s="3">
        <f>IF(OR(M41=1),1,0)</f>
        <v/>
      </c>
    </row>
    <row r="42">
      <c r="A42" s="22" t="inlineStr">
        <is>
          <t>5771018de8a58d0cd01644e1ad0524149cccdf82</t>
        </is>
      </c>
      <c r="B42" s="22" t="inlineStr">
        <is>
          <t>2026-02</t>
        </is>
      </c>
      <c r="C42" s="22" t="inlineStr">
        <is>
          <t>YouTube</t>
        </is>
      </c>
      <c r="D42" s="22" t="n">
        <v>0</v>
      </c>
      <c r="E42" s="22" t="inlineStr">
        <is>
          <t>Channels Television</t>
        </is>
      </c>
      <c r="F42" s="22" t="inlineStr">
        <is>
          <t>95HiAsHA5Qs</t>
        </is>
      </c>
      <c r="G42" s="22" t="n">
        <v>0.727</v>
      </c>
      <c r="H42" s="22" t="n">
        <v>0</v>
      </c>
      <c r="I42" s="22" t="n">
        <v>1</v>
      </c>
      <c r="J42" s="22" t="n">
        <v>0</v>
      </c>
      <c r="K42" s="22" t="n">
        <v>0</v>
      </c>
      <c r="L42" s="22" t="n">
        <v>0</v>
      </c>
      <c r="M42" s="22" t="n">
        <v>0</v>
      </c>
      <c r="N42" s="22" t="n">
        <v>0</v>
      </c>
      <c r="O42" s="22" t="n">
        <v>0</v>
      </c>
      <c r="P42" s="22" t="n">
        <v>0</v>
      </c>
      <c r="Q42" s="22" t="n">
        <v>0</v>
      </c>
      <c r="R42" s="22" t="n">
        <v>0</v>
      </c>
      <c r="S42" s="22" t="n">
        <v>0</v>
      </c>
      <c r="T42" s="22" t="n">
        <v>0</v>
      </c>
      <c r="U42" s="3">
        <f>IF(OR(N42=1,Q42=1),1,0)</f>
        <v/>
      </c>
      <c r="V42" s="3">
        <f>IF(OR(T42=1,P42=1),1,0)</f>
        <v/>
      </c>
      <c r="W42" s="3">
        <f>IF(OR(J42=1),1,0)</f>
        <v/>
      </c>
      <c r="X42" s="3">
        <f>IF(OR(I42=1,H42=1),1,0)</f>
        <v/>
      </c>
      <c r="Y42" s="3">
        <f>IF(OR(G42=1),1,0)</f>
        <v/>
      </c>
      <c r="Z42" s="3">
        <f>IF(OR(F42=1),1,0)</f>
        <v/>
      </c>
      <c r="AA42" s="3">
        <f>IF(OR(M42=1),1,0)</f>
        <v/>
      </c>
    </row>
    <row r="43">
      <c r="A43" s="22" t="inlineStr">
        <is>
          <t>bb99cc3e080e5646b08e8e11463bc6e15de9541b</t>
        </is>
      </c>
      <c r="B43" s="22" t="inlineStr">
        <is>
          <t>2026-02</t>
        </is>
      </c>
      <c r="C43" s="22" t="inlineStr">
        <is>
          <t>YouTube</t>
        </is>
      </c>
      <c r="D43" s="22" t="n">
        <v>0</v>
      </c>
      <c r="E43" s="22" t="inlineStr">
        <is>
          <t>Channels Television</t>
        </is>
      </c>
      <c r="F43" s="22" t="inlineStr">
        <is>
          <t>95HiAsHA5Qs</t>
        </is>
      </c>
      <c r="G43" s="22" t="n">
        <v>-0.296</v>
      </c>
      <c r="H43" s="22" t="n">
        <v>0</v>
      </c>
      <c r="I43" s="22" t="n">
        <v>1</v>
      </c>
      <c r="J43" s="22" t="n">
        <v>0</v>
      </c>
      <c r="K43" s="22" t="n">
        <v>0</v>
      </c>
      <c r="L43" s="22" t="n">
        <v>0</v>
      </c>
      <c r="M43" s="22" t="n">
        <v>0</v>
      </c>
      <c r="N43" s="22" t="n">
        <v>0</v>
      </c>
      <c r="O43" s="22" t="n">
        <v>0</v>
      </c>
      <c r="P43" s="22" t="n">
        <v>0</v>
      </c>
      <c r="Q43" s="22" t="n">
        <v>0</v>
      </c>
      <c r="R43" s="22" t="n">
        <v>0</v>
      </c>
      <c r="S43" s="22" t="n">
        <v>0</v>
      </c>
      <c r="T43" s="22" t="n">
        <v>0</v>
      </c>
      <c r="U43" s="3">
        <f>IF(OR(N43=1,Q43=1),1,0)</f>
        <v/>
      </c>
      <c r="V43" s="3">
        <f>IF(OR(T43=1,P43=1),1,0)</f>
        <v/>
      </c>
      <c r="W43" s="3">
        <f>IF(OR(J43=1),1,0)</f>
        <v/>
      </c>
      <c r="X43" s="3">
        <f>IF(OR(I43=1,H43=1),1,0)</f>
        <v/>
      </c>
      <c r="Y43" s="3">
        <f>IF(OR(G43=1),1,0)</f>
        <v/>
      </c>
      <c r="Z43" s="3">
        <f>IF(OR(F43=1),1,0)</f>
        <v/>
      </c>
      <c r="AA43" s="3">
        <f>IF(OR(M43=1),1,0)</f>
        <v/>
      </c>
    </row>
    <row r="44">
      <c r="A44" s="22" t="inlineStr">
        <is>
          <t>f46e8bf4d54a19bbecd39f36869bb312e28013b1</t>
        </is>
      </c>
      <c r="B44" s="22" t="inlineStr">
        <is>
          <t>2026-02</t>
        </is>
      </c>
      <c r="C44" s="22" t="inlineStr">
        <is>
          <t>YouTube</t>
        </is>
      </c>
      <c r="D44" s="22" t="n">
        <v>0</v>
      </c>
      <c r="E44" s="22" t="inlineStr">
        <is>
          <t>Channels Television</t>
        </is>
      </c>
      <c r="F44" s="22" t="inlineStr">
        <is>
          <t>95HiAsHA5Qs</t>
        </is>
      </c>
      <c r="G44" s="22" t="n">
        <v>-0.904</v>
      </c>
      <c r="H44" s="22" t="n">
        <v>1</v>
      </c>
      <c r="I44" s="22" t="n">
        <v>0</v>
      </c>
      <c r="J44" s="22" t="n">
        <v>0</v>
      </c>
      <c r="K44" s="22" t="n">
        <v>0</v>
      </c>
      <c r="L44" s="22" t="n">
        <v>0</v>
      </c>
      <c r="M44" s="22" t="n">
        <v>1</v>
      </c>
      <c r="N44" s="22" t="n">
        <v>0</v>
      </c>
      <c r="O44" s="22" t="n">
        <v>1</v>
      </c>
      <c r="P44" s="22" t="n">
        <v>1</v>
      </c>
      <c r="Q44" s="22" t="n">
        <v>0</v>
      </c>
      <c r="R44" s="22" t="n">
        <v>0</v>
      </c>
      <c r="S44" s="22" t="n">
        <v>0</v>
      </c>
      <c r="T44" s="22" t="n">
        <v>0</v>
      </c>
      <c r="U44" s="3">
        <f>IF(OR(N44=1,Q44=1),1,0)</f>
        <v/>
      </c>
      <c r="V44" s="3">
        <f>IF(OR(T44=1,P44=1),1,0)</f>
        <v/>
      </c>
      <c r="W44" s="3">
        <f>IF(OR(J44=1),1,0)</f>
        <v/>
      </c>
      <c r="X44" s="3">
        <f>IF(OR(I44=1,H44=1),1,0)</f>
        <v/>
      </c>
      <c r="Y44" s="3">
        <f>IF(OR(G44=1),1,0)</f>
        <v/>
      </c>
      <c r="Z44" s="3">
        <f>IF(OR(F44=1),1,0)</f>
        <v/>
      </c>
      <c r="AA44" s="3">
        <f>IF(OR(M44=1),1,0)</f>
        <v/>
      </c>
    </row>
    <row r="45">
      <c r="A45" s="22" t="inlineStr">
        <is>
          <t>6d6c8df0144aa4a9418aad467809c8d0b79612d3</t>
        </is>
      </c>
      <c r="B45" s="22" t="inlineStr">
        <is>
          <t>2026-02</t>
        </is>
      </c>
      <c r="C45" s="22" t="inlineStr">
        <is>
          <t>YouTube</t>
        </is>
      </c>
      <c r="D45" s="22" t="n">
        <v>0</v>
      </c>
      <c r="E45" s="22" t="inlineStr">
        <is>
          <t>Channels Television</t>
        </is>
      </c>
      <c r="F45" s="22" t="inlineStr">
        <is>
          <t>95HiAsHA5Qs</t>
        </is>
      </c>
      <c r="G45" s="22" t="n">
        <v>0.077</v>
      </c>
      <c r="H45" s="22" t="n">
        <v>0</v>
      </c>
      <c r="I45" s="22" t="n">
        <v>1</v>
      </c>
      <c r="J45" s="22" t="n">
        <v>0</v>
      </c>
      <c r="K45" s="22" t="n">
        <v>0</v>
      </c>
      <c r="L45" s="22" t="n">
        <v>0</v>
      </c>
      <c r="M45" s="22" t="n">
        <v>0</v>
      </c>
      <c r="N45" s="22" t="n">
        <v>0</v>
      </c>
      <c r="O45" s="22" t="n">
        <v>0</v>
      </c>
      <c r="P45" s="22" t="n">
        <v>0</v>
      </c>
      <c r="Q45" s="22" t="n">
        <v>0</v>
      </c>
      <c r="R45" s="22" t="n">
        <v>0</v>
      </c>
      <c r="S45" s="22" t="n">
        <v>0</v>
      </c>
      <c r="T45" s="22" t="n">
        <v>0</v>
      </c>
      <c r="U45" s="3">
        <f>IF(OR(N45=1,Q45=1),1,0)</f>
        <v/>
      </c>
      <c r="V45" s="3">
        <f>IF(OR(T45=1,P45=1),1,0)</f>
        <v/>
      </c>
      <c r="W45" s="3">
        <f>IF(OR(J45=1),1,0)</f>
        <v/>
      </c>
      <c r="X45" s="3">
        <f>IF(OR(I45=1,H45=1),1,0)</f>
        <v/>
      </c>
      <c r="Y45" s="3">
        <f>IF(OR(G45=1),1,0)</f>
        <v/>
      </c>
      <c r="Z45" s="3">
        <f>IF(OR(F45=1),1,0)</f>
        <v/>
      </c>
      <c r="AA45" s="3">
        <f>IF(OR(M45=1),1,0)</f>
        <v/>
      </c>
    </row>
    <row r="46">
      <c r="A46" s="22" t="inlineStr">
        <is>
          <t>88b89a77f0345a87cb9ac392a1f5ece2308ae2be</t>
        </is>
      </c>
      <c r="B46" s="22" t="inlineStr">
        <is>
          <t>2026-02</t>
        </is>
      </c>
      <c r="C46" s="22" t="inlineStr">
        <is>
          <t>YouTube</t>
        </is>
      </c>
      <c r="D46" s="22" t="n">
        <v>0</v>
      </c>
      <c r="E46" s="22" t="inlineStr">
        <is>
          <t>Arise News</t>
        </is>
      </c>
      <c r="F46" s="22" t="inlineStr">
        <is>
          <t>CNZzx2veECs</t>
        </is>
      </c>
      <c r="G46" s="22" t="n">
        <v>-0.884</v>
      </c>
      <c r="H46" s="22" t="n">
        <v>0</v>
      </c>
      <c r="I46" s="22" t="n">
        <v>0</v>
      </c>
      <c r="J46" s="22" t="n">
        <v>0</v>
      </c>
      <c r="K46" s="22" t="n">
        <v>0</v>
      </c>
      <c r="L46" s="22" t="n">
        <v>0</v>
      </c>
      <c r="M46" s="22" t="n">
        <v>1</v>
      </c>
      <c r="N46" s="22" t="n">
        <v>0</v>
      </c>
      <c r="O46" s="22" t="n">
        <v>0</v>
      </c>
      <c r="P46" s="22" t="n">
        <v>0</v>
      </c>
      <c r="Q46" s="22" t="n">
        <v>0</v>
      </c>
      <c r="R46" s="22" t="n">
        <v>0</v>
      </c>
      <c r="S46" s="22" t="n">
        <v>0</v>
      </c>
      <c r="T46" s="22" t="n">
        <v>0</v>
      </c>
      <c r="U46" s="3">
        <f>IF(OR(N46=1,Q46=1),1,0)</f>
        <v/>
      </c>
      <c r="V46" s="3">
        <f>IF(OR(T46=1,P46=1),1,0)</f>
        <v/>
      </c>
      <c r="W46" s="3">
        <f>IF(OR(J46=1),1,0)</f>
        <v/>
      </c>
      <c r="X46" s="3">
        <f>IF(OR(I46=1,H46=1),1,0)</f>
        <v/>
      </c>
      <c r="Y46" s="3">
        <f>IF(OR(G46=1),1,0)</f>
        <v/>
      </c>
      <c r="Z46" s="3">
        <f>IF(OR(F46=1),1,0)</f>
        <v/>
      </c>
      <c r="AA46" s="3">
        <f>IF(OR(M46=1),1,0)</f>
        <v/>
      </c>
    </row>
    <row r="47">
      <c r="A47" s="22" t="inlineStr">
        <is>
          <t>b77215e8e8f6c4eec1d86b139c82f1ca66a4fc71</t>
        </is>
      </c>
      <c r="B47" s="22" t="inlineStr">
        <is>
          <t>2026-02</t>
        </is>
      </c>
      <c r="C47" s="22" t="inlineStr">
        <is>
          <t>YouTube</t>
        </is>
      </c>
      <c r="D47" s="22" t="n">
        <v>0</v>
      </c>
      <c r="E47" s="22" t="inlineStr">
        <is>
          <t>Arise News</t>
        </is>
      </c>
      <c r="F47" s="22" t="inlineStr">
        <is>
          <t>CNZzx2veECs</t>
        </is>
      </c>
      <c r="G47" s="22" t="n">
        <v>-0.477</v>
      </c>
      <c r="H47" s="22" t="n">
        <v>0</v>
      </c>
      <c r="I47" s="22" t="n">
        <v>0</v>
      </c>
      <c r="J47" s="22" t="n">
        <v>0</v>
      </c>
      <c r="K47" s="22" t="n">
        <v>0</v>
      </c>
      <c r="L47" s="22" t="n">
        <v>0</v>
      </c>
      <c r="M47" s="22" t="n">
        <v>1</v>
      </c>
      <c r="N47" s="22" t="n">
        <v>0</v>
      </c>
      <c r="O47" s="22" t="n">
        <v>0</v>
      </c>
      <c r="P47" s="22" t="n">
        <v>0</v>
      </c>
      <c r="Q47" s="22" t="n">
        <v>0</v>
      </c>
      <c r="R47" s="22" t="n">
        <v>0</v>
      </c>
      <c r="S47" s="22" t="n">
        <v>0</v>
      </c>
      <c r="T47" s="22" t="n">
        <v>0</v>
      </c>
      <c r="U47" s="3">
        <f>IF(OR(N47=1,Q47=1),1,0)</f>
        <v/>
      </c>
      <c r="V47" s="3">
        <f>IF(OR(T47=1,P47=1),1,0)</f>
        <v/>
      </c>
      <c r="W47" s="3">
        <f>IF(OR(J47=1),1,0)</f>
        <v/>
      </c>
      <c r="X47" s="3">
        <f>IF(OR(I47=1,H47=1),1,0)</f>
        <v/>
      </c>
      <c r="Y47" s="3">
        <f>IF(OR(G47=1),1,0)</f>
        <v/>
      </c>
      <c r="Z47" s="3">
        <f>IF(OR(F47=1),1,0)</f>
        <v/>
      </c>
      <c r="AA47" s="3">
        <f>IF(OR(M47=1),1,0)</f>
        <v/>
      </c>
    </row>
    <row r="48">
      <c r="A48" s="22" t="inlineStr">
        <is>
          <t>1982c67cd416aebc31192d3f7f4ff92c31d04753</t>
        </is>
      </c>
      <c r="B48" s="22" t="inlineStr">
        <is>
          <t>2026-02</t>
        </is>
      </c>
      <c r="C48" s="22" t="inlineStr">
        <is>
          <t>YouTube</t>
        </is>
      </c>
      <c r="D48" s="22" t="n">
        <v>0</v>
      </c>
      <c r="E48" s="22" t="inlineStr">
        <is>
          <t>Arise News</t>
        </is>
      </c>
      <c r="F48" s="22" t="inlineStr">
        <is>
          <t>CNZzx2veECs</t>
        </is>
      </c>
      <c r="G48" s="22" t="n">
        <v>-0.599</v>
      </c>
      <c r="H48" s="22" t="n">
        <v>0</v>
      </c>
      <c r="I48" s="22" t="n">
        <v>0</v>
      </c>
      <c r="J48" s="22" t="n">
        <v>0</v>
      </c>
      <c r="K48" s="22" t="n">
        <v>0</v>
      </c>
      <c r="L48" s="22" t="n">
        <v>0</v>
      </c>
      <c r="M48" s="22" t="n">
        <v>0</v>
      </c>
      <c r="N48" s="22" t="n">
        <v>0</v>
      </c>
      <c r="O48" s="22" t="n">
        <v>1</v>
      </c>
      <c r="P48" s="22" t="n">
        <v>0</v>
      </c>
      <c r="Q48" s="22" t="n">
        <v>0</v>
      </c>
      <c r="R48" s="22" t="n">
        <v>0</v>
      </c>
      <c r="S48" s="22" t="n">
        <v>0</v>
      </c>
      <c r="T48" s="22" t="n">
        <v>0</v>
      </c>
      <c r="U48" s="3">
        <f>IF(OR(N48=1,Q48=1),1,0)</f>
        <v/>
      </c>
      <c r="V48" s="3">
        <f>IF(OR(T48=1,P48=1),1,0)</f>
        <v/>
      </c>
      <c r="W48" s="3">
        <f>IF(OR(J48=1),1,0)</f>
        <v/>
      </c>
      <c r="X48" s="3">
        <f>IF(OR(I48=1,H48=1),1,0)</f>
        <v/>
      </c>
      <c r="Y48" s="3">
        <f>IF(OR(G48=1),1,0)</f>
        <v/>
      </c>
      <c r="Z48" s="3">
        <f>IF(OR(F48=1),1,0)</f>
        <v/>
      </c>
      <c r="AA48" s="3">
        <f>IF(OR(M48=1),1,0)</f>
        <v/>
      </c>
    </row>
    <row r="49">
      <c r="A49" s="22" t="inlineStr">
        <is>
          <t>9b2c6a05a3ca881f94cd3630ba40fa35cb176a63</t>
        </is>
      </c>
      <c r="B49" s="22" t="inlineStr">
        <is>
          <t>2026-02</t>
        </is>
      </c>
      <c r="C49" s="22" t="inlineStr">
        <is>
          <t>YouTube</t>
        </is>
      </c>
      <c r="D49" s="22" t="n">
        <v>0</v>
      </c>
      <c r="E49" s="22" t="inlineStr">
        <is>
          <t>Arise News</t>
        </is>
      </c>
      <c r="F49" s="22" t="inlineStr">
        <is>
          <t>CNZzx2veECs</t>
        </is>
      </c>
      <c r="G49" s="22" t="n">
        <v>0.347</v>
      </c>
      <c r="H49" s="22" t="n">
        <v>0</v>
      </c>
      <c r="I49" s="22" t="n">
        <v>1</v>
      </c>
      <c r="J49" s="22" t="n">
        <v>0</v>
      </c>
      <c r="K49" s="22" t="n">
        <v>0</v>
      </c>
      <c r="L49" s="22" t="n">
        <v>0</v>
      </c>
      <c r="M49" s="22" t="n">
        <v>0</v>
      </c>
      <c r="N49" s="22" t="n">
        <v>0</v>
      </c>
      <c r="O49" s="22" t="n">
        <v>0</v>
      </c>
      <c r="P49" s="22" t="n">
        <v>0</v>
      </c>
      <c r="Q49" s="22" t="n">
        <v>0</v>
      </c>
      <c r="R49" s="22" t="n">
        <v>0</v>
      </c>
      <c r="S49" s="22" t="n">
        <v>0</v>
      </c>
      <c r="T49" s="22" t="n">
        <v>0</v>
      </c>
      <c r="U49" s="3">
        <f>IF(OR(N49=1,Q49=1),1,0)</f>
        <v/>
      </c>
      <c r="V49" s="3">
        <f>IF(OR(T49=1,P49=1),1,0)</f>
        <v/>
      </c>
      <c r="W49" s="3">
        <f>IF(OR(J49=1),1,0)</f>
        <v/>
      </c>
      <c r="X49" s="3">
        <f>IF(OR(I49=1,H49=1),1,0)</f>
        <v/>
      </c>
      <c r="Y49" s="3">
        <f>IF(OR(G49=1),1,0)</f>
        <v/>
      </c>
      <c r="Z49" s="3">
        <f>IF(OR(F49=1),1,0)</f>
        <v/>
      </c>
      <c r="AA49" s="3">
        <f>IF(OR(M49=1),1,0)</f>
        <v/>
      </c>
    </row>
    <row r="50">
      <c r="A50" s="22" t="inlineStr">
        <is>
          <t>8ddd3590ade08f200fa6fda0fd82472335622a8c</t>
        </is>
      </c>
      <c r="B50" s="22" t="inlineStr">
        <is>
          <t>2026-02</t>
        </is>
      </c>
      <c r="C50" s="22" t="inlineStr">
        <is>
          <t>YouTube</t>
        </is>
      </c>
      <c r="D50" s="22" t="n">
        <v>0</v>
      </c>
      <c r="E50" s="22" t="inlineStr">
        <is>
          <t>Arise News</t>
        </is>
      </c>
      <c r="F50" s="22" t="inlineStr">
        <is>
          <t>CNZzx2veECs</t>
        </is>
      </c>
      <c r="G50" s="22" t="n">
        <v>-0.34</v>
      </c>
      <c r="H50" s="22" t="n">
        <v>1</v>
      </c>
      <c r="I50" s="22" t="n">
        <v>1</v>
      </c>
      <c r="J50" s="22" t="n">
        <v>0</v>
      </c>
      <c r="K50" s="22" t="n">
        <v>0</v>
      </c>
      <c r="L50" s="22" t="n">
        <v>0</v>
      </c>
      <c r="M50" s="22" t="n">
        <v>0</v>
      </c>
      <c r="N50" s="22" t="n">
        <v>0</v>
      </c>
      <c r="O50" s="22" t="n">
        <v>0</v>
      </c>
      <c r="P50" s="22" t="n">
        <v>0</v>
      </c>
      <c r="Q50" s="22" t="n">
        <v>0</v>
      </c>
      <c r="R50" s="22" t="n">
        <v>0</v>
      </c>
      <c r="S50" s="22" t="n">
        <v>0</v>
      </c>
      <c r="T50" s="22" t="n">
        <v>0</v>
      </c>
      <c r="U50" s="3">
        <f>IF(OR(N50=1,Q50=1),1,0)</f>
        <v/>
      </c>
      <c r="V50" s="3">
        <f>IF(OR(T50=1,P50=1),1,0)</f>
        <v/>
      </c>
      <c r="W50" s="3">
        <f>IF(OR(J50=1),1,0)</f>
        <v/>
      </c>
      <c r="X50" s="3">
        <f>IF(OR(I50=1,H50=1),1,0)</f>
        <v/>
      </c>
      <c r="Y50" s="3">
        <f>IF(OR(G50=1),1,0)</f>
        <v/>
      </c>
      <c r="Z50" s="3">
        <f>IF(OR(F50=1),1,0)</f>
        <v/>
      </c>
      <c r="AA50" s="3">
        <f>IF(OR(M50=1),1,0)</f>
        <v/>
      </c>
    </row>
    <row r="51">
      <c r="A51" s="22" t="inlineStr">
        <is>
          <t>229d09ee64f5094bce2ff94c0b493d7de3e58837</t>
        </is>
      </c>
      <c r="B51" s="22" t="inlineStr">
        <is>
          <t>2026-02</t>
        </is>
      </c>
      <c r="C51" s="22" t="inlineStr">
        <is>
          <t>YouTube</t>
        </is>
      </c>
      <c r="D51" s="22" t="n">
        <v>0</v>
      </c>
      <c r="E51" s="22" t="inlineStr">
        <is>
          <t>Arise News</t>
        </is>
      </c>
      <c r="F51" s="22" t="inlineStr">
        <is>
          <t>CNZzx2veECs</t>
        </is>
      </c>
      <c r="G51" s="22" t="n">
        <v>-0.802</v>
      </c>
      <c r="H51" s="22" t="n">
        <v>1</v>
      </c>
      <c r="I51" s="22" t="n">
        <v>1</v>
      </c>
      <c r="J51" s="22" t="n">
        <v>0</v>
      </c>
      <c r="K51" s="22" t="n">
        <v>0</v>
      </c>
      <c r="L51" s="22" t="n">
        <v>0</v>
      </c>
      <c r="M51" s="22" t="n">
        <v>0</v>
      </c>
      <c r="N51" s="22" t="n">
        <v>0</v>
      </c>
      <c r="O51" s="22" t="n">
        <v>0</v>
      </c>
      <c r="P51" s="22" t="n">
        <v>0</v>
      </c>
      <c r="Q51" s="22" t="n">
        <v>0</v>
      </c>
      <c r="R51" s="22" t="n">
        <v>0</v>
      </c>
      <c r="S51" s="22" t="n">
        <v>0</v>
      </c>
      <c r="T51" s="22" t="n">
        <v>0</v>
      </c>
      <c r="U51" s="3">
        <f>IF(OR(N51=1,Q51=1),1,0)</f>
        <v/>
      </c>
      <c r="V51" s="3">
        <f>IF(OR(T51=1,P51=1),1,0)</f>
        <v/>
      </c>
      <c r="W51" s="3">
        <f>IF(OR(J51=1),1,0)</f>
        <v/>
      </c>
      <c r="X51" s="3">
        <f>IF(OR(I51=1,H51=1),1,0)</f>
        <v/>
      </c>
      <c r="Y51" s="3">
        <f>IF(OR(G51=1),1,0)</f>
        <v/>
      </c>
      <c r="Z51" s="3">
        <f>IF(OR(F51=1),1,0)</f>
        <v/>
      </c>
      <c r="AA51" s="3">
        <f>IF(OR(M51=1),1,0)</f>
        <v/>
      </c>
    </row>
    <row r="52">
      <c r="A52" s="22" t="inlineStr">
        <is>
          <t>91c85d81913a57d0baef0553358f77e45dc138d9</t>
        </is>
      </c>
      <c r="B52" s="22" t="inlineStr">
        <is>
          <t>2026-02</t>
        </is>
      </c>
      <c r="C52" s="22" t="inlineStr">
        <is>
          <t>YouTube</t>
        </is>
      </c>
      <c r="D52" s="22" t="n">
        <v>0</v>
      </c>
      <c r="E52" s="22" t="inlineStr">
        <is>
          <t>Arise News</t>
        </is>
      </c>
      <c r="F52" s="22" t="inlineStr">
        <is>
          <t>CNZzx2veECs</t>
        </is>
      </c>
      <c r="G52" s="22" t="n">
        <v>-0.103</v>
      </c>
      <c r="H52" s="22" t="n">
        <v>0</v>
      </c>
      <c r="I52" s="22" t="n">
        <v>0</v>
      </c>
      <c r="J52" s="22" t="n">
        <v>0</v>
      </c>
      <c r="K52" s="22" t="n">
        <v>0</v>
      </c>
      <c r="L52" s="22" t="n">
        <v>0</v>
      </c>
      <c r="M52" s="22" t="n">
        <v>0</v>
      </c>
      <c r="N52" s="22" t="n">
        <v>0</v>
      </c>
      <c r="O52" s="22" t="n">
        <v>1</v>
      </c>
      <c r="P52" s="22" t="n">
        <v>0</v>
      </c>
      <c r="Q52" s="22" t="n">
        <v>0</v>
      </c>
      <c r="R52" s="22" t="n">
        <v>0</v>
      </c>
      <c r="S52" s="22" t="n">
        <v>0</v>
      </c>
      <c r="T52" s="22" t="n">
        <v>0</v>
      </c>
      <c r="U52" s="3">
        <f>IF(OR(N52=1,Q52=1),1,0)</f>
        <v/>
      </c>
      <c r="V52" s="3">
        <f>IF(OR(T52=1,P52=1),1,0)</f>
        <v/>
      </c>
      <c r="W52" s="3">
        <f>IF(OR(J52=1),1,0)</f>
        <v/>
      </c>
      <c r="X52" s="3">
        <f>IF(OR(I52=1,H52=1),1,0)</f>
        <v/>
      </c>
      <c r="Y52" s="3">
        <f>IF(OR(G52=1),1,0)</f>
        <v/>
      </c>
      <c r="Z52" s="3">
        <f>IF(OR(F52=1),1,0)</f>
        <v/>
      </c>
      <c r="AA52" s="3">
        <f>IF(OR(M52=1),1,0)</f>
        <v/>
      </c>
    </row>
    <row r="53">
      <c r="A53" s="22" t="inlineStr">
        <is>
          <t>fa90dab9c803043b885e0f2680940752d7f97bbd</t>
        </is>
      </c>
      <c r="B53" s="22" t="inlineStr">
        <is>
          <t>2026-02</t>
        </is>
      </c>
      <c r="C53" s="22" t="inlineStr">
        <is>
          <t>YouTube</t>
        </is>
      </c>
      <c r="D53" s="22" t="n">
        <v>0</v>
      </c>
      <c r="E53" s="22" t="inlineStr">
        <is>
          <t>Arise News</t>
        </is>
      </c>
      <c r="F53" s="22" t="inlineStr">
        <is>
          <t>CNZzx2veECs</t>
        </is>
      </c>
      <c r="G53" s="22" t="n">
        <v>-0.463</v>
      </c>
      <c r="H53" s="22" t="n">
        <v>0</v>
      </c>
      <c r="I53" s="22" t="n">
        <v>0</v>
      </c>
      <c r="J53" s="22" t="n">
        <v>0</v>
      </c>
      <c r="K53" s="22" t="n">
        <v>0</v>
      </c>
      <c r="L53" s="22" t="n">
        <v>0</v>
      </c>
      <c r="M53" s="22" t="n">
        <v>0</v>
      </c>
      <c r="N53" s="22" t="n">
        <v>0</v>
      </c>
      <c r="O53" s="22" t="n">
        <v>1</v>
      </c>
      <c r="P53" s="22" t="n">
        <v>0</v>
      </c>
      <c r="Q53" s="22" t="n">
        <v>0</v>
      </c>
      <c r="R53" s="22" t="n">
        <v>0</v>
      </c>
      <c r="S53" s="22" t="n">
        <v>0</v>
      </c>
      <c r="T53" s="22" t="n">
        <v>0</v>
      </c>
      <c r="U53" s="3">
        <f>IF(OR(N53=1,Q53=1),1,0)</f>
        <v/>
      </c>
      <c r="V53" s="3">
        <f>IF(OR(T53=1,P53=1),1,0)</f>
        <v/>
      </c>
      <c r="W53" s="3">
        <f>IF(OR(J53=1),1,0)</f>
        <v/>
      </c>
      <c r="X53" s="3">
        <f>IF(OR(I53=1,H53=1),1,0)</f>
        <v/>
      </c>
      <c r="Y53" s="3">
        <f>IF(OR(G53=1),1,0)</f>
        <v/>
      </c>
      <c r="Z53" s="3">
        <f>IF(OR(F53=1),1,0)</f>
        <v/>
      </c>
      <c r="AA53" s="3">
        <f>IF(OR(M53=1),1,0)</f>
        <v/>
      </c>
    </row>
    <row r="54">
      <c r="A54" s="22" t="inlineStr">
        <is>
          <t>25f1716c8e78ead52114892cd65a58b66ea0fd5c</t>
        </is>
      </c>
      <c r="B54" s="22" t="inlineStr">
        <is>
          <t>2026-02</t>
        </is>
      </c>
      <c r="C54" s="22" t="inlineStr">
        <is>
          <t>YouTube</t>
        </is>
      </c>
      <c r="D54" s="22" t="n">
        <v>0</v>
      </c>
      <c r="E54" s="22" t="inlineStr">
        <is>
          <t>Arise News</t>
        </is>
      </c>
      <c r="F54" s="22" t="inlineStr">
        <is>
          <t>CNZzx2veECs</t>
        </is>
      </c>
      <c r="G54" s="22" t="n">
        <v>0</v>
      </c>
      <c r="H54" s="22" t="n">
        <v>0</v>
      </c>
      <c r="I54" s="22" t="n">
        <v>0</v>
      </c>
      <c r="J54" s="22" t="n">
        <v>0</v>
      </c>
      <c r="K54" s="22" t="n">
        <v>0</v>
      </c>
      <c r="L54" s="22" t="n">
        <v>0</v>
      </c>
      <c r="M54" s="22" t="n">
        <v>0</v>
      </c>
      <c r="N54" s="22" t="n">
        <v>1</v>
      </c>
      <c r="O54" s="22" t="n">
        <v>0</v>
      </c>
      <c r="P54" s="22" t="n">
        <v>0</v>
      </c>
      <c r="Q54" s="22" t="n">
        <v>0</v>
      </c>
      <c r="R54" s="22" t="n">
        <v>0</v>
      </c>
      <c r="S54" s="22" t="n">
        <v>0</v>
      </c>
      <c r="T54" s="22" t="n">
        <v>0</v>
      </c>
      <c r="U54" s="3">
        <f>IF(OR(N54=1,Q54=1),1,0)</f>
        <v/>
      </c>
      <c r="V54" s="3">
        <f>IF(OR(T54=1,P54=1),1,0)</f>
        <v/>
      </c>
      <c r="W54" s="3">
        <f>IF(OR(J54=1),1,0)</f>
        <v/>
      </c>
      <c r="X54" s="3">
        <f>IF(OR(I54=1,H54=1),1,0)</f>
        <v/>
      </c>
      <c r="Y54" s="3">
        <f>IF(OR(G54=1),1,0)</f>
        <v/>
      </c>
      <c r="Z54" s="3">
        <f>IF(OR(F54=1),1,0)</f>
        <v/>
      </c>
      <c r="AA54" s="3">
        <f>IF(OR(M54=1),1,0)</f>
        <v/>
      </c>
    </row>
    <row r="55">
      <c r="A55" s="22" t="inlineStr">
        <is>
          <t>092e9d7f4581b5e34aea9352c48d0902986908b1</t>
        </is>
      </c>
      <c r="B55" s="22" t="inlineStr">
        <is>
          <t>2026-02</t>
        </is>
      </c>
      <c r="C55" s="22" t="inlineStr">
        <is>
          <t>YouTube</t>
        </is>
      </c>
      <c r="D55" s="22" t="n">
        <v>0</v>
      </c>
      <c r="E55" s="22" t="inlineStr">
        <is>
          <t>Arise News</t>
        </is>
      </c>
      <c r="F55" s="22" t="inlineStr">
        <is>
          <t>CNZzx2veECs</t>
        </is>
      </c>
      <c r="G55" s="22" t="n">
        <v>-0.597</v>
      </c>
      <c r="H55" s="22" t="n">
        <v>0</v>
      </c>
      <c r="I55" s="22" t="n">
        <v>0</v>
      </c>
      <c r="J55" s="22" t="n">
        <v>0</v>
      </c>
      <c r="K55" s="22" t="n">
        <v>0</v>
      </c>
      <c r="L55" s="22" t="n">
        <v>0</v>
      </c>
      <c r="M55" s="22" t="n">
        <v>0</v>
      </c>
      <c r="N55" s="22" t="n">
        <v>0</v>
      </c>
      <c r="O55" s="22" t="n">
        <v>1</v>
      </c>
      <c r="P55" s="22" t="n">
        <v>0</v>
      </c>
      <c r="Q55" s="22" t="n">
        <v>0</v>
      </c>
      <c r="R55" s="22" t="n">
        <v>0</v>
      </c>
      <c r="S55" s="22" t="n">
        <v>0</v>
      </c>
      <c r="T55" s="22" t="n">
        <v>0</v>
      </c>
      <c r="U55" s="3">
        <f>IF(OR(N55=1,Q55=1),1,0)</f>
        <v/>
      </c>
      <c r="V55" s="3">
        <f>IF(OR(T55=1,P55=1),1,0)</f>
        <v/>
      </c>
      <c r="W55" s="3">
        <f>IF(OR(J55=1),1,0)</f>
        <v/>
      </c>
      <c r="X55" s="3">
        <f>IF(OR(I55=1,H55=1),1,0)</f>
        <v/>
      </c>
      <c r="Y55" s="3">
        <f>IF(OR(G55=1),1,0)</f>
        <v/>
      </c>
      <c r="Z55" s="3">
        <f>IF(OR(F55=1),1,0)</f>
        <v/>
      </c>
      <c r="AA55" s="3">
        <f>IF(OR(M55=1),1,0)</f>
        <v/>
      </c>
    </row>
    <row r="56">
      <c r="A56" s="22" t="inlineStr">
        <is>
          <t>3cc5a5e54a3c934cd034faeb414dc1216ed71e2b</t>
        </is>
      </c>
      <c r="B56" s="22" t="inlineStr">
        <is>
          <t>2026-02</t>
        </is>
      </c>
      <c r="C56" s="22" t="inlineStr">
        <is>
          <t>YouTube</t>
        </is>
      </c>
      <c r="D56" s="22" t="n">
        <v>0</v>
      </c>
      <c r="E56" s="22" t="inlineStr">
        <is>
          <t>Arise News</t>
        </is>
      </c>
      <c r="F56" s="22" t="inlineStr">
        <is>
          <t>CNZzx2veECs</t>
        </is>
      </c>
      <c r="G56" s="22" t="n">
        <v>0.621</v>
      </c>
      <c r="H56" s="22" t="n">
        <v>0</v>
      </c>
      <c r="I56" s="22" t="n">
        <v>0</v>
      </c>
      <c r="J56" s="22" t="n">
        <v>0</v>
      </c>
      <c r="K56" s="22" t="n">
        <v>0</v>
      </c>
      <c r="L56" s="22" t="n">
        <v>0</v>
      </c>
      <c r="M56" s="22" t="n">
        <v>0</v>
      </c>
      <c r="N56" s="22" t="n">
        <v>0</v>
      </c>
      <c r="O56" s="22" t="n">
        <v>1</v>
      </c>
      <c r="P56" s="22" t="n">
        <v>0</v>
      </c>
      <c r="Q56" s="22" t="n">
        <v>0</v>
      </c>
      <c r="R56" s="22" t="n">
        <v>0</v>
      </c>
      <c r="S56" s="22" t="n">
        <v>0</v>
      </c>
      <c r="T56" s="22" t="n">
        <v>0</v>
      </c>
      <c r="U56" s="3">
        <f>IF(OR(N56=1,Q56=1),1,0)</f>
        <v/>
      </c>
      <c r="V56" s="3">
        <f>IF(OR(T56=1,P56=1),1,0)</f>
        <v/>
      </c>
      <c r="W56" s="3">
        <f>IF(OR(J56=1),1,0)</f>
        <v/>
      </c>
      <c r="X56" s="3">
        <f>IF(OR(I56=1,H56=1),1,0)</f>
        <v/>
      </c>
      <c r="Y56" s="3">
        <f>IF(OR(G56=1),1,0)</f>
        <v/>
      </c>
      <c r="Z56" s="3">
        <f>IF(OR(F56=1),1,0)</f>
        <v/>
      </c>
      <c r="AA56" s="3">
        <f>IF(OR(M56=1),1,0)</f>
        <v/>
      </c>
    </row>
    <row r="57">
      <c r="A57" s="22" t="inlineStr">
        <is>
          <t>d4d38473374d72c1991e7eb5474102f0c820f999</t>
        </is>
      </c>
      <c r="B57" s="22" t="inlineStr">
        <is>
          <t>2026-02</t>
        </is>
      </c>
      <c r="C57" s="22" t="inlineStr">
        <is>
          <t>YouTube</t>
        </is>
      </c>
      <c r="D57" s="22" t="n">
        <v>0</v>
      </c>
      <c r="E57" s="22" t="inlineStr">
        <is>
          <t>Arise News</t>
        </is>
      </c>
      <c r="F57" s="22" t="inlineStr">
        <is>
          <t>CNZzx2veECs</t>
        </is>
      </c>
      <c r="G57" s="22" t="n">
        <v>-0.649</v>
      </c>
      <c r="H57" s="22" t="n">
        <v>0</v>
      </c>
      <c r="I57" s="22" t="n">
        <v>0</v>
      </c>
      <c r="J57" s="22" t="n">
        <v>0</v>
      </c>
      <c r="K57" s="22" t="n">
        <v>0</v>
      </c>
      <c r="L57" s="22" t="n">
        <v>0</v>
      </c>
      <c r="M57" s="22" t="n">
        <v>0</v>
      </c>
      <c r="N57" s="22" t="n">
        <v>0</v>
      </c>
      <c r="O57" s="22" t="n">
        <v>1</v>
      </c>
      <c r="P57" s="22" t="n">
        <v>0</v>
      </c>
      <c r="Q57" s="22" t="n">
        <v>0</v>
      </c>
      <c r="R57" s="22" t="n">
        <v>0</v>
      </c>
      <c r="S57" s="22" t="n">
        <v>0</v>
      </c>
      <c r="T57" s="22" t="n">
        <v>0</v>
      </c>
      <c r="U57" s="3">
        <f>IF(OR(N57=1,Q57=1),1,0)</f>
        <v/>
      </c>
      <c r="V57" s="3">
        <f>IF(OR(T57=1,P57=1),1,0)</f>
        <v/>
      </c>
      <c r="W57" s="3">
        <f>IF(OR(J57=1),1,0)</f>
        <v/>
      </c>
      <c r="X57" s="3">
        <f>IF(OR(I57=1,H57=1),1,0)</f>
        <v/>
      </c>
      <c r="Y57" s="3">
        <f>IF(OR(G57=1),1,0)</f>
        <v/>
      </c>
      <c r="Z57" s="3">
        <f>IF(OR(F57=1),1,0)</f>
        <v/>
      </c>
      <c r="AA57" s="3">
        <f>IF(OR(M57=1),1,0)</f>
        <v/>
      </c>
    </row>
    <row r="58">
      <c r="A58" s="22" t="inlineStr">
        <is>
          <t>adfdb9291d86c276d0937de761527e5a19f68130</t>
        </is>
      </c>
      <c r="B58" s="22" t="inlineStr">
        <is>
          <t>2026-02</t>
        </is>
      </c>
      <c r="C58" s="22" t="inlineStr">
        <is>
          <t>YouTube</t>
        </is>
      </c>
      <c r="D58" s="22" t="n">
        <v>0</v>
      </c>
      <c r="E58" s="22" t="inlineStr">
        <is>
          <t>Arise News</t>
        </is>
      </c>
      <c r="F58" s="22" t="inlineStr">
        <is>
          <t>CNZzx2veECs</t>
        </is>
      </c>
      <c r="G58" s="22" t="n">
        <v>-0.296</v>
      </c>
      <c r="H58" s="22" t="n">
        <v>1</v>
      </c>
      <c r="I58" s="22" t="n">
        <v>0</v>
      </c>
      <c r="J58" s="22" t="n">
        <v>0</v>
      </c>
      <c r="K58" s="22" t="n">
        <v>0</v>
      </c>
      <c r="L58" s="22" t="n">
        <v>0</v>
      </c>
      <c r="M58" s="22" t="n">
        <v>0</v>
      </c>
      <c r="N58" s="22" t="n">
        <v>0</v>
      </c>
      <c r="O58" s="22" t="n">
        <v>1</v>
      </c>
      <c r="P58" s="22" t="n">
        <v>0</v>
      </c>
      <c r="Q58" s="22" t="n">
        <v>0</v>
      </c>
      <c r="R58" s="22" t="n">
        <v>0</v>
      </c>
      <c r="S58" s="22" t="n">
        <v>0</v>
      </c>
      <c r="T58" s="22" t="n">
        <v>0</v>
      </c>
      <c r="U58" s="3">
        <f>IF(OR(N58=1,Q58=1),1,0)</f>
        <v/>
      </c>
      <c r="V58" s="3">
        <f>IF(OR(T58=1,P58=1),1,0)</f>
        <v/>
      </c>
      <c r="W58" s="3">
        <f>IF(OR(J58=1),1,0)</f>
        <v/>
      </c>
      <c r="X58" s="3">
        <f>IF(OR(I58=1,H58=1),1,0)</f>
        <v/>
      </c>
      <c r="Y58" s="3">
        <f>IF(OR(G58=1),1,0)</f>
        <v/>
      </c>
      <c r="Z58" s="3">
        <f>IF(OR(F58=1),1,0)</f>
        <v/>
      </c>
      <c r="AA58" s="3">
        <f>IF(OR(M58=1),1,0)</f>
        <v/>
      </c>
    </row>
    <row r="59">
      <c r="A59" s="22" t="inlineStr">
        <is>
          <t>c1ebf4fda7022ed96022d57612aba86ec54df781</t>
        </is>
      </c>
      <c r="B59" s="22" t="inlineStr">
        <is>
          <t>2026-02</t>
        </is>
      </c>
      <c r="C59" s="22" t="inlineStr">
        <is>
          <t>YouTube</t>
        </is>
      </c>
      <c r="D59" s="22" t="n">
        <v>0</v>
      </c>
      <c r="E59" s="22" t="inlineStr">
        <is>
          <t>Arise News</t>
        </is>
      </c>
      <c r="F59" s="22" t="inlineStr">
        <is>
          <t>CNZzx2veECs</t>
        </is>
      </c>
      <c r="G59" s="22" t="n">
        <v>-0.153</v>
      </c>
      <c r="H59" s="22" t="n">
        <v>1</v>
      </c>
      <c r="I59" s="22" t="n">
        <v>0</v>
      </c>
      <c r="J59" s="22" t="n">
        <v>0</v>
      </c>
      <c r="K59" s="22" t="n">
        <v>0</v>
      </c>
      <c r="L59" s="22" t="n">
        <v>0</v>
      </c>
      <c r="M59" s="22" t="n">
        <v>0</v>
      </c>
      <c r="N59" s="22" t="n">
        <v>0</v>
      </c>
      <c r="O59" s="22" t="n">
        <v>0</v>
      </c>
      <c r="P59" s="22" t="n">
        <v>0</v>
      </c>
      <c r="Q59" s="22" t="n">
        <v>0</v>
      </c>
      <c r="R59" s="22" t="n">
        <v>0</v>
      </c>
      <c r="S59" s="22" t="n">
        <v>0</v>
      </c>
      <c r="T59" s="22" t="n">
        <v>0</v>
      </c>
      <c r="U59" s="3">
        <f>IF(OR(N59=1,Q59=1),1,0)</f>
        <v/>
      </c>
      <c r="V59" s="3">
        <f>IF(OR(T59=1,P59=1),1,0)</f>
        <v/>
      </c>
      <c r="W59" s="3">
        <f>IF(OR(J59=1),1,0)</f>
        <v/>
      </c>
      <c r="X59" s="3">
        <f>IF(OR(I59=1,H59=1),1,0)</f>
        <v/>
      </c>
      <c r="Y59" s="3">
        <f>IF(OR(G59=1),1,0)</f>
        <v/>
      </c>
      <c r="Z59" s="3">
        <f>IF(OR(F59=1),1,0)</f>
        <v/>
      </c>
      <c r="AA59" s="3">
        <f>IF(OR(M59=1),1,0)</f>
        <v/>
      </c>
    </row>
    <row r="60">
      <c r="A60" s="22" t="inlineStr">
        <is>
          <t>65ea7324ac39290fd2d4cb298db6cdfaaa153b61</t>
        </is>
      </c>
      <c r="B60" s="22" t="inlineStr">
        <is>
          <t>2026-02</t>
        </is>
      </c>
      <c r="C60" s="22" t="inlineStr">
        <is>
          <t>YouTube</t>
        </is>
      </c>
      <c r="D60" s="22" t="n">
        <v>0</v>
      </c>
      <c r="E60" s="22" t="inlineStr">
        <is>
          <t>Arise News</t>
        </is>
      </c>
      <c r="F60" s="22" t="inlineStr">
        <is>
          <t>CNZzx2veECs</t>
        </is>
      </c>
      <c r="G60" s="22" t="n">
        <v>-0.649</v>
      </c>
      <c r="H60" s="22" t="n">
        <v>0</v>
      </c>
      <c r="I60" s="22" t="n">
        <v>0</v>
      </c>
      <c r="J60" s="22" t="n">
        <v>0</v>
      </c>
      <c r="K60" s="22" t="n">
        <v>0</v>
      </c>
      <c r="L60" s="22" t="n">
        <v>0</v>
      </c>
      <c r="M60" s="22" t="n">
        <v>0</v>
      </c>
      <c r="N60" s="22" t="n">
        <v>0</v>
      </c>
      <c r="O60" s="22" t="n">
        <v>1</v>
      </c>
      <c r="P60" s="22" t="n">
        <v>0</v>
      </c>
      <c r="Q60" s="22" t="n">
        <v>0</v>
      </c>
      <c r="R60" s="22" t="n">
        <v>0</v>
      </c>
      <c r="S60" s="22" t="n">
        <v>0</v>
      </c>
      <c r="T60" s="22" t="n">
        <v>0</v>
      </c>
      <c r="U60" s="3">
        <f>IF(OR(N60=1,Q60=1),1,0)</f>
        <v/>
      </c>
      <c r="V60" s="3">
        <f>IF(OR(T60=1,P60=1),1,0)</f>
        <v/>
      </c>
      <c r="W60" s="3">
        <f>IF(OR(J60=1),1,0)</f>
        <v/>
      </c>
      <c r="X60" s="3">
        <f>IF(OR(I60=1,H60=1),1,0)</f>
        <v/>
      </c>
      <c r="Y60" s="3">
        <f>IF(OR(G60=1),1,0)</f>
        <v/>
      </c>
      <c r="Z60" s="3">
        <f>IF(OR(F60=1),1,0)</f>
        <v/>
      </c>
      <c r="AA60" s="3">
        <f>IF(OR(M60=1),1,0)</f>
        <v/>
      </c>
    </row>
    <row r="61">
      <c r="A61" s="22" t="inlineStr">
        <is>
          <t>a6d670a78a575094735d3aea8facdb2584fba660</t>
        </is>
      </c>
      <c r="B61" s="22" t="inlineStr">
        <is>
          <t>2026-02</t>
        </is>
      </c>
      <c r="C61" s="22" t="inlineStr">
        <is>
          <t>YouTube</t>
        </is>
      </c>
      <c r="D61" s="22" t="n">
        <v>0</v>
      </c>
      <c r="E61" s="22" t="inlineStr">
        <is>
          <t>Arise News</t>
        </is>
      </c>
      <c r="F61" s="22" t="inlineStr">
        <is>
          <t>CNZzx2veECs</t>
        </is>
      </c>
      <c r="G61" s="22" t="n">
        <v>0.637</v>
      </c>
      <c r="H61" s="22" t="n">
        <v>0</v>
      </c>
      <c r="I61" s="22" t="n">
        <v>0</v>
      </c>
      <c r="J61" s="22" t="n">
        <v>0</v>
      </c>
      <c r="K61" s="22" t="n">
        <v>0</v>
      </c>
      <c r="L61" s="22" t="n">
        <v>0</v>
      </c>
      <c r="M61" s="22" t="n">
        <v>0</v>
      </c>
      <c r="N61" s="22" t="n">
        <v>0</v>
      </c>
      <c r="O61" s="22" t="n">
        <v>1</v>
      </c>
      <c r="P61" s="22" t="n">
        <v>0</v>
      </c>
      <c r="Q61" s="22" t="n">
        <v>0</v>
      </c>
      <c r="R61" s="22" t="n">
        <v>0</v>
      </c>
      <c r="S61" s="22" t="n">
        <v>0</v>
      </c>
      <c r="T61" s="22" t="n">
        <v>0</v>
      </c>
      <c r="U61" s="3">
        <f>IF(OR(N61=1,Q61=1),1,0)</f>
        <v/>
      </c>
      <c r="V61" s="3">
        <f>IF(OR(T61=1,P61=1),1,0)</f>
        <v/>
      </c>
      <c r="W61" s="3">
        <f>IF(OR(J61=1),1,0)</f>
        <v/>
      </c>
      <c r="X61" s="3">
        <f>IF(OR(I61=1,H61=1),1,0)</f>
        <v/>
      </c>
      <c r="Y61" s="3">
        <f>IF(OR(G61=1),1,0)</f>
        <v/>
      </c>
      <c r="Z61" s="3">
        <f>IF(OR(F61=1),1,0)</f>
        <v/>
      </c>
      <c r="AA61" s="3">
        <f>IF(OR(M61=1),1,0)</f>
        <v/>
      </c>
    </row>
    <row r="62">
      <c r="A62" s="22" t="inlineStr">
        <is>
          <t>f24687c564fded3e66954f0bf09b7def80aff84c</t>
        </is>
      </c>
      <c r="B62" s="22" t="inlineStr">
        <is>
          <t>2026-02</t>
        </is>
      </c>
      <c r="C62" s="22" t="inlineStr">
        <is>
          <t>YouTube</t>
        </is>
      </c>
      <c r="D62" s="22" t="n">
        <v>0</v>
      </c>
      <c r="E62" s="22" t="inlineStr">
        <is>
          <t>Arise News</t>
        </is>
      </c>
      <c r="F62" s="22" t="inlineStr">
        <is>
          <t>CNZzx2veECs</t>
        </is>
      </c>
      <c r="G62" s="22" t="n">
        <v>-0.657</v>
      </c>
      <c r="H62" s="22" t="n">
        <v>1</v>
      </c>
      <c r="I62" s="22" t="n">
        <v>0</v>
      </c>
      <c r="J62" s="22" t="n">
        <v>0</v>
      </c>
      <c r="K62" s="22" t="n">
        <v>0</v>
      </c>
      <c r="L62" s="22" t="n">
        <v>0</v>
      </c>
      <c r="M62" s="22" t="n">
        <v>1</v>
      </c>
      <c r="N62" s="22" t="n">
        <v>0</v>
      </c>
      <c r="O62" s="22" t="n">
        <v>0</v>
      </c>
      <c r="P62" s="22" t="n">
        <v>0</v>
      </c>
      <c r="Q62" s="22" t="n">
        <v>0</v>
      </c>
      <c r="R62" s="22" t="n">
        <v>0</v>
      </c>
      <c r="S62" s="22" t="n">
        <v>0</v>
      </c>
      <c r="T62" s="22" t="n">
        <v>0</v>
      </c>
      <c r="U62" s="3">
        <f>IF(OR(N62=1,Q62=1),1,0)</f>
        <v/>
      </c>
      <c r="V62" s="3">
        <f>IF(OR(T62=1,P62=1),1,0)</f>
        <v/>
      </c>
      <c r="W62" s="3">
        <f>IF(OR(J62=1),1,0)</f>
        <v/>
      </c>
      <c r="X62" s="3">
        <f>IF(OR(I62=1,H62=1),1,0)</f>
        <v/>
      </c>
      <c r="Y62" s="3">
        <f>IF(OR(G62=1),1,0)</f>
        <v/>
      </c>
      <c r="Z62" s="3">
        <f>IF(OR(F62=1),1,0)</f>
        <v/>
      </c>
      <c r="AA62" s="3">
        <f>IF(OR(M62=1),1,0)</f>
        <v/>
      </c>
    </row>
    <row r="63">
      <c r="A63" s="22" t="inlineStr">
        <is>
          <t>3ea316472dcf421b6190253df414d6b900ae2f34</t>
        </is>
      </c>
      <c r="B63" s="22" t="inlineStr">
        <is>
          <t>2026-02</t>
        </is>
      </c>
      <c r="C63" s="22" t="inlineStr">
        <is>
          <t>YouTube</t>
        </is>
      </c>
      <c r="D63" s="22" t="n">
        <v>0</v>
      </c>
      <c r="E63" s="22" t="inlineStr">
        <is>
          <t>Arise News</t>
        </is>
      </c>
      <c r="F63" s="22" t="inlineStr">
        <is>
          <t>CNZzx2veECs</t>
        </is>
      </c>
      <c r="G63" s="22" t="n">
        <v>0.387</v>
      </c>
      <c r="H63" s="22" t="n">
        <v>0</v>
      </c>
      <c r="I63" s="22" t="n">
        <v>0</v>
      </c>
      <c r="J63" s="22" t="n">
        <v>0</v>
      </c>
      <c r="K63" s="22" t="n">
        <v>0</v>
      </c>
      <c r="L63" s="22" t="n">
        <v>1</v>
      </c>
      <c r="M63" s="22" t="n">
        <v>0</v>
      </c>
      <c r="N63" s="22" t="n">
        <v>0</v>
      </c>
      <c r="O63" s="22" t="n">
        <v>0</v>
      </c>
      <c r="P63" s="22" t="n">
        <v>0</v>
      </c>
      <c r="Q63" s="22" t="n">
        <v>0</v>
      </c>
      <c r="R63" s="22" t="n">
        <v>0</v>
      </c>
      <c r="S63" s="22" t="n">
        <v>0</v>
      </c>
      <c r="T63" s="22" t="n">
        <v>0</v>
      </c>
      <c r="U63" s="3">
        <f>IF(OR(N63=1,Q63=1),1,0)</f>
        <v/>
      </c>
      <c r="V63" s="3">
        <f>IF(OR(T63=1,P63=1),1,0)</f>
        <v/>
      </c>
      <c r="W63" s="3">
        <f>IF(OR(J63=1),1,0)</f>
        <v/>
      </c>
      <c r="X63" s="3">
        <f>IF(OR(I63=1,H63=1),1,0)</f>
        <v/>
      </c>
      <c r="Y63" s="3">
        <f>IF(OR(G63=1),1,0)</f>
        <v/>
      </c>
      <c r="Z63" s="3">
        <f>IF(OR(F63=1),1,0)</f>
        <v/>
      </c>
      <c r="AA63" s="3">
        <f>IF(OR(M63=1),1,0)</f>
        <v/>
      </c>
    </row>
    <row r="64">
      <c r="A64" s="22" t="inlineStr">
        <is>
          <t>6209ca0d2af542d227ef8475e9d4997197a9605b</t>
        </is>
      </c>
      <c r="B64" s="22" t="inlineStr">
        <is>
          <t>2026-02</t>
        </is>
      </c>
      <c r="C64" s="22" t="inlineStr">
        <is>
          <t>YouTube</t>
        </is>
      </c>
      <c r="D64" s="22" t="n">
        <v>0</v>
      </c>
      <c r="E64" s="22" t="inlineStr">
        <is>
          <t>Arise News</t>
        </is>
      </c>
      <c r="F64" s="22" t="inlineStr">
        <is>
          <t>CNZzx2veECs</t>
        </is>
      </c>
      <c r="G64" s="22" t="n">
        <v>0</v>
      </c>
      <c r="H64" s="22" t="n">
        <v>0</v>
      </c>
      <c r="I64" s="22" t="n">
        <v>0</v>
      </c>
      <c r="J64" s="22" t="n">
        <v>0</v>
      </c>
      <c r="K64" s="22" t="n">
        <v>0</v>
      </c>
      <c r="L64" s="22" t="n">
        <v>0</v>
      </c>
      <c r="M64" s="22" t="n">
        <v>0</v>
      </c>
      <c r="N64" s="22" t="n">
        <v>0</v>
      </c>
      <c r="O64" s="22" t="n">
        <v>1</v>
      </c>
      <c r="P64" s="22" t="n">
        <v>0</v>
      </c>
      <c r="Q64" s="22" t="n">
        <v>0</v>
      </c>
      <c r="R64" s="22" t="n">
        <v>0</v>
      </c>
      <c r="S64" s="22" t="n">
        <v>0</v>
      </c>
      <c r="T64" s="22" t="n">
        <v>0</v>
      </c>
      <c r="U64" s="3">
        <f>IF(OR(N64=1,Q64=1),1,0)</f>
        <v/>
      </c>
      <c r="V64" s="3">
        <f>IF(OR(T64=1,P64=1),1,0)</f>
        <v/>
      </c>
      <c r="W64" s="3">
        <f>IF(OR(J64=1),1,0)</f>
        <v/>
      </c>
      <c r="X64" s="3">
        <f>IF(OR(I64=1,H64=1),1,0)</f>
        <v/>
      </c>
      <c r="Y64" s="3">
        <f>IF(OR(G64=1),1,0)</f>
        <v/>
      </c>
      <c r="Z64" s="3">
        <f>IF(OR(F64=1),1,0)</f>
        <v/>
      </c>
      <c r="AA64" s="3">
        <f>IF(OR(M64=1),1,0)</f>
        <v/>
      </c>
    </row>
    <row r="65">
      <c r="A65" s="22" t="inlineStr">
        <is>
          <t>620a81d2c1e439be5784155c6eef6f9e48caf664</t>
        </is>
      </c>
      <c r="B65" s="22" t="inlineStr">
        <is>
          <t>2026-02</t>
        </is>
      </c>
      <c r="C65" s="22" t="inlineStr">
        <is>
          <t>YouTube</t>
        </is>
      </c>
      <c r="D65" s="22" t="n">
        <v>0</v>
      </c>
      <c r="E65" s="22" t="inlineStr">
        <is>
          <t>Arise News</t>
        </is>
      </c>
      <c r="F65" s="22" t="inlineStr">
        <is>
          <t>CNZzx2veECs</t>
        </is>
      </c>
      <c r="G65" s="22" t="n">
        <v>-0.796</v>
      </c>
      <c r="H65" s="22" t="n">
        <v>1</v>
      </c>
      <c r="I65" s="22" t="n">
        <v>0</v>
      </c>
      <c r="J65" s="22" t="n">
        <v>0</v>
      </c>
      <c r="K65" s="22" t="n">
        <v>0</v>
      </c>
      <c r="L65" s="22" t="n">
        <v>0</v>
      </c>
      <c r="M65" s="22" t="n">
        <v>0</v>
      </c>
      <c r="N65" s="22" t="n">
        <v>0</v>
      </c>
      <c r="O65" s="22" t="n">
        <v>0</v>
      </c>
      <c r="P65" s="22" t="n">
        <v>0</v>
      </c>
      <c r="Q65" s="22" t="n">
        <v>0</v>
      </c>
      <c r="R65" s="22" t="n">
        <v>0</v>
      </c>
      <c r="S65" s="22" t="n">
        <v>0</v>
      </c>
      <c r="T65" s="22" t="n">
        <v>0</v>
      </c>
      <c r="U65" s="3">
        <f>IF(OR(N65=1,Q65=1),1,0)</f>
        <v/>
      </c>
      <c r="V65" s="3">
        <f>IF(OR(T65=1,P65=1),1,0)</f>
        <v/>
      </c>
      <c r="W65" s="3">
        <f>IF(OR(J65=1),1,0)</f>
        <v/>
      </c>
      <c r="X65" s="3">
        <f>IF(OR(I65=1,H65=1),1,0)</f>
        <v/>
      </c>
      <c r="Y65" s="3">
        <f>IF(OR(G65=1),1,0)</f>
        <v/>
      </c>
      <c r="Z65" s="3">
        <f>IF(OR(F65=1),1,0)</f>
        <v/>
      </c>
      <c r="AA65" s="3">
        <f>IF(OR(M65=1),1,0)</f>
        <v/>
      </c>
    </row>
    <row r="66">
      <c r="A66" s="22" t="inlineStr">
        <is>
          <t>fbed8ecf54ea50da2736e0303951414653ba7ce2</t>
        </is>
      </c>
      <c r="B66" s="22" t="inlineStr">
        <is>
          <t>2026-02</t>
        </is>
      </c>
      <c r="C66" s="22" t="inlineStr">
        <is>
          <t>YouTube</t>
        </is>
      </c>
      <c r="D66" s="22" t="n">
        <v>0</v>
      </c>
      <c r="E66" s="22" t="inlineStr">
        <is>
          <t>Arise News</t>
        </is>
      </c>
      <c r="F66" s="22" t="inlineStr">
        <is>
          <t>CNZzx2veECs</t>
        </is>
      </c>
      <c r="G66" s="22" t="n">
        <v>-0.382</v>
      </c>
      <c r="H66" s="22" t="n">
        <v>0</v>
      </c>
      <c r="I66" s="22" t="n">
        <v>0</v>
      </c>
      <c r="J66" s="22" t="n">
        <v>0</v>
      </c>
      <c r="K66" s="22" t="n">
        <v>0</v>
      </c>
      <c r="L66" s="22" t="n">
        <v>0</v>
      </c>
      <c r="M66" s="22" t="n">
        <v>0</v>
      </c>
      <c r="N66" s="22" t="n">
        <v>0</v>
      </c>
      <c r="O66" s="22" t="n">
        <v>1</v>
      </c>
      <c r="P66" s="22" t="n">
        <v>0</v>
      </c>
      <c r="Q66" s="22" t="n">
        <v>0</v>
      </c>
      <c r="R66" s="22" t="n">
        <v>0</v>
      </c>
      <c r="S66" s="22" t="n">
        <v>0</v>
      </c>
      <c r="T66" s="22" t="n">
        <v>0</v>
      </c>
      <c r="U66" s="3">
        <f>IF(OR(N66=1,Q66=1),1,0)</f>
        <v/>
      </c>
      <c r="V66" s="3">
        <f>IF(OR(T66=1,P66=1),1,0)</f>
        <v/>
      </c>
      <c r="W66" s="3">
        <f>IF(OR(J66=1),1,0)</f>
        <v/>
      </c>
      <c r="X66" s="3">
        <f>IF(OR(I66=1,H66=1),1,0)</f>
        <v/>
      </c>
      <c r="Y66" s="3">
        <f>IF(OR(G66=1),1,0)</f>
        <v/>
      </c>
      <c r="Z66" s="3">
        <f>IF(OR(F66=1),1,0)</f>
        <v/>
      </c>
      <c r="AA66" s="3">
        <f>IF(OR(M66=1),1,0)</f>
        <v/>
      </c>
    </row>
    <row r="67">
      <c r="A67" s="22" t="inlineStr">
        <is>
          <t>beada08d56d1fad1b21dc749cebaf2d6ba01805a</t>
        </is>
      </c>
      <c r="B67" s="22" t="inlineStr">
        <is>
          <t>2026-02</t>
        </is>
      </c>
      <c r="C67" s="22" t="inlineStr">
        <is>
          <t>YouTube</t>
        </is>
      </c>
      <c r="D67" s="22" t="n">
        <v>0</v>
      </c>
      <c r="E67" s="22" t="inlineStr">
        <is>
          <t>Arise News</t>
        </is>
      </c>
      <c r="F67" s="22" t="inlineStr">
        <is>
          <t>CNZzx2veECs</t>
        </is>
      </c>
      <c r="G67" s="22" t="n">
        <v>0.6909999999999999</v>
      </c>
      <c r="H67" s="22" t="n">
        <v>0</v>
      </c>
      <c r="I67" s="22" t="n">
        <v>1</v>
      </c>
      <c r="J67" s="22" t="n">
        <v>0</v>
      </c>
      <c r="K67" s="22" t="n">
        <v>0</v>
      </c>
      <c r="L67" s="22" t="n">
        <v>0</v>
      </c>
      <c r="M67" s="22" t="n">
        <v>0</v>
      </c>
      <c r="N67" s="22" t="n">
        <v>0</v>
      </c>
      <c r="O67" s="22" t="n">
        <v>0</v>
      </c>
      <c r="P67" s="22" t="n">
        <v>0</v>
      </c>
      <c r="Q67" s="22" t="n">
        <v>0</v>
      </c>
      <c r="R67" s="22" t="n">
        <v>0</v>
      </c>
      <c r="S67" s="22" t="n">
        <v>0</v>
      </c>
      <c r="T67" s="22" t="n">
        <v>0</v>
      </c>
      <c r="U67" s="3">
        <f>IF(OR(N67=1,Q67=1),1,0)</f>
        <v/>
      </c>
      <c r="V67" s="3">
        <f>IF(OR(T67=1,P67=1),1,0)</f>
        <v/>
      </c>
      <c r="W67" s="3">
        <f>IF(OR(J67=1),1,0)</f>
        <v/>
      </c>
      <c r="X67" s="3">
        <f>IF(OR(I67=1,H67=1),1,0)</f>
        <v/>
      </c>
      <c r="Y67" s="3">
        <f>IF(OR(G67=1),1,0)</f>
        <v/>
      </c>
      <c r="Z67" s="3">
        <f>IF(OR(F67=1),1,0)</f>
        <v/>
      </c>
      <c r="AA67" s="3">
        <f>IF(OR(M67=1),1,0)</f>
        <v/>
      </c>
    </row>
    <row r="68">
      <c r="A68" s="22" t="inlineStr">
        <is>
          <t>ba2147e640924586502e40cd789463cf038ac0e6</t>
        </is>
      </c>
      <c r="B68" s="22" t="inlineStr">
        <is>
          <t>2026-02</t>
        </is>
      </c>
      <c r="C68" s="22" t="inlineStr">
        <is>
          <t>YouTube</t>
        </is>
      </c>
      <c r="D68" s="22" t="n">
        <v>0</v>
      </c>
      <c r="E68" s="22" t="inlineStr">
        <is>
          <t>Arise News</t>
        </is>
      </c>
      <c r="F68" s="22" t="inlineStr">
        <is>
          <t>CNZzx2veECs</t>
        </is>
      </c>
      <c r="G68" s="22" t="n">
        <v>-0.637</v>
      </c>
      <c r="H68" s="22" t="n">
        <v>0</v>
      </c>
      <c r="I68" s="22" t="n">
        <v>1</v>
      </c>
      <c r="J68" s="22" t="n">
        <v>0</v>
      </c>
      <c r="K68" s="22" t="n">
        <v>0</v>
      </c>
      <c r="L68" s="22" t="n">
        <v>0</v>
      </c>
      <c r="M68" s="22" t="n">
        <v>0</v>
      </c>
      <c r="N68" s="22" t="n">
        <v>0</v>
      </c>
      <c r="O68" s="22" t="n">
        <v>0</v>
      </c>
      <c r="P68" s="22" t="n">
        <v>0</v>
      </c>
      <c r="Q68" s="22" t="n">
        <v>0</v>
      </c>
      <c r="R68" s="22" t="n">
        <v>0</v>
      </c>
      <c r="S68" s="22" t="n">
        <v>0</v>
      </c>
      <c r="T68" s="22" t="n">
        <v>0</v>
      </c>
      <c r="U68" s="3">
        <f>IF(OR(N68=1,Q68=1),1,0)</f>
        <v/>
      </c>
      <c r="V68" s="3">
        <f>IF(OR(T68=1,P68=1),1,0)</f>
        <v/>
      </c>
      <c r="W68" s="3">
        <f>IF(OR(J68=1),1,0)</f>
        <v/>
      </c>
      <c r="X68" s="3">
        <f>IF(OR(I68=1,H68=1),1,0)</f>
        <v/>
      </c>
      <c r="Y68" s="3">
        <f>IF(OR(G68=1),1,0)</f>
        <v/>
      </c>
      <c r="Z68" s="3">
        <f>IF(OR(F68=1),1,0)</f>
        <v/>
      </c>
      <c r="AA68" s="3">
        <f>IF(OR(M68=1),1,0)</f>
        <v/>
      </c>
    </row>
    <row r="69">
      <c r="A69" s="22" t="inlineStr">
        <is>
          <t>c0ec45aa13019e16cb000ff4452d2acf7f9633fb</t>
        </is>
      </c>
      <c r="B69" s="22" t="inlineStr">
        <is>
          <t>2026-02</t>
        </is>
      </c>
      <c r="C69" s="22" t="inlineStr">
        <is>
          <t>YouTube</t>
        </is>
      </c>
      <c r="D69" s="22" t="n">
        <v>0</v>
      </c>
      <c r="E69" s="22" t="inlineStr">
        <is>
          <t>Arise News</t>
        </is>
      </c>
      <c r="F69" s="22" t="inlineStr">
        <is>
          <t>CNZzx2veECs</t>
        </is>
      </c>
      <c r="G69" s="22" t="n">
        <v>0.5570000000000001</v>
      </c>
      <c r="H69" s="22" t="n">
        <v>0</v>
      </c>
      <c r="I69" s="22" t="n">
        <v>0</v>
      </c>
      <c r="J69" s="22" t="n">
        <v>0</v>
      </c>
      <c r="K69" s="22" t="n">
        <v>0</v>
      </c>
      <c r="L69" s="22" t="n">
        <v>0</v>
      </c>
      <c r="M69" s="22" t="n">
        <v>0</v>
      </c>
      <c r="N69" s="22" t="n">
        <v>0</v>
      </c>
      <c r="O69" s="22" t="n">
        <v>1</v>
      </c>
      <c r="P69" s="22" t="n">
        <v>0</v>
      </c>
      <c r="Q69" s="22" t="n">
        <v>0</v>
      </c>
      <c r="R69" s="22" t="n">
        <v>0</v>
      </c>
      <c r="S69" s="22" t="n">
        <v>0</v>
      </c>
      <c r="T69" s="22" t="n">
        <v>0</v>
      </c>
      <c r="U69" s="3">
        <f>IF(OR(N69=1,Q69=1),1,0)</f>
        <v/>
      </c>
      <c r="V69" s="3">
        <f>IF(OR(T69=1,P69=1),1,0)</f>
        <v/>
      </c>
      <c r="W69" s="3">
        <f>IF(OR(J69=1),1,0)</f>
        <v/>
      </c>
      <c r="X69" s="3">
        <f>IF(OR(I69=1,H69=1),1,0)</f>
        <v/>
      </c>
      <c r="Y69" s="3">
        <f>IF(OR(G69=1),1,0)</f>
        <v/>
      </c>
      <c r="Z69" s="3">
        <f>IF(OR(F69=1),1,0)</f>
        <v/>
      </c>
      <c r="AA69" s="3">
        <f>IF(OR(M69=1),1,0)</f>
        <v/>
      </c>
    </row>
    <row r="70">
      <c r="A70" s="22" t="inlineStr">
        <is>
          <t>c6d7484f84b6e50c906fd05dc55b5c0f37fcda32</t>
        </is>
      </c>
      <c r="B70" s="22" t="inlineStr">
        <is>
          <t>2026-02</t>
        </is>
      </c>
      <c r="C70" s="22" t="inlineStr">
        <is>
          <t>YouTube</t>
        </is>
      </c>
      <c r="D70" s="22" t="n">
        <v>0</v>
      </c>
      <c r="E70" s="22" t="inlineStr">
        <is>
          <t>Arise News</t>
        </is>
      </c>
      <c r="F70" s="22" t="inlineStr">
        <is>
          <t>CNZzx2veECs</t>
        </is>
      </c>
      <c r="G70" s="22" t="n">
        <v>-0.8070000000000001</v>
      </c>
      <c r="H70" s="22" t="n">
        <v>0</v>
      </c>
      <c r="I70" s="22" t="n">
        <v>0</v>
      </c>
      <c r="J70" s="22" t="n">
        <v>0</v>
      </c>
      <c r="K70" s="22" t="n">
        <v>0</v>
      </c>
      <c r="L70" s="22" t="n">
        <v>0</v>
      </c>
      <c r="M70" s="22" t="n">
        <v>1</v>
      </c>
      <c r="N70" s="22" t="n">
        <v>0</v>
      </c>
      <c r="O70" s="22" t="n">
        <v>0</v>
      </c>
      <c r="P70" s="22" t="n">
        <v>0</v>
      </c>
      <c r="Q70" s="22" t="n">
        <v>0</v>
      </c>
      <c r="R70" s="22" t="n">
        <v>0</v>
      </c>
      <c r="S70" s="22" t="n">
        <v>0</v>
      </c>
      <c r="T70" s="22" t="n">
        <v>0</v>
      </c>
      <c r="U70" s="3">
        <f>IF(OR(N70=1,Q70=1),1,0)</f>
        <v/>
      </c>
      <c r="V70" s="3">
        <f>IF(OR(T70=1,P70=1),1,0)</f>
        <v/>
      </c>
      <c r="W70" s="3">
        <f>IF(OR(J70=1),1,0)</f>
        <v/>
      </c>
      <c r="X70" s="3">
        <f>IF(OR(I70=1,H70=1),1,0)</f>
        <v/>
      </c>
      <c r="Y70" s="3">
        <f>IF(OR(G70=1),1,0)</f>
        <v/>
      </c>
      <c r="Z70" s="3">
        <f>IF(OR(F70=1),1,0)</f>
        <v/>
      </c>
      <c r="AA70" s="3">
        <f>IF(OR(M70=1),1,0)</f>
        <v/>
      </c>
    </row>
    <row r="71">
      <c r="A71" s="22" t="inlineStr">
        <is>
          <t>c0050cdd005119107bef4633539f61fec116e203</t>
        </is>
      </c>
      <c r="B71" s="22" t="inlineStr">
        <is>
          <t>2026-02</t>
        </is>
      </c>
      <c r="C71" s="22" t="inlineStr">
        <is>
          <t>YouTube</t>
        </is>
      </c>
      <c r="D71" s="22" t="n">
        <v>0</v>
      </c>
      <c r="E71" s="22" t="inlineStr">
        <is>
          <t>Arise News</t>
        </is>
      </c>
      <c r="F71" s="22" t="inlineStr">
        <is>
          <t>CNZzx2veECs</t>
        </is>
      </c>
      <c r="G71" s="22" t="n">
        <v>0.202</v>
      </c>
      <c r="H71" s="22" t="n">
        <v>0</v>
      </c>
      <c r="I71" s="22" t="n">
        <v>0</v>
      </c>
      <c r="J71" s="22" t="n">
        <v>0</v>
      </c>
      <c r="K71" s="22" t="n">
        <v>0</v>
      </c>
      <c r="L71" s="22" t="n">
        <v>0</v>
      </c>
      <c r="M71" s="22" t="n">
        <v>0</v>
      </c>
      <c r="N71" s="22" t="n">
        <v>0</v>
      </c>
      <c r="O71" s="22" t="n">
        <v>1</v>
      </c>
      <c r="P71" s="22" t="n">
        <v>0</v>
      </c>
      <c r="Q71" s="22" t="n">
        <v>0</v>
      </c>
      <c r="R71" s="22" t="n">
        <v>0</v>
      </c>
      <c r="S71" s="22" t="n">
        <v>0</v>
      </c>
      <c r="T71" s="22" t="n">
        <v>0</v>
      </c>
      <c r="U71" s="3">
        <f>IF(OR(N71=1,Q71=1),1,0)</f>
        <v/>
      </c>
      <c r="V71" s="3">
        <f>IF(OR(T71=1,P71=1),1,0)</f>
        <v/>
      </c>
      <c r="W71" s="3">
        <f>IF(OR(J71=1),1,0)</f>
        <v/>
      </c>
      <c r="X71" s="3">
        <f>IF(OR(I71=1,H71=1),1,0)</f>
        <v/>
      </c>
      <c r="Y71" s="3">
        <f>IF(OR(G71=1),1,0)</f>
        <v/>
      </c>
      <c r="Z71" s="3">
        <f>IF(OR(F71=1),1,0)</f>
        <v/>
      </c>
      <c r="AA71" s="3">
        <f>IF(OR(M71=1),1,0)</f>
        <v/>
      </c>
    </row>
    <row r="72">
      <c r="A72" s="22" t="inlineStr">
        <is>
          <t>de068cece4b3b45593d4da318dbb0b8b731ac850</t>
        </is>
      </c>
      <c r="B72" s="22" t="inlineStr">
        <is>
          <t>2026-02</t>
        </is>
      </c>
      <c r="C72" s="22" t="inlineStr">
        <is>
          <t>YouTube</t>
        </is>
      </c>
      <c r="D72" s="22" t="n">
        <v>0</v>
      </c>
      <c r="E72" s="22" t="inlineStr">
        <is>
          <t>Arise News</t>
        </is>
      </c>
      <c r="F72" s="22" t="inlineStr">
        <is>
          <t>CNZzx2veECs</t>
        </is>
      </c>
      <c r="G72" s="22" t="n">
        <v>-0.459</v>
      </c>
      <c r="H72" s="22" t="n">
        <v>0</v>
      </c>
      <c r="I72" s="22" t="n">
        <v>0</v>
      </c>
      <c r="J72" s="22" t="n">
        <v>0</v>
      </c>
      <c r="K72" s="22" t="n">
        <v>0</v>
      </c>
      <c r="L72" s="22" t="n">
        <v>0</v>
      </c>
      <c r="M72" s="22" t="n">
        <v>1</v>
      </c>
      <c r="N72" s="22" t="n">
        <v>0</v>
      </c>
      <c r="O72" s="22" t="n">
        <v>0</v>
      </c>
      <c r="P72" s="22" t="n">
        <v>0</v>
      </c>
      <c r="Q72" s="22" t="n">
        <v>0</v>
      </c>
      <c r="R72" s="22" t="n">
        <v>0</v>
      </c>
      <c r="S72" s="22" t="n">
        <v>0</v>
      </c>
      <c r="T72" s="22" t="n">
        <v>0</v>
      </c>
      <c r="U72" s="3">
        <f>IF(OR(N72=1,Q72=1),1,0)</f>
        <v/>
      </c>
      <c r="V72" s="3">
        <f>IF(OR(T72=1,P72=1),1,0)</f>
        <v/>
      </c>
      <c r="W72" s="3">
        <f>IF(OR(J72=1),1,0)</f>
        <v/>
      </c>
      <c r="X72" s="3">
        <f>IF(OR(I72=1,H72=1),1,0)</f>
        <v/>
      </c>
      <c r="Y72" s="3">
        <f>IF(OR(G72=1),1,0)</f>
        <v/>
      </c>
      <c r="Z72" s="3">
        <f>IF(OR(F72=1),1,0)</f>
        <v/>
      </c>
      <c r="AA72" s="3">
        <f>IF(OR(M72=1),1,0)</f>
        <v/>
      </c>
    </row>
    <row r="73">
      <c r="A73" s="22" t="inlineStr">
        <is>
          <t>6cf436ba27cd676863ec4c9c964b276644f5da53</t>
        </is>
      </c>
      <c r="B73" s="22" t="inlineStr">
        <is>
          <t>2026-02</t>
        </is>
      </c>
      <c r="C73" s="22" t="inlineStr">
        <is>
          <t>YouTube</t>
        </is>
      </c>
      <c r="D73" s="22" t="n">
        <v>0</v>
      </c>
      <c r="E73" s="22" t="inlineStr">
        <is>
          <t>Arise News</t>
        </is>
      </c>
      <c r="F73" s="22" t="inlineStr">
        <is>
          <t>CNZzx2veECs</t>
        </is>
      </c>
      <c r="G73" s="22" t="n">
        <v>-0.178</v>
      </c>
      <c r="H73" s="22" t="n">
        <v>0</v>
      </c>
      <c r="I73" s="22" t="n">
        <v>0</v>
      </c>
      <c r="J73" s="22" t="n">
        <v>0</v>
      </c>
      <c r="K73" s="22" t="n">
        <v>0</v>
      </c>
      <c r="L73" s="22" t="n">
        <v>0</v>
      </c>
      <c r="M73" s="22" t="n">
        <v>0</v>
      </c>
      <c r="N73" s="22" t="n">
        <v>0</v>
      </c>
      <c r="O73" s="22" t="n">
        <v>1</v>
      </c>
      <c r="P73" s="22" t="n">
        <v>0</v>
      </c>
      <c r="Q73" s="22" t="n">
        <v>0</v>
      </c>
      <c r="R73" s="22" t="n">
        <v>0</v>
      </c>
      <c r="S73" s="22" t="n">
        <v>0</v>
      </c>
      <c r="T73" s="22" t="n">
        <v>0</v>
      </c>
      <c r="U73" s="3">
        <f>IF(OR(N73=1,Q73=1),1,0)</f>
        <v/>
      </c>
      <c r="V73" s="3">
        <f>IF(OR(T73=1,P73=1),1,0)</f>
        <v/>
      </c>
      <c r="W73" s="3">
        <f>IF(OR(J73=1),1,0)</f>
        <v/>
      </c>
      <c r="X73" s="3">
        <f>IF(OR(I73=1,H73=1),1,0)</f>
        <v/>
      </c>
      <c r="Y73" s="3">
        <f>IF(OR(G73=1),1,0)</f>
        <v/>
      </c>
      <c r="Z73" s="3">
        <f>IF(OR(F73=1),1,0)</f>
        <v/>
      </c>
      <c r="AA73" s="3">
        <f>IF(OR(M73=1),1,0)</f>
        <v/>
      </c>
    </row>
    <row r="74">
      <c r="A74" s="22" t="inlineStr">
        <is>
          <t>aa445cf7b3b84afcad72d12d4ad20056ec756c21</t>
        </is>
      </c>
      <c r="B74" s="22" t="inlineStr">
        <is>
          <t>2026-02</t>
        </is>
      </c>
      <c r="C74" s="22" t="inlineStr">
        <is>
          <t>YouTube</t>
        </is>
      </c>
      <c r="D74" s="22" t="n">
        <v>0</v>
      </c>
      <c r="E74" s="22" t="inlineStr">
        <is>
          <t>Arise News</t>
        </is>
      </c>
      <c r="F74" s="22" t="inlineStr">
        <is>
          <t>CNZzx2veECs</t>
        </is>
      </c>
      <c r="G74" s="22" t="n">
        <v>0.5570000000000001</v>
      </c>
      <c r="H74" s="22" t="n">
        <v>1</v>
      </c>
      <c r="I74" s="22" t="n">
        <v>0</v>
      </c>
      <c r="J74" s="22" t="n">
        <v>0</v>
      </c>
      <c r="K74" s="22" t="n">
        <v>0</v>
      </c>
      <c r="L74" s="22" t="n">
        <v>0</v>
      </c>
      <c r="M74" s="22" t="n">
        <v>0</v>
      </c>
      <c r="N74" s="22" t="n">
        <v>0</v>
      </c>
      <c r="O74" s="22" t="n">
        <v>0</v>
      </c>
      <c r="P74" s="22" t="n">
        <v>0</v>
      </c>
      <c r="Q74" s="22" t="n">
        <v>0</v>
      </c>
      <c r="R74" s="22" t="n">
        <v>0</v>
      </c>
      <c r="S74" s="22" t="n">
        <v>0</v>
      </c>
      <c r="T74" s="22" t="n">
        <v>0</v>
      </c>
      <c r="U74" s="3">
        <f>IF(OR(N74=1,Q74=1),1,0)</f>
        <v/>
      </c>
      <c r="V74" s="3">
        <f>IF(OR(T74=1,P74=1),1,0)</f>
        <v/>
      </c>
      <c r="W74" s="3">
        <f>IF(OR(J74=1),1,0)</f>
        <v/>
      </c>
      <c r="X74" s="3">
        <f>IF(OR(I74=1,H74=1),1,0)</f>
        <v/>
      </c>
      <c r="Y74" s="3">
        <f>IF(OR(G74=1),1,0)</f>
        <v/>
      </c>
      <c r="Z74" s="3">
        <f>IF(OR(F74=1),1,0)</f>
        <v/>
      </c>
      <c r="AA74" s="3">
        <f>IF(OR(M74=1),1,0)</f>
        <v/>
      </c>
    </row>
    <row r="75">
      <c r="A75" s="22" t="inlineStr">
        <is>
          <t>924fee55dee818aedcfbe033546df3403839f113</t>
        </is>
      </c>
      <c r="B75" s="22" t="inlineStr">
        <is>
          <t>2026-02</t>
        </is>
      </c>
      <c r="C75" s="22" t="inlineStr">
        <is>
          <t>YouTube</t>
        </is>
      </c>
      <c r="D75" s="22" t="n">
        <v>0</v>
      </c>
      <c r="E75" s="22" t="inlineStr">
        <is>
          <t>Arise News</t>
        </is>
      </c>
      <c r="F75" s="22" t="inlineStr">
        <is>
          <t>CNZzx2veECs</t>
        </is>
      </c>
      <c r="G75" s="22" t="n">
        <v>0</v>
      </c>
      <c r="H75" s="22" t="n">
        <v>0</v>
      </c>
      <c r="I75" s="22" t="n">
        <v>0</v>
      </c>
      <c r="J75" s="22" t="n">
        <v>0</v>
      </c>
      <c r="K75" s="22" t="n">
        <v>0</v>
      </c>
      <c r="L75" s="22" t="n">
        <v>0</v>
      </c>
      <c r="M75" s="22" t="n">
        <v>0</v>
      </c>
      <c r="N75" s="22" t="n">
        <v>0</v>
      </c>
      <c r="O75" s="22" t="n">
        <v>1</v>
      </c>
      <c r="P75" s="22" t="n">
        <v>0</v>
      </c>
      <c r="Q75" s="22" t="n">
        <v>0</v>
      </c>
      <c r="R75" s="22" t="n">
        <v>0</v>
      </c>
      <c r="S75" s="22" t="n">
        <v>0</v>
      </c>
      <c r="T75" s="22" t="n">
        <v>0</v>
      </c>
      <c r="U75" s="3">
        <f>IF(OR(N75=1,Q75=1),1,0)</f>
        <v/>
      </c>
      <c r="V75" s="3">
        <f>IF(OR(T75=1,P75=1),1,0)</f>
        <v/>
      </c>
      <c r="W75" s="3">
        <f>IF(OR(J75=1),1,0)</f>
        <v/>
      </c>
      <c r="X75" s="3">
        <f>IF(OR(I75=1,H75=1),1,0)</f>
        <v/>
      </c>
      <c r="Y75" s="3">
        <f>IF(OR(G75=1),1,0)</f>
        <v/>
      </c>
      <c r="Z75" s="3">
        <f>IF(OR(F75=1),1,0)</f>
        <v/>
      </c>
      <c r="AA75" s="3">
        <f>IF(OR(M75=1),1,0)</f>
        <v/>
      </c>
    </row>
    <row r="76">
      <c r="A76" s="22" t="inlineStr">
        <is>
          <t>104a62df710502194a90dfd48418968b4921de38</t>
        </is>
      </c>
      <c r="B76" s="22" t="inlineStr">
        <is>
          <t>2026-02</t>
        </is>
      </c>
      <c r="C76" s="22" t="inlineStr">
        <is>
          <t>YouTube</t>
        </is>
      </c>
      <c r="D76" s="22" t="n">
        <v>0</v>
      </c>
      <c r="E76" s="22" t="inlineStr">
        <is>
          <t>Arise News</t>
        </is>
      </c>
      <c r="F76" s="22" t="inlineStr">
        <is>
          <t>CNZzx2veECs</t>
        </is>
      </c>
      <c r="G76" s="22" t="n">
        <v>-0.459</v>
      </c>
      <c r="H76" s="22" t="n">
        <v>0</v>
      </c>
      <c r="I76" s="22" t="n">
        <v>0</v>
      </c>
      <c r="J76" s="22" t="n">
        <v>0</v>
      </c>
      <c r="K76" s="22" t="n">
        <v>0</v>
      </c>
      <c r="L76" s="22" t="n">
        <v>0</v>
      </c>
      <c r="M76" s="22" t="n">
        <v>0</v>
      </c>
      <c r="N76" s="22" t="n">
        <v>0</v>
      </c>
      <c r="O76" s="22" t="n">
        <v>1</v>
      </c>
      <c r="P76" s="22" t="n">
        <v>0</v>
      </c>
      <c r="Q76" s="22" t="n">
        <v>0</v>
      </c>
      <c r="R76" s="22" t="n">
        <v>0</v>
      </c>
      <c r="S76" s="22" t="n">
        <v>0</v>
      </c>
      <c r="T76" s="22" t="n">
        <v>0</v>
      </c>
      <c r="U76" s="3">
        <f>IF(OR(N76=1,Q76=1),1,0)</f>
        <v/>
      </c>
      <c r="V76" s="3">
        <f>IF(OR(T76=1,P76=1),1,0)</f>
        <v/>
      </c>
      <c r="W76" s="3">
        <f>IF(OR(J76=1),1,0)</f>
        <v/>
      </c>
      <c r="X76" s="3">
        <f>IF(OR(I76=1,H76=1),1,0)</f>
        <v/>
      </c>
      <c r="Y76" s="3">
        <f>IF(OR(G76=1),1,0)</f>
        <v/>
      </c>
      <c r="Z76" s="3">
        <f>IF(OR(F76=1),1,0)</f>
        <v/>
      </c>
      <c r="AA76" s="3">
        <f>IF(OR(M76=1),1,0)</f>
        <v/>
      </c>
    </row>
    <row r="77">
      <c r="A77" s="22" t="inlineStr">
        <is>
          <t>54b36884faec4efe490a459221fb2ff76eb9e21e</t>
        </is>
      </c>
      <c r="B77" s="22" t="inlineStr">
        <is>
          <t>2026-02</t>
        </is>
      </c>
      <c r="C77" s="22" t="inlineStr">
        <is>
          <t>YouTube</t>
        </is>
      </c>
      <c r="D77" s="22" t="n">
        <v>0</v>
      </c>
      <c r="E77" s="22" t="inlineStr">
        <is>
          <t>Arise News</t>
        </is>
      </c>
      <c r="F77" s="22" t="inlineStr">
        <is>
          <t>CNZzx2veECs</t>
        </is>
      </c>
      <c r="G77" s="22" t="n">
        <v>-0.888</v>
      </c>
      <c r="H77" s="22" t="n">
        <v>0</v>
      </c>
      <c r="I77" s="22" t="n">
        <v>0</v>
      </c>
      <c r="J77" s="22" t="n">
        <v>0</v>
      </c>
      <c r="K77" s="22" t="n">
        <v>1</v>
      </c>
      <c r="L77" s="22" t="n">
        <v>0</v>
      </c>
      <c r="M77" s="22" t="n">
        <v>0</v>
      </c>
      <c r="N77" s="22" t="n">
        <v>0</v>
      </c>
      <c r="O77" s="22" t="n">
        <v>0</v>
      </c>
      <c r="P77" s="22" t="n">
        <v>0</v>
      </c>
      <c r="Q77" s="22" t="n">
        <v>0</v>
      </c>
      <c r="R77" s="22" t="n">
        <v>0</v>
      </c>
      <c r="S77" s="22" t="n">
        <v>0</v>
      </c>
      <c r="T77" s="22" t="n">
        <v>0</v>
      </c>
      <c r="U77" s="3">
        <f>IF(OR(N77=1,Q77=1),1,0)</f>
        <v/>
      </c>
      <c r="V77" s="3">
        <f>IF(OR(T77=1,P77=1),1,0)</f>
        <v/>
      </c>
      <c r="W77" s="3">
        <f>IF(OR(J77=1),1,0)</f>
        <v/>
      </c>
      <c r="X77" s="3">
        <f>IF(OR(I77=1,H77=1),1,0)</f>
        <v/>
      </c>
      <c r="Y77" s="3">
        <f>IF(OR(G77=1),1,0)</f>
        <v/>
      </c>
      <c r="Z77" s="3">
        <f>IF(OR(F77=1),1,0)</f>
        <v/>
      </c>
      <c r="AA77" s="3">
        <f>IF(OR(M77=1),1,0)</f>
        <v/>
      </c>
    </row>
    <row r="78">
      <c r="A78" s="22" t="inlineStr">
        <is>
          <t>9efe6a50a55f1118dc5ecf5c6258ef198dcb8931</t>
        </is>
      </c>
      <c r="B78" s="22" t="inlineStr">
        <is>
          <t>2026-02</t>
        </is>
      </c>
      <c r="C78" s="22" t="inlineStr">
        <is>
          <t>YouTube</t>
        </is>
      </c>
      <c r="D78" s="22" t="n">
        <v>0</v>
      </c>
      <c r="E78" s="22" t="inlineStr">
        <is>
          <t>NedMedia</t>
        </is>
      </c>
      <c r="F78" s="22" t="inlineStr">
        <is>
          <t>yJ08vTHJ4gE</t>
        </is>
      </c>
      <c r="G78" s="22" t="n">
        <v>0.586</v>
      </c>
      <c r="H78" s="22" t="n">
        <v>0</v>
      </c>
      <c r="I78" s="22" t="n">
        <v>0</v>
      </c>
      <c r="J78" s="22" t="n">
        <v>1</v>
      </c>
      <c r="K78" s="22" t="n">
        <v>0</v>
      </c>
      <c r="L78" s="22" t="n">
        <v>0</v>
      </c>
      <c r="M78" s="22" t="n">
        <v>0</v>
      </c>
      <c r="N78" s="22" t="n">
        <v>0</v>
      </c>
      <c r="O78" s="22" t="n">
        <v>0</v>
      </c>
      <c r="P78" s="22" t="n">
        <v>0</v>
      </c>
      <c r="Q78" s="22" t="n">
        <v>0</v>
      </c>
      <c r="R78" s="22" t="n">
        <v>0</v>
      </c>
      <c r="S78" s="22" t="n">
        <v>0</v>
      </c>
      <c r="T78" s="22" t="n">
        <v>0</v>
      </c>
      <c r="U78" s="3">
        <f>IF(OR(N78=1,Q78=1),1,0)</f>
        <v/>
      </c>
      <c r="V78" s="3">
        <f>IF(OR(T78=1,P78=1),1,0)</f>
        <v/>
      </c>
      <c r="W78" s="3">
        <f>IF(OR(J78=1),1,0)</f>
        <v/>
      </c>
      <c r="X78" s="3">
        <f>IF(OR(I78=1,H78=1),1,0)</f>
        <v/>
      </c>
      <c r="Y78" s="3">
        <f>IF(OR(G78=1),1,0)</f>
        <v/>
      </c>
      <c r="Z78" s="3">
        <f>IF(OR(F78=1),1,0)</f>
        <v/>
      </c>
      <c r="AA78" s="3">
        <f>IF(OR(M78=1),1,0)</f>
        <v/>
      </c>
    </row>
    <row r="79">
      <c r="A79" s="22" t="inlineStr">
        <is>
          <t>b3af8833d1878898bbf441bc52fe6637438910d1</t>
        </is>
      </c>
      <c r="B79" s="22" t="inlineStr">
        <is>
          <t>2026-02</t>
        </is>
      </c>
      <c r="C79" s="22" t="inlineStr">
        <is>
          <t>YouTube</t>
        </is>
      </c>
      <c r="D79" s="22" t="n">
        <v>0</v>
      </c>
      <c r="E79" s="22" t="inlineStr">
        <is>
          <t>NedMedia</t>
        </is>
      </c>
      <c r="F79" s="22" t="inlineStr">
        <is>
          <t>yJ08vTHJ4gE</t>
        </is>
      </c>
      <c r="G79" s="22" t="n">
        <v>0.751</v>
      </c>
      <c r="H79" s="22" t="n">
        <v>0</v>
      </c>
      <c r="I79" s="22" t="n">
        <v>0</v>
      </c>
      <c r="J79" s="22" t="n">
        <v>0</v>
      </c>
      <c r="K79" s="22" t="n">
        <v>0</v>
      </c>
      <c r="L79" s="22" t="n">
        <v>0</v>
      </c>
      <c r="M79" s="22" t="n">
        <v>0</v>
      </c>
      <c r="N79" s="22" t="n">
        <v>0</v>
      </c>
      <c r="O79" s="22" t="n">
        <v>0</v>
      </c>
      <c r="P79" s="22" t="n">
        <v>1</v>
      </c>
      <c r="Q79" s="22" t="n">
        <v>0</v>
      </c>
      <c r="R79" s="22" t="n">
        <v>0</v>
      </c>
      <c r="S79" s="22" t="n">
        <v>0</v>
      </c>
      <c r="T79" s="22" t="n">
        <v>0</v>
      </c>
      <c r="U79" s="3">
        <f>IF(OR(N79=1,Q79=1),1,0)</f>
        <v/>
      </c>
      <c r="V79" s="3">
        <f>IF(OR(T79=1,P79=1),1,0)</f>
        <v/>
      </c>
      <c r="W79" s="3">
        <f>IF(OR(J79=1),1,0)</f>
        <v/>
      </c>
      <c r="X79" s="3">
        <f>IF(OR(I79=1,H79=1),1,0)</f>
        <v/>
      </c>
      <c r="Y79" s="3">
        <f>IF(OR(G79=1),1,0)</f>
        <v/>
      </c>
      <c r="Z79" s="3">
        <f>IF(OR(F79=1),1,0)</f>
        <v/>
      </c>
      <c r="AA79" s="3">
        <f>IF(OR(M79=1),1,0)</f>
        <v/>
      </c>
    </row>
    <row r="80">
      <c r="A80" s="22" t="inlineStr">
        <is>
          <t>09ae123b44ae742353496e19f09486fadf8958c8</t>
        </is>
      </c>
      <c r="B80" s="22" t="inlineStr">
        <is>
          <t>2026-02</t>
        </is>
      </c>
      <c r="C80" s="22" t="inlineStr">
        <is>
          <t>YouTube</t>
        </is>
      </c>
      <c r="D80" s="22" t="n">
        <v>0</v>
      </c>
      <c r="E80" s="22" t="inlineStr">
        <is>
          <t>NedMedia</t>
        </is>
      </c>
      <c r="F80" s="22" t="inlineStr">
        <is>
          <t>yJ08vTHJ4gE</t>
        </is>
      </c>
      <c r="G80" s="22" t="n">
        <v>-0.875</v>
      </c>
      <c r="H80" s="22" t="n">
        <v>1</v>
      </c>
      <c r="I80" s="22" t="n">
        <v>0</v>
      </c>
      <c r="J80" s="22" t="n">
        <v>0</v>
      </c>
      <c r="K80" s="22" t="n">
        <v>0</v>
      </c>
      <c r="L80" s="22" t="n">
        <v>0</v>
      </c>
      <c r="M80" s="22" t="n">
        <v>1</v>
      </c>
      <c r="N80" s="22" t="n">
        <v>0</v>
      </c>
      <c r="O80" s="22" t="n">
        <v>0</v>
      </c>
      <c r="P80" s="22" t="n">
        <v>0</v>
      </c>
      <c r="Q80" s="22" t="n">
        <v>0</v>
      </c>
      <c r="R80" s="22" t="n">
        <v>0</v>
      </c>
      <c r="S80" s="22" t="n">
        <v>0</v>
      </c>
      <c r="T80" s="22" t="n">
        <v>0</v>
      </c>
      <c r="U80" s="3">
        <f>IF(OR(N80=1,Q80=1),1,0)</f>
        <v/>
      </c>
      <c r="V80" s="3">
        <f>IF(OR(T80=1,P80=1),1,0)</f>
        <v/>
      </c>
      <c r="W80" s="3">
        <f>IF(OR(J80=1),1,0)</f>
        <v/>
      </c>
      <c r="X80" s="3">
        <f>IF(OR(I80=1,H80=1),1,0)</f>
        <v/>
      </c>
      <c r="Y80" s="3">
        <f>IF(OR(G80=1),1,0)</f>
        <v/>
      </c>
      <c r="Z80" s="3">
        <f>IF(OR(F80=1),1,0)</f>
        <v/>
      </c>
      <c r="AA80" s="3">
        <f>IF(OR(M80=1),1,0)</f>
        <v/>
      </c>
    </row>
    <row r="81">
      <c r="A81" s="22" t="inlineStr">
        <is>
          <t>ddc3f10a106851d1b5acc7d11d09232641abe563</t>
        </is>
      </c>
      <c r="B81" s="22" t="inlineStr">
        <is>
          <t>2026-02</t>
        </is>
      </c>
      <c r="C81" s="22" t="inlineStr">
        <is>
          <t>YouTube</t>
        </is>
      </c>
      <c r="D81" s="22" t="n">
        <v>0</v>
      </c>
      <c r="E81" s="22" t="inlineStr">
        <is>
          <t>NedMedia</t>
        </is>
      </c>
      <c r="F81" s="22" t="inlineStr">
        <is>
          <t>yJ08vTHJ4gE</t>
        </is>
      </c>
      <c r="G81" s="22" t="n">
        <v>-0.872</v>
      </c>
      <c r="H81" s="22" t="n">
        <v>1</v>
      </c>
      <c r="I81" s="22" t="n">
        <v>0</v>
      </c>
      <c r="J81" s="22" t="n">
        <v>0</v>
      </c>
      <c r="K81" s="22" t="n">
        <v>0</v>
      </c>
      <c r="L81" s="22" t="n">
        <v>0</v>
      </c>
      <c r="M81" s="22" t="n">
        <v>0</v>
      </c>
      <c r="N81" s="22" t="n">
        <v>0</v>
      </c>
      <c r="O81" s="22" t="n">
        <v>0</v>
      </c>
      <c r="P81" s="22" t="n">
        <v>0</v>
      </c>
      <c r="Q81" s="22" t="n">
        <v>0</v>
      </c>
      <c r="R81" s="22" t="n">
        <v>0</v>
      </c>
      <c r="S81" s="22" t="n">
        <v>0</v>
      </c>
      <c r="T81" s="22" t="n">
        <v>0</v>
      </c>
      <c r="U81" s="3">
        <f>IF(OR(N81=1,Q81=1),1,0)</f>
        <v/>
      </c>
      <c r="V81" s="3">
        <f>IF(OR(T81=1,P81=1),1,0)</f>
        <v/>
      </c>
      <c r="W81" s="3">
        <f>IF(OR(J81=1),1,0)</f>
        <v/>
      </c>
      <c r="X81" s="3">
        <f>IF(OR(I81=1,H81=1),1,0)</f>
        <v/>
      </c>
      <c r="Y81" s="3">
        <f>IF(OR(G81=1),1,0)</f>
        <v/>
      </c>
      <c r="Z81" s="3">
        <f>IF(OR(F81=1),1,0)</f>
        <v/>
      </c>
      <c r="AA81" s="3">
        <f>IF(OR(M81=1),1,0)</f>
        <v/>
      </c>
    </row>
    <row r="82">
      <c r="A82" s="22" t="inlineStr">
        <is>
          <t>2fa300eb72abf353742d75069904b15e4059a25c</t>
        </is>
      </c>
      <c r="B82" s="22" t="inlineStr">
        <is>
          <t>2026-02</t>
        </is>
      </c>
      <c r="C82" s="22" t="inlineStr">
        <is>
          <t>YouTube</t>
        </is>
      </c>
      <c r="D82" s="22" t="n">
        <v>0</v>
      </c>
      <c r="E82" s="22" t="inlineStr">
        <is>
          <t>NedMedia</t>
        </is>
      </c>
      <c r="F82" s="22" t="inlineStr">
        <is>
          <t>yJ08vTHJ4gE</t>
        </is>
      </c>
      <c r="G82" s="22" t="n">
        <v>-0.738</v>
      </c>
      <c r="H82" s="22" t="n">
        <v>1</v>
      </c>
      <c r="I82" s="22" t="n">
        <v>0</v>
      </c>
      <c r="J82" s="22" t="n">
        <v>0</v>
      </c>
      <c r="K82" s="22" t="n">
        <v>0</v>
      </c>
      <c r="L82" s="22" t="n">
        <v>0</v>
      </c>
      <c r="M82" s="22" t="n">
        <v>0</v>
      </c>
      <c r="N82" s="22" t="n">
        <v>0</v>
      </c>
      <c r="O82" s="22" t="n">
        <v>0</v>
      </c>
      <c r="P82" s="22" t="n">
        <v>0</v>
      </c>
      <c r="Q82" s="22" t="n">
        <v>0</v>
      </c>
      <c r="R82" s="22" t="n">
        <v>0</v>
      </c>
      <c r="S82" s="22" t="n">
        <v>0</v>
      </c>
      <c r="T82" s="22" t="n">
        <v>0</v>
      </c>
      <c r="U82" s="3">
        <f>IF(OR(N82=1,Q82=1),1,0)</f>
        <v/>
      </c>
      <c r="V82" s="3">
        <f>IF(OR(T82=1,P82=1),1,0)</f>
        <v/>
      </c>
      <c r="W82" s="3">
        <f>IF(OR(J82=1),1,0)</f>
        <v/>
      </c>
      <c r="X82" s="3">
        <f>IF(OR(I82=1,H82=1),1,0)</f>
        <v/>
      </c>
      <c r="Y82" s="3">
        <f>IF(OR(G82=1),1,0)</f>
        <v/>
      </c>
      <c r="Z82" s="3">
        <f>IF(OR(F82=1),1,0)</f>
        <v/>
      </c>
      <c r="AA82" s="3">
        <f>IF(OR(M82=1),1,0)</f>
        <v/>
      </c>
    </row>
    <row r="83">
      <c r="A83" s="22" t="inlineStr">
        <is>
          <t>e2e8afbc1b04a4331b350a5967a50d8d5d5fc082</t>
        </is>
      </c>
      <c r="B83" s="22" t="inlineStr">
        <is>
          <t>2026-02</t>
        </is>
      </c>
      <c r="C83" s="22" t="inlineStr">
        <is>
          <t>YouTube</t>
        </is>
      </c>
      <c r="D83" s="22" t="n">
        <v>0</v>
      </c>
      <c r="E83" s="22" t="inlineStr">
        <is>
          <t>NedMedia</t>
        </is>
      </c>
      <c r="F83" s="22" t="inlineStr">
        <is>
          <t>yJ08vTHJ4gE</t>
        </is>
      </c>
      <c r="G83" s="22" t="n">
        <v>-0.258</v>
      </c>
      <c r="H83" s="22" t="n">
        <v>0</v>
      </c>
      <c r="I83" s="22" t="n">
        <v>0</v>
      </c>
      <c r="J83" s="22" t="n">
        <v>0</v>
      </c>
      <c r="K83" s="22" t="n">
        <v>0</v>
      </c>
      <c r="L83" s="22" t="n">
        <v>1</v>
      </c>
      <c r="M83" s="22" t="n">
        <v>0</v>
      </c>
      <c r="N83" s="22" t="n">
        <v>0</v>
      </c>
      <c r="O83" s="22" t="n">
        <v>0</v>
      </c>
      <c r="P83" s="22" t="n">
        <v>0</v>
      </c>
      <c r="Q83" s="22" t="n">
        <v>0</v>
      </c>
      <c r="R83" s="22" t="n">
        <v>0</v>
      </c>
      <c r="S83" s="22" t="n">
        <v>0</v>
      </c>
      <c r="T83" s="22" t="n">
        <v>0</v>
      </c>
      <c r="U83" s="3">
        <f>IF(OR(N83=1,Q83=1),1,0)</f>
        <v/>
      </c>
      <c r="V83" s="3">
        <f>IF(OR(T83=1,P83=1),1,0)</f>
        <v/>
      </c>
      <c r="W83" s="3">
        <f>IF(OR(J83=1),1,0)</f>
        <v/>
      </c>
      <c r="X83" s="3">
        <f>IF(OR(I83=1,H83=1),1,0)</f>
        <v/>
      </c>
      <c r="Y83" s="3">
        <f>IF(OR(G83=1),1,0)</f>
        <v/>
      </c>
      <c r="Z83" s="3">
        <f>IF(OR(F83=1),1,0)</f>
        <v/>
      </c>
      <c r="AA83" s="3">
        <f>IF(OR(M83=1),1,0)</f>
        <v/>
      </c>
    </row>
    <row r="84">
      <c r="A84" s="22" t="inlineStr">
        <is>
          <t>ebf2a0928d7c7e68112ed5e88cfd7c768ef2ce70</t>
        </is>
      </c>
      <c r="B84" s="22" t="inlineStr">
        <is>
          <t>2026-02</t>
        </is>
      </c>
      <c r="C84" s="22" t="inlineStr">
        <is>
          <t>YouTube</t>
        </is>
      </c>
      <c r="D84" s="22" t="n">
        <v>0</v>
      </c>
      <c r="E84" s="22" t="inlineStr">
        <is>
          <t>NedMedia</t>
        </is>
      </c>
      <c r="F84" s="22" t="inlineStr">
        <is>
          <t>yJ08vTHJ4gE</t>
        </is>
      </c>
      <c r="G84" s="22" t="n">
        <v>-0.599</v>
      </c>
      <c r="H84" s="22" t="n">
        <v>1</v>
      </c>
      <c r="I84" s="22" t="n">
        <v>0</v>
      </c>
      <c r="J84" s="22" t="n">
        <v>0</v>
      </c>
      <c r="K84" s="22" t="n">
        <v>0</v>
      </c>
      <c r="L84" s="22" t="n">
        <v>0</v>
      </c>
      <c r="M84" s="22" t="n">
        <v>0</v>
      </c>
      <c r="N84" s="22" t="n">
        <v>0</v>
      </c>
      <c r="O84" s="22" t="n">
        <v>0</v>
      </c>
      <c r="P84" s="22" t="n">
        <v>0</v>
      </c>
      <c r="Q84" s="22" t="n">
        <v>0</v>
      </c>
      <c r="R84" s="22" t="n">
        <v>0</v>
      </c>
      <c r="S84" s="22" t="n">
        <v>0</v>
      </c>
      <c r="T84" s="22" t="n">
        <v>0</v>
      </c>
      <c r="U84" s="3">
        <f>IF(OR(N84=1,Q84=1),1,0)</f>
        <v/>
      </c>
      <c r="V84" s="3">
        <f>IF(OR(T84=1,P84=1),1,0)</f>
        <v/>
      </c>
      <c r="W84" s="3">
        <f>IF(OR(J84=1),1,0)</f>
        <v/>
      </c>
      <c r="X84" s="3">
        <f>IF(OR(I84=1,H84=1),1,0)</f>
        <v/>
      </c>
      <c r="Y84" s="3">
        <f>IF(OR(G84=1),1,0)</f>
        <v/>
      </c>
      <c r="Z84" s="3">
        <f>IF(OR(F84=1),1,0)</f>
        <v/>
      </c>
      <c r="AA84" s="3">
        <f>IF(OR(M84=1),1,0)</f>
        <v/>
      </c>
    </row>
    <row r="85">
      <c r="A85" s="22" t="inlineStr">
        <is>
          <t>0a344485d32416c3b55a9f5dc5b96fbdb0805360</t>
        </is>
      </c>
      <c r="B85" s="22" t="inlineStr">
        <is>
          <t>2026-02</t>
        </is>
      </c>
      <c r="C85" s="22" t="inlineStr">
        <is>
          <t>YouTube</t>
        </is>
      </c>
      <c r="D85" s="22" t="n">
        <v>0</v>
      </c>
      <c r="E85" s="22" t="inlineStr">
        <is>
          <t>NedMedia</t>
        </is>
      </c>
      <c r="F85" s="22" t="inlineStr">
        <is>
          <t>yJ08vTHJ4gE</t>
        </is>
      </c>
      <c r="G85" s="22" t="n">
        <v>-0.496</v>
      </c>
      <c r="H85" s="22" t="n">
        <v>1</v>
      </c>
      <c r="I85" s="22" t="n">
        <v>0</v>
      </c>
      <c r="J85" s="22" t="n">
        <v>0</v>
      </c>
      <c r="K85" s="22" t="n">
        <v>0</v>
      </c>
      <c r="L85" s="22" t="n">
        <v>0</v>
      </c>
      <c r="M85" s="22" t="n">
        <v>0</v>
      </c>
      <c r="N85" s="22" t="n">
        <v>0</v>
      </c>
      <c r="O85" s="22" t="n">
        <v>0</v>
      </c>
      <c r="P85" s="22" t="n">
        <v>0</v>
      </c>
      <c r="Q85" s="22" t="n">
        <v>0</v>
      </c>
      <c r="R85" s="22" t="n">
        <v>0</v>
      </c>
      <c r="S85" s="22" t="n">
        <v>0</v>
      </c>
      <c r="T85" s="22" t="n">
        <v>0</v>
      </c>
      <c r="U85" s="3">
        <f>IF(OR(N85=1,Q85=1),1,0)</f>
        <v/>
      </c>
      <c r="V85" s="3">
        <f>IF(OR(T85=1,P85=1),1,0)</f>
        <v/>
      </c>
      <c r="W85" s="3">
        <f>IF(OR(J85=1),1,0)</f>
        <v/>
      </c>
      <c r="X85" s="3">
        <f>IF(OR(I85=1,H85=1),1,0)</f>
        <v/>
      </c>
      <c r="Y85" s="3">
        <f>IF(OR(G85=1),1,0)</f>
        <v/>
      </c>
      <c r="Z85" s="3">
        <f>IF(OR(F85=1),1,0)</f>
        <v/>
      </c>
      <c r="AA85" s="3">
        <f>IF(OR(M85=1),1,0)</f>
        <v/>
      </c>
    </row>
    <row r="86">
      <c r="A86" s="22" t="inlineStr">
        <is>
          <t>723ecce6ec769d721e567f34e77df1f0dc74b5d2</t>
        </is>
      </c>
      <c r="B86" s="22" t="inlineStr">
        <is>
          <t>2026-02</t>
        </is>
      </c>
      <c r="C86" s="22" t="inlineStr">
        <is>
          <t>YouTube</t>
        </is>
      </c>
      <c r="D86" s="22" t="n">
        <v>0</v>
      </c>
      <c r="E86" s="22" t="inlineStr">
        <is>
          <t>NedMedia</t>
        </is>
      </c>
      <c r="F86" s="22" t="inlineStr">
        <is>
          <t>yJ08vTHJ4gE</t>
        </is>
      </c>
      <c r="G86" s="22" t="n">
        <v>-0.572</v>
      </c>
      <c r="H86" s="22" t="n">
        <v>1</v>
      </c>
      <c r="I86" s="22" t="n">
        <v>0</v>
      </c>
      <c r="J86" s="22" t="n">
        <v>0</v>
      </c>
      <c r="K86" s="22" t="n">
        <v>0</v>
      </c>
      <c r="L86" s="22" t="n">
        <v>0</v>
      </c>
      <c r="M86" s="22" t="n">
        <v>1</v>
      </c>
      <c r="N86" s="22" t="n">
        <v>0</v>
      </c>
      <c r="O86" s="22" t="n">
        <v>0</v>
      </c>
      <c r="P86" s="22" t="n">
        <v>0</v>
      </c>
      <c r="Q86" s="22" t="n">
        <v>0</v>
      </c>
      <c r="R86" s="22" t="n">
        <v>0</v>
      </c>
      <c r="S86" s="22" t="n">
        <v>0</v>
      </c>
      <c r="T86" s="22" t="n">
        <v>0</v>
      </c>
      <c r="U86" s="3">
        <f>IF(OR(N86=1,Q86=1),1,0)</f>
        <v/>
      </c>
      <c r="V86" s="3">
        <f>IF(OR(T86=1,P86=1),1,0)</f>
        <v/>
      </c>
      <c r="W86" s="3">
        <f>IF(OR(J86=1),1,0)</f>
        <v/>
      </c>
      <c r="X86" s="3">
        <f>IF(OR(I86=1,H86=1),1,0)</f>
        <v/>
      </c>
      <c r="Y86" s="3">
        <f>IF(OR(G86=1),1,0)</f>
        <v/>
      </c>
      <c r="Z86" s="3">
        <f>IF(OR(F86=1),1,0)</f>
        <v/>
      </c>
      <c r="AA86" s="3">
        <f>IF(OR(M86=1),1,0)</f>
        <v/>
      </c>
    </row>
    <row r="87">
      <c r="A87" s="22" t="inlineStr">
        <is>
          <t>bea2fc42657580aca50aabb6fab96c0b5a6ca294</t>
        </is>
      </c>
      <c r="B87" s="22" t="inlineStr">
        <is>
          <t>2026-02</t>
        </is>
      </c>
      <c r="C87" s="22" t="inlineStr">
        <is>
          <t>YouTube</t>
        </is>
      </c>
      <c r="D87" s="22" t="n">
        <v>0</v>
      </c>
      <c r="E87" s="22" t="inlineStr">
        <is>
          <t>NedMedia</t>
        </is>
      </c>
      <c r="F87" s="22" t="inlineStr">
        <is>
          <t>yJ08vTHJ4gE</t>
        </is>
      </c>
      <c r="G87" s="22" t="n">
        <v>0</v>
      </c>
      <c r="H87" s="22" t="n">
        <v>0</v>
      </c>
      <c r="I87" s="22" t="n">
        <v>1</v>
      </c>
      <c r="J87" s="22" t="n">
        <v>0</v>
      </c>
      <c r="K87" s="22" t="n">
        <v>0</v>
      </c>
      <c r="L87" s="22" t="n">
        <v>0</v>
      </c>
      <c r="M87" s="22" t="n">
        <v>0</v>
      </c>
      <c r="N87" s="22" t="n">
        <v>0</v>
      </c>
      <c r="O87" s="22" t="n">
        <v>0</v>
      </c>
      <c r="P87" s="22" t="n">
        <v>0</v>
      </c>
      <c r="Q87" s="22" t="n">
        <v>0</v>
      </c>
      <c r="R87" s="22" t="n">
        <v>0</v>
      </c>
      <c r="S87" s="22" t="n">
        <v>0</v>
      </c>
      <c r="T87" s="22" t="n">
        <v>0</v>
      </c>
      <c r="U87" s="3">
        <f>IF(OR(N87=1,Q87=1),1,0)</f>
        <v/>
      </c>
      <c r="V87" s="3">
        <f>IF(OR(T87=1,P87=1),1,0)</f>
        <v/>
      </c>
      <c r="W87" s="3">
        <f>IF(OR(J87=1),1,0)</f>
        <v/>
      </c>
      <c r="X87" s="3">
        <f>IF(OR(I87=1,H87=1),1,0)</f>
        <v/>
      </c>
      <c r="Y87" s="3">
        <f>IF(OR(G87=1),1,0)</f>
        <v/>
      </c>
      <c r="Z87" s="3">
        <f>IF(OR(F87=1),1,0)</f>
        <v/>
      </c>
      <c r="AA87" s="3">
        <f>IF(OR(M87=1),1,0)</f>
        <v/>
      </c>
    </row>
    <row r="88">
      <c r="A88" s="22" t="inlineStr">
        <is>
          <t>0deddafeecad0b8387913d7df42f9b2acf3c59bf</t>
        </is>
      </c>
      <c r="B88" s="22" t="inlineStr">
        <is>
          <t>2026-02</t>
        </is>
      </c>
      <c r="C88" s="22" t="inlineStr">
        <is>
          <t>YouTube</t>
        </is>
      </c>
      <c r="D88" s="22" t="n">
        <v>0</v>
      </c>
      <c r="E88" s="22" t="inlineStr">
        <is>
          <t>NedMedia</t>
        </is>
      </c>
      <c r="F88" s="22" t="inlineStr">
        <is>
          <t>yJ08vTHJ4gE</t>
        </is>
      </c>
      <c r="G88" s="22" t="n">
        <v>-0.766</v>
      </c>
      <c r="H88" s="22" t="n">
        <v>1</v>
      </c>
      <c r="I88" s="22" t="n">
        <v>0</v>
      </c>
      <c r="J88" s="22" t="n">
        <v>0</v>
      </c>
      <c r="K88" s="22" t="n">
        <v>0</v>
      </c>
      <c r="L88" s="22" t="n">
        <v>0</v>
      </c>
      <c r="M88" s="22" t="n">
        <v>0</v>
      </c>
      <c r="N88" s="22" t="n">
        <v>0</v>
      </c>
      <c r="O88" s="22" t="n">
        <v>0</v>
      </c>
      <c r="P88" s="22" t="n">
        <v>0</v>
      </c>
      <c r="Q88" s="22" t="n">
        <v>0</v>
      </c>
      <c r="R88" s="22" t="n">
        <v>0</v>
      </c>
      <c r="S88" s="22" t="n">
        <v>0</v>
      </c>
      <c r="T88" s="22" t="n">
        <v>0</v>
      </c>
      <c r="U88" s="3">
        <f>IF(OR(N88=1,Q88=1),1,0)</f>
        <v/>
      </c>
      <c r="V88" s="3">
        <f>IF(OR(T88=1,P88=1),1,0)</f>
        <v/>
      </c>
      <c r="W88" s="3">
        <f>IF(OR(J88=1),1,0)</f>
        <v/>
      </c>
      <c r="X88" s="3">
        <f>IF(OR(I88=1,H88=1),1,0)</f>
        <v/>
      </c>
      <c r="Y88" s="3">
        <f>IF(OR(G88=1),1,0)</f>
        <v/>
      </c>
      <c r="Z88" s="3">
        <f>IF(OR(F88=1),1,0)</f>
        <v/>
      </c>
      <c r="AA88" s="3">
        <f>IF(OR(M88=1),1,0)</f>
        <v/>
      </c>
    </row>
    <row r="89">
      <c r="A89" s="22" t="inlineStr">
        <is>
          <t>67f2f8b47a05840c0875fef0cf9da25b8d227fbd</t>
        </is>
      </c>
      <c r="B89" s="22" t="inlineStr">
        <is>
          <t>2026-02</t>
        </is>
      </c>
      <c r="C89" s="22" t="inlineStr">
        <is>
          <t>YouTube</t>
        </is>
      </c>
      <c r="D89" s="22" t="n">
        <v>0</v>
      </c>
      <c r="E89" s="22" t="inlineStr">
        <is>
          <t>NedMedia</t>
        </is>
      </c>
      <c r="F89" s="22" t="inlineStr">
        <is>
          <t>yJ08vTHJ4gE</t>
        </is>
      </c>
      <c r="G89" s="22" t="n">
        <v>0.052</v>
      </c>
      <c r="H89" s="22" t="n">
        <v>1</v>
      </c>
      <c r="I89" s="22" t="n">
        <v>0</v>
      </c>
      <c r="J89" s="22" t="n">
        <v>0</v>
      </c>
      <c r="K89" s="22" t="n">
        <v>0</v>
      </c>
      <c r="L89" s="22" t="n">
        <v>0</v>
      </c>
      <c r="M89" s="22" t="n">
        <v>0</v>
      </c>
      <c r="N89" s="22" t="n">
        <v>0</v>
      </c>
      <c r="O89" s="22" t="n">
        <v>0</v>
      </c>
      <c r="P89" s="22" t="n">
        <v>0</v>
      </c>
      <c r="Q89" s="22" t="n">
        <v>0</v>
      </c>
      <c r="R89" s="22" t="n">
        <v>0</v>
      </c>
      <c r="S89" s="22" t="n">
        <v>0</v>
      </c>
      <c r="T89" s="22" t="n">
        <v>0</v>
      </c>
      <c r="U89" s="3">
        <f>IF(OR(N89=1,Q89=1),1,0)</f>
        <v/>
      </c>
      <c r="V89" s="3">
        <f>IF(OR(T89=1,P89=1),1,0)</f>
        <v/>
      </c>
      <c r="W89" s="3">
        <f>IF(OR(J89=1),1,0)</f>
        <v/>
      </c>
      <c r="X89" s="3">
        <f>IF(OR(I89=1,H89=1),1,0)</f>
        <v/>
      </c>
      <c r="Y89" s="3">
        <f>IF(OR(G89=1),1,0)</f>
        <v/>
      </c>
      <c r="Z89" s="3">
        <f>IF(OR(F89=1),1,0)</f>
        <v/>
      </c>
      <c r="AA89" s="3">
        <f>IF(OR(M89=1),1,0)</f>
        <v/>
      </c>
    </row>
    <row r="90">
      <c r="A90" s="22" t="inlineStr">
        <is>
          <t>1e6e3b1a5bbdf85dcc4f904c594bc91d00bccac9</t>
        </is>
      </c>
      <c r="B90" s="22" t="inlineStr">
        <is>
          <t>2026-02</t>
        </is>
      </c>
      <c r="C90" s="22" t="inlineStr">
        <is>
          <t>YouTube</t>
        </is>
      </c>
      <c r="D90" s="22" t="n">
        <v>0</v>
      </c>
      <c r="E90" s="22" t="inlineStr">
        <is>
          <t>NedMedia</t>
        </is>
      </c>
      <c r="F90" s="22" t="inlineStr">
        <is>
          <t>yJ08vTHJ4gE</t>
        </is>
      </c>
      <c r="G90" s="22" t="n">
        <v>-0.265</v>
      </c>
      <c r="H90" s="22" t="n">
        <v>0</v>
      </c>
      <c r="I90" s="22" t="n">
        <v>0</v>
      </c>
      <c r="J90" s="22" t="n">
        <v>0</v>
      </c>
      <c r="K90" s="22" t="n">
        <v>0</v>
      </c>
      <c r="L90" s="22" t="n">
        <v>1</v>
      </c>
      <c r="M90" s="22" t="n">
        <v>0</v>
      </c>
      <c r="N90" s="22" t="n">
        <v>0</v>
      </c>
      <c r="O90" s="22" t="n">
        <v>0</v>
      </c>
      <c r="P90" s="22" t="n">
        <v>0</v>
      </c>
      <c r="Q90" s="22" t="n">
        <v>0</v>
      </c>
      <c r="R90" s="22" t="n">
        <v>0</v>
      </c>
      <c r="S90" s="22" t="n">
        <v>0</v>
      </c>
      <c r="T90" s="22" t="n">
        <v>0</v>
      </c>
      <c r="U90" s="3">
        <f>IF(OR(N90=1,Q90=1),1,0)</f>
        <v/>
      </c>
      <c r="V90" s="3">
        <f>IF(OR(T90=1,P90=1),1,0)</f>
        <v/>
      </c>
      <c r="W90" s="3">
        <f>IF(OR(J90=1),1,0)</f>
        <v/>
      </c>
      <c r="X90" s="3">
        <f>IF(OR(I90=1,H90=1),1,0)</f>
        <v/>
      </c>
      <c r="Y90" s="3">
        <f>IF(OR(G90=1),1,0)</f>
        <v/>
      </c>
      <c r="Z90" s="3">
        <f>IF(OR(F90=1),1,0)</f>
        <v/>
      </c>
      <c r="AA90" s="3">
        <f>IF(OR(M90=1),1,0)</f>
        <v/>
      </c>
    </row>
    <row r="91">
      <c r="A91" s="22" t="inlineStr">
        <is>
          <t>5eba024d65f5b47a5d7f1a08816bff1df2c9b173</t>
        </is>
      </c>
      <c r="B91" s="22" t="inlineStr">
        <is>
          <t>2026-02</t>
        </is>
      </c>
      <c r="C91" s="22" t="inlineStr">
        <is>
          <t>YouTube</t>
        </is>
      </c>
      <c r="D91" s="22" t="n">
        <v>0</v>
      </c>
      <c r="E91" s="22" t="inlineStr">
        <is>
          <t>NedMedia</t>
        </is>
      </c>
      <c r="F91" s="22" t="inlineStr">
        <is>
          <t>yJ08vTHJ4gE</t>
        </is>
      </c>
      <c r="G91" s="22" t="n">
        <v>-0.273</v>
      </c>
      <c r="H91" s="22" t="n">
        <v>0</v>
      </c>
      <c r="I91" s="22" t="n">
        <v>0</v>
      </c>
      <c r="J91" s="22" t="n">
        <v>0</v>
      </c>
      <c r="K91" s="22" t="n">
        <v>0</v>
      </c>
      <c r="L91" s="22" t="n">
        <v>1</v>
      </c>
      <c r="M91" s="22" t="n">
        <v>0</v>
      </c>
      <c r="N91" s="22" t="n">
        <v>0</v>
      </c>
      <c r="O91" s="22" t="n">
        <v>0</v>
      </c>
      <c r="P91" s="22" t="n">
        <v>0</v>
      </c>
      <c r="Q91" s="22" t="n">
        <v>0</v>
      </c>
      <c r="R91" s="22" t="n">
        <v>0</v>
      </c>
      <c r="S91" s="22" t="n">
        <v>0</v>
      </c>
      <c r="T91" s="22" t="n">
        <v>0</v>
      </c>
      <c r="U91" s="3">
        <f>IF(OR(N91=1,Q91=1),1,0)</f>
        <v/>
      </c>
      <c r="V91" s="3">
        <f>IF(OR(T91=1,P91=1),1,0)</f>
        <v/>
      </c>
      <c r="W91" s="3">
        <f>IF(OR(J91=1),1,0)</f>
        <v/>
      </c>
      <c r="X91" s="3">
        <f>IF(OR(I91=1,H91=1),1,0)</f>
        <v/>
      </c>
      <c r="Y91" s="3">
        <f>IF(OR(G91=1),1,0)</f>
        <v/>
      </c>
      <c r="Z91" s="3">
        <f>IF(OR(F91=1),1,0)</f>
        <v/>
      </c>
      <c r="AA91" s="3">
        <f>IF(OR(M91=1),1,0)</f>
        <v/>
      </c>
    </row>
    <row r="92">
      <c r="A92" s="22" t="inlineStr">
        <is>
          <t>b76d30c43ef58276362b7395525f4485ff276de8</t>
        </is>
      </c>
      <c r="B92" s="22" t="inlineStr">
        <is>
          <t>2026-02</t>
        </is>
      </c>
      <c r="C92" s="22" t="inlineStr">
        <is>
          <t>YouTube</t>
        </is>
      </c>
      <c r="D92" s="22" t="n">
        <v>0</v>
      </c>
      <c r="E92" s="22" t="inlineStr">
        <is>
          <t>NedMedia</t>
        </is>
      </c>
      <c r="F92" s="22" t="inlineStr">
        <is>
          <t>yJ08vTHJ4gE</t>
        </is>
      </c>
      <c r="G92" s="22" t="n">
        <v>0</v>
      </c>
      <c r="H92" s="22" t="n">
        <v>0</v>
      </c>
      <c r="I92" s="22" t="n">
        <v>0</v>
      </c>
      <c r="J92" s="22" t="n">
        <v>0</v>
      </c>
      <c r="K92" s="22" t="n">
        <v>0</v>
      </c>
      <c r="L92" s="22" t="n">
        <v>0</v>
      </c>
      <c r="M92" s="22" t="n">
        <v>0</v>
      </c>
      <c r="N92" s="22" t="n">
        <v>0</v>
      </c>
      <c r="O92" s="22" t="n">
        <v>1</v>
      </c>
      <c r="P92" s="22" t="n">
        <v>0</v>
      </c>
      <c r="Q92" s="22" t="n">
        <v>0</v>
      </c>
      <c r="R92" s="22" t="n">
        <v>0</v>
      </c>
      <c r="S92" s="22" t="n">
        <v>0</v>
      </c>
      <c r="T92" s="22" t="n">
        <v>0</v>
      </c>
      <c r="U92" s="3">
        <f>IF(OR(N92=1,Q92=1),1,0)</f>
        <v/>
      </c>
      <c r="V92" s="3">
        <f>IF(OR(T92=1,P92=1),1,0)</f>
        <v/>
      </c>
      <c r="W92" s="3">
        <f>IF(OR(J92=1),1,0)</f>
        <v/>
      </c>
      <c r="X92" s="3">
        <f>IF(OR(I92=1,H92=1),1,0)</f>
        <v/>
      </c>
      <c r="Y92" s="3">
        <f>IF(OR(G92=1),1,0)</f>
        <v/>
      </c>
      <c r="Z92" s="3">
        <f>IF(OR(F92=1),1,0)</f>
        <v/>
      </c>
      <c r="AA92" s="3">
        <f>IF(OR(M92=1),1,0)</f>
        <v/>
      </c>
    </row>
    <row r="93">
      <c r="A93" s="22" t="inlineStr">
        <is>
          <t>8d5edd26b4225afa61c7caefe428fb811ec5836e</t>
        </is>
      </c>
      <c r="B93" s="22" t="inlineStr">
        <is>
          <t>2026-02</t>
        </is>
      </c>
      <c r="C93" s="22" t="inlineStr">
        <is>
          <t>YouTube</t>
        </is>
      </c>
      <c r="D93" s="22" t="n">
        <v>0</v>
      </c>
      <c r="E93" s="22" t="inlineStr">
        <is>
          <t>NedMedia</t>
        </is>
      </c>
      <c r="F93" s="22" t="inlineStr">
        <is>
          <t>yJ08vTHJ4gE</t>
        </is>
      </c>
      <c r="G93" s="22" t="n">
        <v>0</v>
      </c>
      <c r="H93" s="22" t="n">
        <v>1</v>
      </c>
      <c r="I93" s="22" t="n">
        <v>0</v>
      </c>
      <c r="J93" s="22" t="n">
        <v>0</v>
      </c>
      <c r="K93" s="22" t="n">
        <v>0</v>
      </c>
      <c r="L93" s="22" t="n">
        <v>0</v>
      </c>
      <c r="M93" s="22" t="n">
        <v>0</v>
      </c>
      <c r="N93" s="22" t="n">
        <v>0</v>
      </c>
      <c r="O93" s="22" t="n">
        <v>0</v>
      </c>
      <c r="P93" s="22" t="n">
        <v>0</v>
      </c>
      <c r="Q93" s="22" t="n">
        <v>0</v>
      </c>
      <c r="R93" s="22" t="n">
        <v>0</v>
      </c>
      <c r="S93" s="22" t="n">
        <v>0</v>
      </c>
      <c r="T93" s="22" t="n">
        <v>0</v>
      </c>
      <c r="U93" s="3">
        <f>IF(OR(N93=1,Q93=1),1,0)</f>
        <v/>
      </c>
      <c r="V93" s="3">
        <f>IF(OR(T93=1,P93=1),1,0)</f>
        <v/>
      </c>
      <c r="W93" s="3">
        <f>IF(OR(J93=1),1,0)</f>
        <v/>
      </c>
      <c r="X93" s="3">
        <f>IF(OR(I93=1,H93=1),1,0)</f>
        <v/>
      </c>
      <c r="Y93" s="3">
        <f>IF(OR(G93=1),1,0)</f>
        <v/>
      </c>
      <c r="Z93" s="3">
        <f>IF(OR(F93=1),1,0)</f>
        <v/>
      </c>
      <c r="AA93" s="3">
        <f>IF(OR(M93=1),1,0)</f>
        <v/>
      </c>
    </row>
    <row r="94">
      <c r="A94" s="22" t="inlineStr">
        <is>
          <t>f68783fd8db8b2258d92c8d2cf5a0b83db025ed1</t>
        </is>
      </c>
      <c r="B94" s="22" t="inlineStr">
        <is>
          <t>2026-02</t>
        </is>
      </c>
      <c r="C94" s="22" t="inlineStr">
        <is>
          <t>YouTube</t>
        </is>
      </c>
      <c r="D94" s="22" t="n">
        <v>0</v>
      </c>
      <c r="E94" s="22" t="inlineStr">
        <is>
          <t>NedMedia</t>
        </is>
      </c>
      <c r="F94" s="22" t="inlineStr">
        <is>
          <t>yJ08vTHJ4gE</t>
        </is>
      </c>
      <c r="G94" s="22" t="n">
        <v>-0.357</v>
      </c>
      <c r="H94" s="22" t="n">
        <v>0</v>
      </c>
      <c r="I94" s="22" t="n">
        <v>0</v>
      </c>
      <c r="J94" s="22" t="n">
        <v>0</v>
      </c>
      <c r="K94" s="22" t="n">
        <v>0</v>
      </c>
      <c r="L94" s="22" t="n">
        <v>1</v>
      </c>
      <c r="M94" s="22" t="n">
        <v>0</v>
      </c>
      <c r="N94" s="22" t="n">
        <v>0</v>
      </c>
      <c r="O94" s="22" t="n">
        <v>0</v>
      </c>
      <c r="P94" s="22" t="n">
        <v>0</v>
      </c>
      <c r="Q94" s="22" t="n">
        <v>0</v>
      </c>
      <c r="R94" s="22" t="n">
        <v>0</v>
      </c>
      <c r="S94" s="22" t="n">
        <v>0</v>
      </c>
      <c r="T94" s="22" t="n">
        <v>0</v>
      </c>
      <c r="U94" s="3">
        <f>IF(OR(N94=1,Q94=1),1,0)</f>
        <v/>
      </c>
      <c r="V94" s="3">
        <f>IF(OR(T94=1,P94=1),1,0)</f>
        <v/>
      </c>
      <c r="W94" s="3">
        <f>IF(OR(J94=1),1,0)</f>
        <v/>
      </c>
      <c r="X94" s="3">
        <f>IF(OR(I94=1,H94=1),1,0)</f>
        <v/>
      </c>
      <c r="Y94" s="3">
        <f>IF(OR(G94=1),1,0)</f>
        <v/>
      </c>
      <c r="Z94" s="3">
        <f>IF(OR(F94=1),1,0)</f>
        <v/>
      </c>
      <c r="AA94" s="3">
        <f>IF(OR(M94=1),1,0)</f>
        <v/>
      </c>
    </row>
    <row r="95">
      <c r="A95" s="22" t="inlineStr">
        <is>
          <t>88d171e48c4c51597162f276fc91befadef76471</t>
        </is>
      </c>
      <c r="B95" s="22" t="inlineStr">
        <is>
          <t>2026-02</t>
        </is>
      </c>
      <c r="C95" s="22" t="inlineStr">
        <is>
          <t>YouTube</t>
        </is>
      </c>
      <c r="D95" s="22" t="n">
        <v>0</v>
      </c>
      <c r="E95" s="22" t="inlineStr">
        <is>
          <t>NedMedia</t>
        </is>
      </c>
      <c r="F95" s="22" t="inlineStr">
        <is>
          <t>yJ08vTHJ4gE</t>
        </is>
      </c>
      <c r="G95" s="22" t="n">
        <v>-0.842</v>
      </c>
      <c r="H95" s="22" t="n">
        <v>0</v>
      </c>
      <c r="I95" s="22" t="n">
        <v>0</v>
      </c>
      <c r="J95" s="22" t="n">
        <v>0</v>
      </c>
      <c r="K95" s="22" t="n">
        <v>0</v>
      </c>
      <c r="L95" s="22" t="n">
        <v>0</v>
      </c>
      <c r="M95" s="22" t="n">
        <v>0</v>
      </c>
      <c r="N95" s="22" t="n">
        <v>0</v>
      </c>
      <c r="O95" s="22" t="n">
        <v>0</v>
      </c>
      <c r="P95" s="22" t="n">
        <v>0</v>
      </c>
      <c r="Q95" s="22" t="n">
        <v>0</v>
      </c>
      <c r="R95" s="22" t="n">
        <v>1</v>
      </c>
      <c r="S95" s="22" t="n">
        <v>0</v>
      </c>
      <c r="T95" s="22" t="n">
        <v>0</v>
      </c>
      <c r="U95" s="3">
        <f>IF(OR(N95=1,Q95=1),1,0)</f>
        <v/>
      </c>
      <c r="V95" s="3">
        <f>IF(OR(T95=1,P95=1),1,0)</f>
        <v/>
      </c>
      <c r="W95" s="3">
        <f>IF(OR(J95=1),1,0)</f>
        <v/>
      </c>
      <c r="X95" s="3">
        <f>IF(OR(I95=1,H95=1),1,0)</f>
        <v/>
      </c>
      <c r="Y95" s="3">
        <f>IF(OR(G95=1),1,0)</f>
        <v/>
      </c>
      <c r="Z95" s="3">
        <f>IF(OR(F95=1),1,0)</f>
        <v/>
      </c>
      <c r="AA95" s="3">
        <f>IF(OR(M95=1),1,0)</f>
        <v/>
      </c>
    </row>
    <row r="96">
      <c r="A96" s="22" t="inlineStr">
        <is>
          <t>830f4cbe802cd5b8628a52ec3ef28a65711f682d</t>
        </is>
      </c>
      <c r="B96" s="22" t="inlineStr">
        <is>
          <t>2026-02</t>
        </is>
      </c>
      <c r="C96" s="22" t="inlineStr">
        <is>
          <t>YouTube</t>
        </is>
      </c>
      <c r="D96" s="22" t="n">
        <v>0</v>
      </c>
      <c r="E96" s="22" t="inlineStr">
        <is>
          <t>NedMedia</t>
        </is>
      </c>
      <c r="F96" s="22" t="inlineStr">
        <is>
          <t>yJ08vTHJ4gE</t>
        </is>
      </c>
      <c r="G96" s="22" t="n">
        <v>-0.819</v>
      </c>
      <c r="H96" s="22" t="n">
        <v>0</v>
      </c>
      <c r="I96" s="22" t="n">
        <v>0</v>
      </c>
      <c r="J96" s="22" t="n">
        <v>0</v>
      </c>
      <c r="K96" s="22" t="n">
        <v>1</v>
      </c>
      <c r="L96" s="22" t="n">
        <v>0</v>
      </c>
      <c r="M96" s="22" t="n">
        <v>0</v>
      </c>
      <c r="N96" s="22" t="n">
        <v>0</v>
      </c>
      <c r="O96" s="22" t="n">
        <v>0</v>
      </c>
      <c r="P96" s="22" t="n">
        <v>0</v>
      </c>
      <c r="Q96" s="22" t="n">
        <v>0</v>
      </c>
      <c r="R96" s="22" t="n">
        <v>0</v>
      </c>
      <c r="S96" s="22" t="n">
        <v>0</v>
      </c>
      <c r="T96" s="22" t="n">
        <v>0</v>
      </c>
      <c r="U96" s="3">
        <f>IF(OR(N96=1,Q96=1),1,0)</f>
        <v/>
      </c>
      <c r="V96" s="3">
        <f>IF(OR(T96=1,P96=1),1,0)</f>
        <v/>
      </c>
      <c r="W96" s="3">
        <f>IF(OR(J96=1),1,0)</f>
        <v/>
      </c>
      <c r="X96" s="3">
        <f>IF(OR(I96=1,H96=1),1,0)</f>
        <v/>
      </c>
      <c r="Y96" s="3">
        <f>IF(OR(G96=1),1,0)</f>
        <v/>
      </c>
      <c r="Z96" s="3">
        <f>IF(OR(F96=1),1,0)</f>
        <v/>
      </c>
      <c r="AA96" s="3">
        <f>IF(OR(M96=1),1,0)</f>
        <v/>
      </c>
    </row>
    <row r="97">
      <c r="A97" s="22" t="inlineStr">
        <is>
          <t>336eeaccbd3ec67c925eafb6b5b839ea82f6725f</t>
        </is>
      </c>
      <c r="B97" s="22" t="inlineStr">
        <is>
          <t>2026-02</t>
        </is>
      </c>
      <c r="C97" s="22" t="inlineStr">
        <is>
          <t>YouTube</t>
        </is>
      </c>
      <c r="D97" s="22" t="n">
        <v>0</v>
      </c>
      <c r="E97" s="22" t="inlineStr">
        <is>
          <t>Arise News</t>
        </is>
      </c>
      <c r="F97" s="22" t="inlineStr">
        <is>
          <t>CNZzx2veECs</t>
        </is>
      </c>
      <c r="G97" s="22" t="n">
        <v>0.427</v>
      </c>
      <c r="H97" s="22" t="n">
        <v>0</v>
      </c>
      <c r="I97" s="22" t="n">
        <v>0</v>
      </c>
      <c r="J97" s="22" t="n">
        <v>0</v>
      </c>
      <c r="K97" s="22" t="n">
        <v>0</v>
      </c>
      <c r="L97" s="22" t="n">
        <v>0</v>
      </c>
      <c r="M97" s="22" t="n">
        <v>0</v>
      </c>
      <c r="N97" s="22" t="n">
        <v>0</v>
      </c>
      <c r="O97" s="22" t="n">
        <v>1</v>
      </c>
      <c r="P97" s="22" t="n">
        <v>0</v>
      </c>
      <c r="Q97" s="22" t="n">
        <v>0</v>
      </c>
      <c r="R97" s="22" t="n">
        <v>0</v>
      </c>
      <c r="S97" s="22" t="n">
        <v>0</v>
      </c>
      <c r="T97" s="22" t="n">
        <v>0</v>
      </c>
      <c r="U97" s="3">
        <f>IF(OR(N97=1,Q97=1),1,0)</f>
        <v/>
      </c>
      <c r="V97" s="3">
        <f>IF(OR(T97=1,P97=1),1,0)</f>
        <v/>
      </c>
      <c r="W97" s="3">
        <f>IF(OR(J97=1),1,0)</f>
        <v/>
      </c>
      <c r="X97" s="3">
        <f>IF(OR(I97=1,H97=1),1,0)</f>
        <v/>
      </c>
      <c r="Y97" s="3">
        <f>IF(OR(G97=1),1,0)</f>
        <v/>
      </c>
      <c r="Z97" s="3">
        <f>IF(OR(F97=1),1,0)</f>
        <v/>
      </c>
      <c r="AA97" s="3">
        <f>IF(OR(M97=1),1,0)</f>
        <v/>
      </c>
    </row>
    <row r="98">
      <c r="A98" s="22" t="inlineStr">
        <is>
          <t>0992270533bd51f29dab7fa3d02d70d008fdf64e</t>
        </is>
      </c>
      <c r="B98" s="22" t="inlineStr">
        <is>
          <t>2026-02</t>
        </is>
      </c>
      <c r="C98" s="22" t="inlineStr">
        <is>
          <t>YouTube</t>
        </is>
      </c>
      <c r="D98" s="22" t="n">
        <v>0</v>
      </c>
      <c r="E98" s="22" t="inlineStr">
        <is>
          <t>NedMedia</t>
        </is>
      </c>
      <c r="F98" s="22" t="inlineStr">
        <is>
          <t>yJ08vTHJ4gE</t>
        </is>
      </c>
      <c r="G98" s="22" t="n">
        <v>0.599</v>
      </c>
      <c r="H98" s="22" t="n">
        <v>0</v>
      </c>
      <c r="I98" s="22" t="n">
        <v>0</v>
      </c>
      <c r="J98" s="22" t="n">
        <v>0</v>
      </c>
      <c r="K98" s="22" t="n">
        <v>0</v>
      </c>
      <c r="L98" s="22" t="n">
        <v>0</v>
      </c>
      <c r="M98" s="22" t="n">
        <v>0</v>
      </c>
      <c r="N98" s="22" t="n">
        <v>1</v>
      </c>
      <c r="O98" s="22" t="n">
        <v>0</v>
      </c>
      <c r="P98" s="22" t="n">
        <v>0</v>
      </c>
      <c r="Q98" s="22" t="n">
        <v>0</v>
      </c>
      <c r="R98" s="22" t="n">
        <v>0</v>
      </c>
      <c r="S98" s="22" t="n">
        <v>0</v>
      </c>
      <c r="T98" s="22" t="n">
        <v>0</v>
      </c>
      <c r="U98" s="3">
        <f>IF(OR(N98=1,Q98=1),1,0)</f>
        <v/>
      </c>
      <c r="V98" s="3">
        <f>IF(OR(T98=1,P98=1),1,0)</f>
        <v/>
      </c>
      <c r="W98" s="3">
        <f>IF(OR(J98=1),1,0)</f>
        <v/>
      </c>
      <c r="X98" s="3">
        <f>IF(OR(I98=1,H98=1),1,0)</f>
        <v/>
      </c>
      <c r="Y98" s="3">
        <f>IF(OR(G98=1),1,0)</f>
        <v/>
      </c>
      <c r="Z98" s="3">
        <f>IF(OR(F98=1),1,0)</f>
        <v/>
      </c>
      <c r="AA98" s="3">
        <f>IF(OR(M98=1),1,0)</f>
        <v/>
      </c>
    </row>
    <row r="99">
      <c r="A99" s="22" t="inlineStr">
        <is>
          <t>b83fe30734c07fed1a0186d3fd44e950a37925ec</t>
        </is>
      </c>
      <c r="B99" s="22" t="inlineStr">
        <is>
          <t>2026-04</t>
        </is>
      </c>
      <c r="C99" s="22" t="inlineStr">
        <is>
          <t>YouTube</t>
        </is>
      </c>
      <c r="D99" s="22" t="n">
        <v>0</v>
      </c>
      <c r="E99" s="22" t="inlineStr">
        <is>
          <t>Arise News</t>
        </is>
      </c>
      <c r="F99" s="22" t="inlineStr">
        <is>
          <t>Siagvz8Rh3s</t>
        </is>
      </c>
      <c r="G99" s="22" t="n">
        <v>-0.542</v>
      </c>
      <c r="H99" s="22" t="n">
        <v>1</v>
      </c>
      <c r="I99" s="22" t="n">
        <v>0</v>
      </c>
      <c r="J99" s="22" t="n">
        <v>0</v>
      </c>
      <c r="K99" s="22" t="n">
        <v>0</v>
      </c>
      <c r="L99" s="22" t="n">
        <v>0</v>
      </c>
      <c r="M99" s="22" t="n">
        <v>0</v>
      </c>
      <c r="N99" s="22" t="n">
        <v>0</v>
      </c>
      <c r="O99" s="22" t="n">
        <v>0</v>
      </c>
      <c r="P99" s="22" t="n">
        <v>0</v>
      </c>
      <c r="Q99" s="22" t="n">
        <v>0</v>
      </c>
      <c r="R99" s="22" t="n">
        <v>0</v>
      </c>
      <c r="S99" s="22" t="n">
        <v>0</v>
      </c>
      <c r="T99" s="22" t="n">
        <v>0</v>
      </c>
      <c r="U99" s="3">
        <f>IF(OR(N99=1,Q99=1),1,0)</f>
        <v/>
      </c>
      <c r="V99" s="3">
        <f>IF(OR(T99=1,P99=1),1,0)</f>
        <v/>
      </c>
      <c r="W99" s="3">
        <f>IF(OR(J99=1),1,0)</f>
        <v/>
      </c>
      <c r="X99" s="3">
        <f>IF(OR(I99=1,H99=1),1,0)</f>
        <v/>
      </c>
      <c r="Y99" s="3">
        <f>IF(OR(G99=1),1,0)</f>
        <v/>
      </c>
      <c r="Z99" s="3">
        <f>IF(OR(F99=1),1,0)</f>
        <v/>
      </c>
      <c r="AA99" s="3">
        <f>IF(OR(M99=1),1,0)</f>
        <v/>
      </c>
    </row>
    <row r="100">
      <c r="A100" s="22" t="inlineStr">
        <is>
          <t>383ee437e3bff1ffe031f700e8ffe25151f1ba68</t>
        </is>
      </c>
      <c r="B100" s="22" t="inlineStr">
        <is>
          <t>2026-04</t>
        </is>
      </c>
      <c r="C100" s="22" t="inlineStr">
        <is>
          <t>YouTube</t>
        </is>
      </c>
      <c r="D100" s="22" t="n">
        <v>0</v>
      </c>
      <c r="E100" s="22" t="inlineStr">
        <is>
          <t>Arise News</t>
        </is>
      </c>
      <c r="F100" s="22" t="inlineStr">
        <is>
          <t>Siagvz8Rh3s</t>
        </is>
      </c>
      <c r="G100" s="22" t="n">
        <v>-0.963</v>
      </c>
      <c r="H100" s="22" t="n">
        <v>0</v>
      </c>
      <c r="I100" s="22" t="n">
        <v>0</v>
      </c>
      <c r="J100" s="22" t="n">
        <v>0</v>
      </c>
      <c r="K100" s="22" t="n">
        <v>1</v>
      </c>
      <c r="L100" s="22" t="n">
        <v>0</v>
      </c>
      <c r="M100" s="22" t="n">
        <v>0</v>
      </c>
      <c r="N100" s="22" t="n">
        <v>0</v>
      </c>
      <c r="O100" s="22" t="n">
        <v>0</v>
      </c>
      <c r="P100" s="22" t="n">
        <v>0</v>
      </c>
      <c r="Q100" s="22" t="n">
        <v>0</v>
      </c>
      <c r="R100" s="22" t="n">
        <v>0</v>
      </c>
      <c r="S100" s="22" t="n">
        <v>0</v>
      </c>
      <c r="T100" s="22" t="n">
        <v>0</v>
      </c>
      <c r="U100" s="3">
        <f>IF(OR(N100=1,Q100=1),1,0)</f>
        <v/>
      </c>
      <c r="V100" s="3">
        <f>IF(OR(T100=1,P100=1),1,0)</f>
        <v/>
      </c>
      <c r="W100" s="3">
        <f>IF(OR(J100=1),1,0)</f>
        <v/>
      </c>
      <c r="X100" s="3">
        <f>IF(OR(I100=1,H100=1),1,0)</f>
        <v/>
      </c>
      <c r="Y100" s="3">
        <f>IF(OR(G100=1),1,0)</f>
        <v/>
      </c>
      <c r="Z100" s="3">
        <f>IF(OR(F100=1),1,0)</f>
        <v/>
      </c>
      <c r="AA100" s="3">
        <f>IF(OR(M100=1),1,0)</f>
        <v/>
      </c>
    </row>
    <row r="101">
      <c r="A101" s="22" t="inlineStr">
        <is>
          <t>be9aff568a9d6a3e8d2364cb2007bd677e1e6cb0</t>
        </is>
      </c>
      <c r="B101" s="22" t="inlineStr">
        <is>
          <t>2026-04</t>
        </is>
      </c>
      <c r="C101" s="22" t="inlineStr">
        <is>
          <t>YouTube</t>
        </is>
      </c>
      <c r="D101" s="22" t="n">
        <v>0</v>
      </c>
      <c r="E101" s="22" t="inlineStr">
        <is>
          <t>Arise News</t>
        </is>
      </c>
      <c r="F101" s="22" t="inlineStr">
        <is>
          <t>Siagvz8Rh3s</t>
        </is>
      </c>
      <c r="G101" s="22" t="n">
        <v>0.167</v>
      </c>
      <c r="H101" s="22" t="n">
        <v>0</v>
      </c>
      <c r="I101" s="22" t="n">
        <v>0</v>
      </c>
      <c r="J101" s="22" t="n">
        <v>0</v>
      </c>
      <c r="K101" s="22" t="n">
        <v>1</v>
      </c>
      <c r="L101" s="22" t="n">
        <v>0</v>
      </c>
      <c r="M101" s="22" t="n">
        <v>0</v>
      </c>
      <c r="N101" s="22" t="n">
        <v>0</v>
      </c>
      <c r="O101" s="22" t="n">
        <v>0</v>
      </c>
      <c r="P101" s="22" t="n">
        <v>0</v>
      </c>
      <c r="Q101" s="22" t="n">
        <v>0</v>
      </c>
      <c r="R101" s="22" t="n">
        <v>0</v>
      </c>
      <c r="S101" s="22" t="n">
        <v>0</v>
      </c>
      <c r="T101" s="22" t="n">
        <v>0</v>
      </c>
      <c r="U101" s="3">
        <f>IF(OR(N101=1,Q101=1),1,0)</f>
        <v/>
      </c>
      <c r="V101" s="3">
        <f>IF(OR(T101=1,P101=1),1,0)</f>
        <v/>
      </c>
      <c r="W101" s="3">
        <f>IF(OR(J101=1),1,0)</f>
        <v/>
      </c>
      <c r="X101" s="3">
        <f>IF(OR(I101=1,H101=1),1,0)</f>
        <v/>
      </c>
      <c r="Y101" s="3">
        <f>IF(OR(G101=1),1,0)</f>
        <v/>
      </c>
      <c r="Z101" s="3">
        <f>IF(OR(F101=1),1,0)</f>
        <v/>
      </c>
      <c r="AA101" s="3">
        <f>IF(OR(M101=1),1,0)</f>
        <v/>
      </c>
    </row>
    <row r="102">
      <c r="A102" s="22" t="inlineStr">
        <is>
          <t>6bef67a6ea6b01fcab89ab6f8194d37c1f1d738d</t>
        </is>
      </c>
      <c r="B102" s="22" t="inlineStr">
        <is>
          <t>2026-04</t>
        </is>
      </c>
      <c r="C102" s="22" t="inlineStr">
        <is>
          <t>YouTube</t>
        </is>
      </c>
      <c r="D102" s="22" t="n">
        <v>0</v>
      </c>
      <c r="E102" s="22" t="inlineStr">
        <is>
          <t>Arise News</t>
        </is>
      </c>
      <c r="F102" s="22" t="inlineStr">
        <is>
          <t>Siagvz8Rh3s</t>
        </is>
      </c>
      <c r="G102" s="22" t="n">
        <v>0.484</v>
      </c>
      <c r="H102" s="22" t="n">
        <v>0</v>
      </c>
      <c r="I102" s="22" t="n">
        <v>0</v>
      </c>
      <c r="J102" s="22" t="n">
        <v>0</v>
      </c>
      <c r="K102" s="22" t="n">
        <v>0</v>
      </c>
      <c r="L102" s="22" t="n">
        <v>0</v>
      </c>
      <c r="M102" s="22" t="n">
        <v>0</v>
      </c>
      <c r="N102" s="22" t="n">
        <v>0</v>
      </c>
      <c r="O102" s="22" t="n">
        <v>0</v>
      </c>
      <c r="P102" s="22" t="n">
        <v>0</v>
      </c>
      <c r="Q102" s="22" t="n">
        <v>0</v>
      </c>
      <c r="R102" s="22" t="n">
        <v>1</v>
      </c>
      <c r="S102" s="22" t="n">
        <v>0</v>
      </c>
      <c r="T102" s="22" t="n">
        <v>0</v>
      </c>
      <c r="U102" s="3">
        <f>IF(OR(N102=1,Q102=1),1,0)</f>
        <v/>
      </c>
      <c r="V102" s="3">
        <f>IF(OR(T102=1,P102=1),1,0)</f>
        <v/>
      </c>
      <c r="W102" s="3">
        <f>IF(OR(J102=1),1,0)</f>
        <v/>
      </c>
      <c r="X102" s="3">
        <f>IF(OR(I102=1,H102=1),1,0)</f>
        <v/>
      </c>
      <c r="Y102" s="3">
        <f>IF(OR(G102=1),1,0)</f>
        <v/>
      </c>
      <c r="Z102" s="3">
        <f>IF(OR(F102=1),1,0)</f>
        <v/>
      </c>
      <c r="AA102" s="3">
        <f>IF(OR(M102=1),1,0)</f>
        <v/>
      </c>
    </row>
    <row r="103">
      <c r="A103" s="22" t="inlineStr">
        <is>
          <t>5bab3a3fb7ad94ac3976627015604bcb4264a5a0</t>
        </is>
      </c>
      <c r="B103" s="22" t="inlineStr">
        <is>
          <t>2026-04</t>
        </is>
      </c>
      <c r="C103" s="22" t="inlineStr">
        <is>
          <t>YouTube</t>
        </is>
      </c>
      <c r="D103" s="22" t="n">
        <v>0</v>
      </c>
      <c r="E103" s="22" t="inlineStr">
        <is>
          <t>Arise News</t>
        </is>
      </c>
      <c r="F103" s="22" t="inlineStr">
        <is>
          <t>Siagvz8Rh3s</t>
        </is>
      </c>
      <c r="G103" s="22" t="n">
        <v>-0.494</v>
      </c>
      <c r="H103" s="22" t="n">
        <v>1</v>
      </c>
      <c r="I103" s="22" t="n">
        <v>1</v>
      </c>
      <c r="J103" s="22" t="n">
        <v>0</v>
      </c>
      <c r="K103" s="22" t="n">
        <v>0</v>
      </c>
      <c r="L103" s="22" t="n">
        <v>0</v>
      </c>
      <c r="M103" s="22" t="n">
        <v>0</v>
      </c>
      <c r="N103" s="22" t="n">
        <v>0</v>
      </c>
      <c r="O103" s="22" t="n">
        <v>0</v>
      </c>
      <c r="P103" s="22" t="n">
        <v>0</v>
      </c>
      <c r="Q103" s="22" t="n">
        <v>0</v>
      </c>
      <c r="R103" s="22" t="n">
        <v>0</v>
      </c>
      <c r="S103" s="22" t="n">
        <v>0</v>
      </c>
      <c r="T103" s="22" t="n">
        <v>0</v>
      </c>
      <c r="U103" s="3">
        <f>IF(OR(N103=1,Q103=1),1,0)</f>
        <v/>
      </c>
      <c r="V103" s="3">
        <f>IF(OR(T103=1,P103=1),1,0)</f>
        <v/>
      </c>
      <c r="W103" s="3">
        <f>IF(OR(J103=1),1,0)</f>
        <v/>
      </c>
      <c r="X103" s="3">
        <f>IF(OR(I103=1,H103=1),1,0)</f>
        <v/>
      </c>
      <c r="Y103" s="3">
        <f>IF(OR(G103=1),1,0)</f>
        <v/>
      </c>
      <c r="Z103" s="3">
        <f>IF(OR(F103=1),1,0)</f>
        <v/>
      </c>
      <c r="AA103" s="3">
        <f>IF(OR(M103=1),1,0)</f>
        <v/>
      </c>
    </row>
    <row r="104">
      <c r="A104" s="22" t="inlineStr">
        <is>
          <t>5d2ce11d9f3e1cc5d98b1344c9ca9560ba309121</t>
        </is>
      </c>
      <c r="B104" s="22" t="inlineStr">
        <is>
          <t>2026-04</t>
        </is>
      </c>
      <c r="C104" s="22" t="inlineStr">
        <is>
          <t>YouTube</t>
        </is>
      </c>
      <c r="D104" s="22" t="n">
        <v>0</v>
      </c>
      <c r="E104" s="22" t="inlineStr">
        <is>
          <t>Arise News</t>
        </is>
      </c>
      <c r="F104" s="22" t="inlineStr">
        <is>
          <t>Siagvz8Rh3s</t>
        </is>
      </c>
      <c r="G104" s="22" t="n">
        <v>0.441</v>
      </c>
      <c r="H104" s="22" t="n">
        <v>1</v>
      </c>
      <c r="I104" s="22" t="n">
        <v>0</v>
      </c>
      <c r="J104" s="22" t="n">
        <v>0</v>
      </c>
      <c r="K104" s="22" t="n">
        <v>0</v>
      </c>
      <c r="L104" s="22" t="n">
        <v>0</v>
      </c>
      <c r="M104" s="22" t="n">
        <v>0</v>
      </c>
      <c r="N104" s="22" t="n">
        <v>0</v>
      </c>
      <c r="O104" s="22" t="n">
        <v>0</v>
      </c>
      <c r="P104" s="22" t="n">
        <v>0</v>
      </c>
      <c r="Q104" s="22" t="n">
        <v>0</v>
      </c>
      <c r="R104" s="22" t="n">
        <v>0</v>
      </c>
      <c r="S104" s="22" t="n">
        <v>0</v>
      </c>
      <c r="T104" s="22" t="n">
        <v>0</v>
      </c>
      <c r="U104" s="3">
        <f>IF(OR(N104=1,Q104=1),1,0)</f>
        <v/>
      </c>
      <c r="V104" s="3">
        <f>IF(OR(T104=1,P104=1),1,0)</f>
        <v/>
      </c>
      <c r="W104" s="3">
        <f>IF(OR(J104=1),1,0)</f>
        <v/>
      </c>
      <c r="X104" s="3">
        <f>IF(OR(I104=1,H104=1),1,0)</f>
        <v/>
      </c>
      <c r="Y104" s="3">
        <f>IF(OR(G104=1),1,0)</f>
        <v/>
      </c>
      <c r="Z104" s="3">
        <f>IF(OR(F104=1),1,0)</f>
        <v/>
      </c>
      <c r="AA104" s="3">
        <f>IF(OR(M104=1),1,0)</f>
        <v/>
      </c>
    </row>
    <row r="105">
      <c r="A105" s="22" t="inlineStr">
        <is>
          <t>7134c5b2e0d5abb31eafd9ebdc7bef2d6643504c</t>
        </is>
      </c>
      <c r="B105" s="22" t="inlineStr">
        <is>
          <t>2026-04</t>
        </is>
      </c>
      <c r="C105" s="22" t="inlineStr">
        <is>
          <t>YouTube</t>
        </is>
      </c>
      <c r="D105" s="22" t="n">
        <v>0</v>
      </c>
      <c r="E105" s="22" t="inlineStr">
        <is>
          <t>Arise News</t>
        </is>
      </c>
      <c r="F105" s="22" t="inlineStr">
        <is>
          <t>Siagvz8Rh3s</t>
        </is>
      </c>
      <c r="G105" s="22" t="n">
        <v>0.622</v>
      </c>
      <c r="H105" s="22" t="n">
        <v>0</v>
      </c>
      <c r="I105" s="22" t="n">
        <v>0</v>
      </c>
      <c r="J105" s="22" t="n">
        <v>0</v>
      </c>
      <c r="K105" s="22" t="n">
        <v>0</v>
      </c>
      <c r="L105" s="22" t="n">
        <v>0</v>
      </c>
      <c r="M105" s="22" t="n">
        <v>0</v>
      </c>
      <c r="N105" s="22" t="n">
        <v>0</v>
      </c>
      <c r="O105" s="22" t="n">
        <v>1</v>
      </c>
      <c r="P105" s="22" t="n">
        <v>0</v>
      </c>
      <c r="Q105" s="22" t="n">
        <v>0</v>
      </c>
      <c r="R105" s="22" t="n">
        <v>0</v>
      </c>
      <c r="S105" s="22" t="n">
        <v>0</v>
      </c>
      <c r="T105" s="22" t="n">
        <v>0</v>
      </c>
      <c r="U105" s="3">
        <f>IF(OR(N105=1,Q105=1),1,0)</f>
        <v/>
      </c>
      <c r="V105" s="3">
        <f>IF(OR(T105=1,P105=1),1,0)</f>
        <v/>
      </c>
      <c r="W105" s="3">
        <f>IF(OR(J105=1),1,0)</f>
        <v/>
      </c>
      <c r="X105" s="3">
        <f>IF(OR(I105=1,H105=1),1,0)</f>
        <v/>
      </c>
      <c r="Y105" s="3">
        <f>IF(OR(G105=1),1,0)</f>
        <v/>
      </c>
      <c r="Z105" s="3">
        <f>IF(OR(F105=1),1,0)</f>
        <v/>
      </c>
      <c r="AA105" s="3">
        <f>IF(OR(M105=1),1,0)</f>
        <v/>
      </c>
    </row>
    <row r="106">
      <c r="A106" s="22" t="inlineStr">
        <is>
          <t>03e0d321091445a71d04d529b199d58f12049f42</t>
        </is>
      </c>
      <c r="B106" s="22" t="inlineStr">
        <is>
          <t>2026-05</t>
        </is>
      </c>
      <c r="C106" s="22" t="inlineStr">
        <is>
          <t>YouTube</t>
        </is>
      </c>
      <c r="D106" s="22" t="n">
        <v>0</v>
      </c>
      <c r="E106" s="22" t="inlineStr">
        <is>
          <t xml:space="preserve">DonAza </t>
        </is>
      </c>
      <c r="F106" s="22" t="inlineStr">
        <is>
          <t>rBjasEsAXAw</t>
        </is>
      </c>
      <c r="G106" s="22" t="n">
        <v>-0.06900000000000001</v>
      </c>
      <c r="H106" s="22" t="n">
        <v>0</v>
      </c>
      <c r="I106" s="22" t="n">
        <v>0</v>
      </c>
      <c r="J106" s="22" t="n">
        <v>0</v>
      </c>
      <c r="K106" s="22" t="n">
        <v>0</v>
      </c>
      <c r="L106" s="22" t="n">
        <v>0</v>
      </c>
      <c r="M106" s="22" t="n">
        <v>0</v>
      </c>
      <c r="N106" s="22" t="n">
        <v>0</v>
      </c>
      <c r="O106" s="22" t="n">
        <v>0</v>
      </c>
      <c r="P106" s="22" t="n">
        <v>0</v>
      </c>
      <c r="Q106" s="22" t="n">
        <v>0</v>
      </c>
      <c r="R106" s="22" t="n">
        <v>0</v>
      </c>
      <c r="S106" s="22" t="n">
        <v>0</v>
      </c>
      <c r="T106" s="22" t="n">
        <v>0</v>
      </c>
      <c r="U106" s="3">
        <f>IF(OR(N106=1,Q106=1),1,0)</f>
        <v/>
      </c>
      <c r="V106" s="3">
        <f>IF(OR(T106=1,P106=1),1,0)</f>
        <v/>
      </c>
      <c r="W106" s="3">
        <f>IF(OR(J106=1),1,0)</f>
        <v/>
      </c>
      <c r="X106" s="3">
        <f>IF(OR(I106=1,H106=1),1,0)</f>
        <v/>
      </c>
      <c r="Y106" s="3">
        <f>IF(OR(G106=1),1,0)</f>
        <v/>
      </c>
      <c r="Z106" s="3">
        <f>IF(OR(F106=1),1,0)</f>
        <v/>
      </c>
      <c r="AA106" s="3">
        <f>IF(OR(M106=1),1,0)</f>
        <v/>
      </c>
    </row>
    <row r="107">
      <c r="A107" s="22" t="inlineStr">
        <is>
          <t>fabcfc40f34ce5cb16d39e22059f588e571fc56a</t>
        </is>
      </c>
      <c r="B107" s="22" t="inlineStr">
        <is>
          <t>2026-05</t>
        </is>
      </c>
      <c r="C107" s="22" t="inlineStr">
        <is>
          <t>YouTube</t>
        </is>
      </c>
      <c r="D107" s="22" t="n">
        <v>0</v>
      </c>
      <c r="E107" s="22" t="inlineStr">
        <is>
          <t xml:space="preserve">DonAza </t>
        </is>
      </c>
      <c r="F107" s="22" t="inlineStr">
        <is>
          <t>rBjasEsAXAw</t>
        </is>
      </c>
      <c r="G107" s="22" t="n">
        <v>0.275</v>
      </c>
      <c r="H107" s="22" t="n">
        <v>0</v>
      </c>
      <c r="I107" s="22" t="n">
        <v>0</v>
      </c>
      <c r="J107" s="22" t="n">
        <v>0</v>
      </c>
      <c r="K107" s="22" t="n">
        <v>0</v>
      </c>
      <c r="L107" s="22" t="n">
        <v>0</v>
      </c>
      <c r="M107" s="22" t="n">
        <v>0</v>
      </c>
      <c r="N107" s="22" t="n">
        <v>0</v>
      </c>
      <c r="O107" s="22" t="n">
        <v>0</v>
      </c>
      <c r="P107" s="22" t="n">
        <v>0</v>
      </c>
      <c r="Q107" s="22" t="n">
        <v>0</v>
      </c>
      <c r="R107" s="22" t="n">
        <v>0</v>
      </c>
      <c r="S107" s="22" t="n">
        <v>0</v>
      </c>
      <c r="T107" s="22" t="n">
        <v>0</v>
      </c>
      <c r="U107" s="3">
        <f>IF(OR(N107=1,Q107=1),1,0)</f>
        <v/>
      </c>
      <c r="V107" s="3">
        <f>IF(OR(T107=1,P107=1),1,0)</f>
        <v/>
      </c>
      <c r="W107" s="3">
        <f>IF(OR(J107=1),1,0)</f>
        <v/>
      </c>
      <c r="X107" s="3">
        <f>IF(OR(I107=1,H107=1),1,0)</f>
        <v/>
      </c>
      <c r="Y107" s="3">
        <f>IF(OR(G107=1),1,0)</f>
        <v/>
      </c>
      <c r="Z107" s="3">
        <f>IF(OR(F107=1),1,0)</f>
        <v/>
      </c>
      <c r="AA107" s="3">
        <f>IF(OR(M107=1),1,0)</f>
        <v/>
      </c>
    </row>
    <row r="108">
      <c r="A108" s="22" t="inlineStr">
        <is>
          <t>3734e894b4f7e23ed5bf1ee1797be6b5782ea773</t>
        </is>
      </c>
      <c r="B108" s="22" t="inlineStr">
        <is>
          <t>2026-05</t>
        </is>
      </c>
      <c r="C108" s="22" t="inlineStr">
        <is>
          <t>YouTube</t>
        </is>
      </c>
      <c r="D108" s="22" t="n">
        <v>0</v>
      </c>
      <c r="E108" s="22" t="inlineStr">
        <is>
          <t xml:space="preserve">DonAza </t>
        </is>
      </c>
      <c r="F108" s="22" t="inlineStr">
        <is>
          <t>rBjasEsAXAw</t>
        </is>
      </c>
      <c r="G108" s="22" t="n">
        <v>-0.282</v>
      </c>
      <c r="H108" s="22" t="n">
        <v>0</v>
      </c>
      <c r="I108" s="22" t="n">
        <v>0</v>
      </c>
      <c r="J108" s="22" t="n">
        <v>0</v>
      </c>
      <c r="K108" s="22" t="n">
        <v>0</v>
      </c>
      <c r="L108" s="22" t="n">
        <v>0</v>
      </c>
      <c r="M108" s="22" t="n">
        <v>0</v>
      </c>
      <c r="N108" s="22" t="n">
        <v>0</v>
      </c>
      <c r="O108" s="22" t="n">
        <v>0</v>
      </c>
      <c r="P108" s="22" t="n">
        <v>0</v>
      </c>
      <c r="Q108" s="22" t="n">
        <v>0</v>
      </c>
      <c r="R108" s="22" t="n">
        <v>1</v>
      </c>
      <c r="S108" s="22" t="n">
        <v>0</v>
      </c>
      <c r="T108" s="22" t="n">
        <v>0</v>
      </c>
      <c r="U108" s="3">
        <f>IF(OR(N108=1,Q108=1),1,0)</f>
        <v/>
      </c>
      <c r="V108" s="3">
        <f>IF(OR(T108=1,P108=1),1,0)</f>
        <v/>
      </c>
      <c r="W108" s="3">
        <f>IF(OR(J108=1),1,0)</f>
        <v/>
      </c>
      <c r="X108" s="3">
        <f>IF(OR(I108=1,H108=1),1,0)</f>
        <v/>
      </c>
      <c r="Y108" s="3">
        <f>IF(OR(G108=1),1,0)</f>
        <v/>
      </c>
      <c r="Z108" s="3">
        <f>IF(OR(F108=1),1,0)</f>
        <v/>
      </c>
      <c r="AA108" s="3">
        <f>IF(OR(M108=1),1,0)</f>
        <v/>
      </c>
    </row>
    <row r="109">
      <c r="A109" s="22" t="inlineStr">
        <is>
          <t>540e3a13154e3c394d54c915a6b5adfd6d88f0cf</t>
        </is>
      </c>
      <c r="B109" s="22" t="inlineStr">
        <is>
          <t>2026-05</t>
        </is>
      </c>
      <c r="C109" s="22" t="inlineStr">
        <is>
          <t>YouTube</t>
        </is>
      </c>
      <c r="D109" s="22" t="n">
        <v>0</v>
      </c>
      <c r="E109" s="22" t="inlineStr">
        <is>
          <t xml:space="preserve">DonAza </t>
        </is>
      </c>
      <c r="F109" s="22" t="inlineStr">
        <is>
          <t>rBjasEsAXAw</t>
        </is>
      </c>
      <c r="G109" s="22" t="n">
        <v>0.459</v>
      </c>
      <c r="H109" s="22" t="n">
        <v>0</v>
      </c>
      <c r="I109" s="22" t="n">
        <v>0</v>
      </c>
      <c r="J109" s="22" t="n">
        <v>0</v>
      </c>
      <c r="K109" s="22" t="n">
        <v>0</v>
      </c>
      <c r="L109" s="22" t="n">
        <v>0</v>
      </c>
      <c r="M109" s="22" t="n">
        <v>0</v>
      </c>
      <c r="N109" s="22" t="n">
        <v>0</v>
      </c>
      <c r="O109" s="22" t="n">
        <v>0</v>
      </c>
      <c r="P109" s="22" t="n">
        <v>0</v>
      </c>
      <c r="Q109" s="22" t="n">
        <v>0</v>
      </c>
      <c r="R109" s="22" t="n">
        <v>1</v>
      </c>
      <c r="S109" s="22" t="n">
        <v>0</v>
      </c>
      <c r="T109" s="22" t="n">
        <v>0</v>
      </c>
      <c r="U109" s="3">
        <f>IF(OR(N109=1,Q109=1),1,0)</f>
        <v/>
      </c>
      <c r="V109" s="3">
        <f>IF(OR(T109=1,P109=1),1,0)</f>
        <v/>
      </c>
      <c r="W109" s="3">
        <f>IF(OR(J109=1),1,0)</f>
        <v/>
      </c>
      <c r="X109" s="3">
        <f>IF(OR(I109=1,H109=1),1,0)</f>
        <v/>
      </c>
      <c r="Y109" s="3">
        <f>IF(OR(G109=1),1,0)</f>
        <v/>
      </c>
      <c r="Z109" s="3">
        <f>IF(OR(F109=1),1,0)</f>
        <v/>
      </c>
      <c r="AA109" s="3">
        <f>IF(OR(M109=1),1,0)</f>
        <v/>
      </c>
    </row>
    <row r="110">
      <c r="A110" s="22" t="inlineStr">
        <is>
          <t>aa35fa373e68605083dc39a35a77cf2cd564f071</t>
        </is>
      </c>
      <c r="B110" s="22" t="inlineStr">
        <is>
          <t>2026-05</t>
        </is>
      </c>
      <c r="C110" s="22" t="inlineStr">
        <is>
          <t>YouTube</t>
        </is>
      </c>
      <c r="D110" s="22" t="n">
        <v>0</v>
      </c>
      <c r="E110" s="22" t="inlineStr">
        <is>
          <t xml:space="preserve">DonAza </t>
        </is>
      </c>
      <c r="F110" s="22" t="inlineStr">
        <is>
          <t>rBjasEsAXAw</t>
        </is>
      </c>
      <c r="G110" s="22" t="n">
        <v>0.477</v>
      </c>
      <c r="H110" s="22" t="n">
        <v>0</v>
      </c>
      <c r="I110" s="22" t="n">
        <v>0</v>
      </c>
      <c r="J110" s="22" t="n">
        <v>0</v>
      </c>
      <c r="K110" s="22" t="n">
        <v>0</v>
      </c>
      <c r="L110" s="22" t="n">
        <v>0</v>
      </c>
      <c r="M110" s="22" t="n">
        <v>0</v>
      </c>
      <c r="N110" s="22" t="n">
        <v>0</v>
      </c>
      <c r="O110" s="22" t="n">
        <v>0</v>
      </c>
      <c r="P110" s="22" t="n">
        <v>0</v>
      </c>
      <c r="Q110" s="22" t="n">
        <v>0</v>
      </c>
      <c r="R110" s="22" t="n">
        <v>0</v>
      </c>
      <c r="S110" s="22" t="n">
        <v>0</v>
      </c>
      <c r="T110" s="22" t="n">
        <v>0</v>
      </c>
      <c r="U110" s="3">
        <f>IF(OR(N110=1,Q110=1),1,0)</f>
        <v/>
      </c>
      <c r="V110" s="3">
        <f>IF(OR(T110=1,P110=1),1,0)</f>
        <v/>
      </c>
      <c r="W110" s="3">
        <f>IF(OR(J110=1),1,0)</f>
        <v/>
      </c>
      <c r="X110" s="3">
        <f>IF(OR(I110=1,H110=1),1,0)</f>
        <v/>
      </c>
      <c r="Y110" s="3">
        <f>IF(OR(G110=1),1,0)</f>
        <v/>
      </c>
      <c r="Z110" s="3">
        <f>IF(OR(F110=1),1,0)</f>
        <v/>
      </c>
      <c r="AA110" s="3">
        <f>IF(OR(M110=1),1,0)</f>
        <v/>
      </c>
    </row>
    <row r="111">
      <c r="A111" s="22" t="inlineStr">
        <is>
          <t>bd027c815616e3fd283b5799dced1db68c1a1b6f</t>
        </is>
      </c>
      <c r="B111" s="22" t="inlineStr">
        <is>
          <t>2026-05</t>
        </is>
      </c>
      <c r="C111" s="22" t="inlineStr">
        <is>
          <t>YouTube</t>
        </is>
      </c>
      <c r="D111" s="22" t="n">
        <v>0</v>
      </c>
      <c r="E111" s="22" t="inlineStr">
        <is>
          <t xml:space="preserve">DonAza </t>
        </is>
      </c>
      <c r="F111" s="22" t="inlineStr">
        <is>
          <t>rBjasEsAXAw</t>
        </is>
      </c>
      <c r="G111" s="22" t="n">
        <v>-0.226</v>
      </c>
      <c r="H111" s="22" t="n">
        <v>0</v>
      </c>
      <c r="I111" s="22" t="n">
        <v>0</v>
      </c>
      <c r="J111" s="22" t="n">
        <v>0</v>
      </c>
      <c r="K111" s="22" t="n">
        <v>0</v>
      </c>
      <c r="L111" s="22" t="n">
        <v>0</v>
      </c>
      <c r="M111" s="22" t="n">
        <v>0</v>
      </c>
      <c r="N111" s="22" t="n">
        <v>0</v>
      </c>
      <c r="O111" s="22" t="n">
        <v>0</v>
      </c>
      <c r="P111" s="22" t="n">
        <v>0</v>
      </c>
      <c r="Q111" s="22" t="n">
        <v>0</v>
      </c>
      <c r="R111" s="22" t="n">
        <v>0</v>
      </c>
      <c r="S111" s="22" t="n">
        <v>0</v>
      </c>
      <c r="T111" s="22" t="n">
        <v>0</v>
      </c>
      <c r="U111" s="3">
        <f>IF(OR(N111=1,Q111=1),1,0)</f>
        <v/>
      </c>
      <c r="V111" s="3">
        <f>IF(OR(T111=1,P111=1),1,0)</f>
        <v/>
      </c>
      <c r="W111" s="3">
        <f>IF(OR(J111=1),1,0)</f>
        <v/>
      </c>
      <c r="X111" s="3">
        <f>IF(OR(I111=1,H111=1),1,0)</f>
        <v/>
      </c>
      <c r="Y111" s="3">
        <f>IF(OR(G111=1),1,0)</f>
        <v/>
      </c>
      <c r="Z111" s="3">
        <f>IF(OR(F111=1),1,0)</f>
        <v/>
      </c>
      <c r="AA111" s="3">
        <f>IF(OR(M111=1),1,0)</f>
        <v/>
      </c>
    </row>
    <row r="112">
      <c r="A112" s="22" t="inlineStr">
        <is>
          <t>a62d0980b192b84b62385fe61774d3a882fa836a</t>
        </is>
      </c>
      <c r="B112" s="22" t="inlineStr">
        <is>
          <t>2026-05</t>
        </is>
      </c>
      <c r="C112" s="22" t="inlineStr">
        <is>
          <t>YouTube</t>
        </is>
      </c>
      <c r="D112" s="22" t="n">
        <v>0</v>
      </c>
      <c r="E112" s="22" t="inlineStr">
        <is>
          <t xml:space="preserve">DonAza </t>
        </is>
      </c>
      <c r="F112" s="22" t="inlineStr">
        <is>
          <t>rBjasEsAXAw</t>
        </is>
      </c>
      <c r="G112" s="22" t="n">
        <v>-0.428</v>
      </c>
      <c r="H112" s="22" t="n">
        <v>0</v>
      </c>
      <c r="I112" s="22" t="n">
        <v>0</v>
      </c>
      <c r="J112" s="22" t="n">
        <v>0</v>
      </c>
      <c r="K112" s="22" t="n">
        <v>0</v>
      </c>
      <c r="L112" s="22" t="n">
        <v>0</v>
      </c>
      <c r="M112" s="22" t="n">
        <v>0</v>
      </c>
      <c r="N112" s="22" t="n">
        <v>0</v>
      </c>
      <c r="O112" s="22" t="n">
        <v>0</v>
      </c>
      <c r="P112" s="22" t="n">
        <v>0</v>
      </c>
      <c r="Q112" s="22" t="n">
        <v>0</v>
      </c>
      <c r="R112" s="22" t="n">
        <v>0</v>
      </c>
      <c r="S112" s="22" t="n">
        <v>0</v>
      </c>
      <c r="T112" s="22" t="n">
        <v>0</v>
      </c>
      <c r="U112" s="3">
        <f>IF(OR(N112=1,Q112=1),1,0)</f>
        <v/>
      </c>
      <c r="V112" s="3">
        <f>IF(OR(T112=1,P112=1),1,0)</f>
        <v/>
      </c>
      <c r="W112" s="3">
        <f>IF(OR(J112=1),1,0)</f>
        <v/>
      </c>
      <c r="X112" s="3">
        <f>IF(OR(I112=1,H112=1),1,0)</f>
        <v/>
      </c>
      <c r="Y112" s="3">
        <f>IF(OR(G112=1),1,0)</f>
        <v/>
      </c>
      <c r="Z112" s="3">
        <f>IF(OR(F112=1),1,0)</f>
        <v/>
      </c>
      <c r="AA112" s="3">
        <f>IF(OR(M112=1),1,0)</f>
        <v/>
      </c>
    </row>
    <row r="113">
      <c r="A113" s="22" t="inlineStr">
        <is>
          <t>d48cd61586702afb4b4221659d7a3895952da45f</t>
        </is>
      </c>
      <c r="B113" s="22" t="inlineStr">
        <is>
          <t>2026-05</t>
        </is>
      </c>
      <c r="C113" s="22" t="inlineStr">
        <is>
          <t>YouTube</t>
        </is>
      </c>
      <c r="D113" s="22" t="n">
        <v>0</v>
      </c>
      <c r="E113" s="22" t="inlineStr">
        <is>
          <t xml:space="preserve">DonAza </t>
        </is>
      </c>
      <c r="F113" s="22" t="inlineStr">
        <is>
          <t>rBjasEsAXAw</t>
        </is>
      </c>
      <c r="G113" s="22" t="n">
        <v>0.335</v>
      </c>
      <c r="H113" s="22" t="n">
        <v>0</v>
      </c>
      <c r="I113" s="22" t="n">
        <v>0</v>
      </c>
      <c r="J113" s="22" t="n">
        <v>0</v>
      </c>
      <c r="K113" s="22" t="n">
        <v>0</v>
      </c>
      <c r="L113" s="22" t="n">
        <v>0</v>
      </c>
      <c r="M113" s="22" t="n">
        <v>0</v>
      </c>
      <c r="N113" s="22" t="n">
        <v>0</v>
      </c>
      <c r="O113" s="22" t="n">
        <v>0</v>
      </c>
      <c r="P113" s="22" t="n">
        <v>0</v>
      </c>
      <c r="Q113" s="22" t="n">
        <v>0</v>
      </c>
      <c r="R113" s="22" t="n">
        <v>0</v>
      </c>
      <c r="S113" s="22" t="n">
        <v>0</v>
      </c>
      <c r="T113" s="22" t="n">
        <v>0</v>
      </c>
      <c r="U113" s="3">
        <f>IF(OR(N113=1,Q113=1),1,0)</f>
        <v/>
      </c>
      <c r="V113" s="3">
        <f>IF(OR(T113=1,P113=1),1,0)</f>
        <v/>
      </c>
      <c r="W113" s="3">
        <f>IF(OR(J113=1),1,0)</f>
        <v/>
      </c>
      <c r="X113" s="3">
        <f>IF(OR(I113=1,H113=1),1,0)</f>
        <v/>
      </c>
      <c r="Y113" s="3">
        <f>IF(OR(G113=1),1,0)</f>
        <v/>
      </c>
      <c r="Z113" s="3">
        <f>IF(OR(F113=1),1,0)</f>
        <v/>
      </c>
      <c r="AA113" s="3">
        <f>IF(OR(M113=1),1,0)</f>
        <v/>
      </c>
    </row>
    <row r="114">
      <c r="A114" s="22" t="inlineStr">
        <is>
          <t>a124ee2dd2fe90ef9f218f92a251dba42e1a0786</t>
        </is>
      </c>
      <c r="B114" s="22" t="inlineStr">
        <is>
          <t>2026-05</t>
        </is>
      </c>
      <c r="C114" s="22" t="inlineStr">
        <is>
          <t>YouTube</t>
        </is>
      </c>
      <c r="D114" s="22" t="n">
        <v>0</v>
      </c>
      <c r="E114" s="22" t="inlineStr">
        <is>
          <t xml:space="preserve">DonAza </t>
        </is>
      </c>
      <c r="F114" s="22" t="inlineStr">
        <is>
          <t>rBjasEsAXAw</t>
        </is>
      </c>
      <c r="G114" s="22" t="n">
        <v>0.804</v>
      </c>
      <c r="H114" s="22" t="n">
        <v>0</v>
      </c>
      <c r="I114" s="22" t="n">
        <v>0</v>
      </c>
      <c r="J114" s="22" t="n">
        <v>0</v>
      </c>
      <c r="K114" s="22" t="n">
        <v>0</v>
      </c>
      <c r="L114" s="22" t="n">
        <v>0</v>
      </c>
      <c r="M114" s="22" t="n">
        <v>0</v>
      </c>
      <c r="N114" s="22" t="n">
        <v>0</v>
      </c>
      <c r="O114" s="22" t="n">
        <v>0</v>
      </c>
      <c r="P114" s="22" t="n">
        <v>1</v>
      </c>
      <c r="Q114" s="22" t="n">
        <v>0</v>
      </c>
      <c r="R114" s="22" t="n">
        <v>0</v>
      </c>
      <c r="S114" s="22" t="n">
        <v>0</v>
      </c>
      <c r="T114" s="22" t="n">
        <v>0</v>
      </c>
      <c r="U114" s="3">
        <f>IF(OR(N114=1,Q114=1),1,0)</f>
        <v/>
      </c>
      <c r="V114" s="3">
        <f>IF(OR(T114=1,P114=1),1,0)</f>
        <v/>
      </c>
      <c r="W114" s="3">
        <f>IF(OR(J114=1),1,0)</f>
        <v/>
      </c>
      <c r="X114" s="3">
        <f>IF(OR(I114=1,H114=1),1,0)</f>
        <v/>
      </c>
      <c r="Y114" s="3">
        <f>IF(OR(G114=1),1,0)</f>
        <v/>
      </c>
      <c r="Z114" s="3">
        <f>IF(OR(F114=1),1,0)</f>
        <v/>
      </c>
      <c r="AA114" s="3">
        <f>IF(OR(M114=1),1,0)</f>
        <v/>
      </c>
    </row>
    <row r="115">
      <c r="A115" s="22" t="inlineStr">
        <is>
          <t>3920eecbdb5f635d84c4ece773d0f296b56879f5</t>
        </is>
      </c>
      <c r="B115" s="22" t="inlineStr">
        <is>
          <t>2026-05</t>
        </is>
      </c>
      <c r="C115" s="22" t="inlineStr">
        <is>
          <t>YouTube</t>
        </is>
      </c>
      <c r="D115" s="22" t="n">
        <v>0</v>
      </c>
      <c r="E115" s="22" t="inlineStr">
        <is>
          <t xml:space="preserve">DonAza </t>
        </is>
      </c>
      <c r="F115" s="22" t="inlineStr">
        <is>
          <t>rBjasEsAXAw</t>
        </is>
      </c>
      <c r="G115" s="22" t="n">
        <v>0</v>
      </c>
      <c r="H115" s="22" t="n">
        <v>0</v>
      </c>
      <c r="I115" s="22" t="n">
        <v>0</v>
      </c>
      <c r="J115" s="22" t="n">
        <v>0</v>
      </c>
      <c r="K115" s="22" t="n">
        <v>0</v>
      </c>
      <c r="L115" s="22" t="n">
        <v>0</v>
      </c>
      <c r="M115" s="22" t="n">
        <v>0</v>
      </c>
      <c r="N115" s="22" t="n">
        <v>0</v>
      </c>
      <c r="O115" s="22" t="n">
        <v>0</v>
      </c>
      <c r="P115" s="22" t="n">
        <v>0</v>
      </c>
      <c r="Q115" s="22" t="n">
        <v>0</v>
      </c>
      <c r="R115" s="22" t="n">
        <v>0</v>
      </c>
      <c r="S115" s="22" t="n">
        <v>0</v>
      </c>
      <c r="T115" s="22" t="n">
        <v>0</v>
      </c>
      <c r="U115" s="3">
        <f>IF(OR(N115=1,Q115=1),1,0)</f>
        <v/>
      </c>
      <c r="V115" s="3">
        <f>IF(OR(T115=1,P115=1),1,0)</f>
        <v/>
      </c>
      <c r="W115" s="3">
        <f>IF(OR(J115=1),1,0)</f>
        <v/>
      </c>
      <c r="X115" s="3">
        <f>IF(OR(I115=1,H115=1),1,0)</f>
        <v/>
      </c>
      <c r="Y115" s="3">
        <f>IF(OR(G115=1),1,0)</f>
        <v/>
      </c>
      <c r="Z115" s="3">
        <f>IF(OR(F115=1),1,0)</f>
        <v/>
      </c>
      <c r="AA115" s="3">
        <f>IF(OR(M115=1),1,0)</f>
        <v/>
      </c>
    </row>
    <row r="116">
      <c r="A116" s="22" t="inlineStr">
        <is>
          <t>55131c434293a23003ab75dee2dc15eedf51d29d</t>
        </is>
      </c>
      <c r="B116" s="22" t="inlineStr">
        <is>
          <t>2026-05</t>
        </is>
      </c>
      <c r="C116" s="22" t="inlineStr">
        <is>
          <t>YouTube</t>
        </is>
      </c>
      <c r="D116" s="22" t="n">
        <v>0</v>
      </c>
      <c r="E116" s="22" t="inlineStr">
        <is>
          <t xml:space="preserve">DonAza </t>
        </is>
      </c>
      <c r="F116" s="22" t="inlineStr">
        <is>
          <t>rBjasEsAXAw</t>
        </is>
      </c>
      <c r="G116" s="22" t="n">
        <v>-0.836</v>
      </c>
      <c r="H116" s="22" t="n">
        <v>0</v>
      </c>
      <c r="I116" s="22" t="n">
        <v>0</v>
      </c>
      <c r="J116" s="22" t="n">
        <v>0</v>
      </c>
      <c r="K116" s="22" t="n">
        <v>0</v>
      </c>
      <c r="L116" s="22" t="n">
        <v>0</v>
      </c>
      <c r="M116" s="22" t="n">
        <v>1</v>
      </c>
      <c r="N116" s="22" t="n">
        <v>0</v>
      </c>
      <c r="O116" s="22" t="n">
        <v>0</v>
      </c>
      <c r="P116" s="22" t="n">
        <v>0</v>
      </c>
      <c r="Q116" s="22" t="n">
        <v>0</v>
      </c>
      <c r="R116" s="22" t="n">
        <v>0</v>
      </c>
      <c r="S116" s="22" t="n">
        <v>0</v>
      </c>
      <c r="T116" s="22" t="n">
        <v>0</v>
      </c>
      <c r="U116" s="3">
        <f>IF(OR(N116=1,Q116=1),1,0)</f>
        <v/>
      </c>
      <c r="V116" s="3">
        <f>IF(OR(T116=1,P116=1),1,0)</f>
        <v/>
      </c>
      <c r="W116" s="3">
        <f>IF(OR(J116=1),1,0)</f>
        <v/>
      </c>
      <c r="X116" s="3">
        <f>IF(OR(I116=1,H116=1),1,0)</f>
        <v/>
      </c>
      <c r="Y116" s="3">
        <f>IF(OR(G116=1),1,0)</f>
        <v/>
      </c>
      <c r="Z116" s="3">
        <f>IF(OR(F116=1),1,0)</f>
        <v/>
      </c>
      <c r="AA116" s="3">
        <f>IF(OR(M116=1),1,0)</f>
        <v/>
      </c>
    </row>
    <row r="117">
      <c r="A117" s="22" t="inlineStr">
        <is>
          <t>0981a2438dd5929780483bf6feff4b4c89b819ae</t>
        </is>
      </c>
      <c r="B117" s="22" t="inlineStr">
        <is>
          <t>2026-05</t>
        </is>
      </c>
      <c r="C117" s="22" t="inlineStr">
        <is>
          <t>YouTube</t>
        </is>
      </c>
      <c r="D117" s="22" t="n">
        <v>0</v>
      </c>
      <c r="E117" s="22" t="inlineStr">
        <is>
          <t xml:space="preserve">DonAza </t>
        </is>
      </c>
      <c r="F117" s="22" t="inlineStr">
        <is>
          <t>rBjasEsAXAw</t>
        </is>
      </c>
      <c r="G117" s="22" t="n">
        <v>-0.332</v>
      </c>
      <c r="H117" s="22" t="n">
        <v>0</v>
      </c>
      <c r="I117" s="22" t="n">
        <v>0</v>
      </c>
      <c r="J117" s="22" t="n">
        <v>0</v>
      </c>
      <c r="K117" s="22" t="n">
        <v>0</v>
      </c>
      <c r="L117" s="22" t="n">
        <v>0</v>
      </c>
      <c r="M117" s="22" t="n">
        <v>1</v>
      </c>
      <c r="N117" s="22" t="n">
        <v>0</v>
      </c>
      <c r="O117" s="22" t="n">
        <v>0</v>
      </c>
      <c r="P117" s="22" t="n">
        <v>0</v>
      </c>
      <c r="Q117" s="22" t="n">
        <v>0</v>
      </c>
      <c r="R117" s="22" t="n">
        <v>0</v>
      </c>
      <c r="S117" s="22" t="n">
        <v>0</v>
      </c>
      <c r="T117" s="22" t="n">
        <v>0</v>
      </c>
      <c r="U117" s="3">
        <f>IF(OR(N117=1,Q117=1),1,0)</f>
        <v/>
      </c>
      <c r="V117" s="3">
        <f>IF(OR(T117=1,P117=1),1,0)</f>
        <v/>
      </c>
      <c r="W117" s="3">
        <f>IF(OR(J117=1),1,0)</f>
        <v/>
      </c>
      <c r="X117" s="3">
        <f>IF(OR(I117=1,H117=1),1,0)</f>
        <v/>
      </c>
      <c r="Y117" s="3">
        <f>IF(OR(G117=1),1,0)</f>
        <v/>
      </c>
      <c r="Z117" s="3">
        <f>IF(OR(F117=1),1,0)</f>
        <v/>
      </c>
      <c r="AA117" s="3">
        <f>IF(OR(M117=1),1,0)</f>
        <v/>
      </c>
    </row>
    <row r="118">
      <c r="A118" s="22" t="inlineStr">
        <is>
          <t>870ce99ae10d42941b61c413bc8e41ed34e308c7</t>
        </is>
      </c>
      <c r="B118" s="22" t="inlineStr">
        <is>
          <t>2026-05</t>
        </is>
      </c>
      <c r="C118" s="22" t="inlineStr">
        <is>
          <t>YouTube</t>
        </is>
      </c>
      <c r="D118" s="22" t="n">
        <v>0</v>
      </c>
      <c r="E118" s="22" t="inlineStr">
        <is>
          <t xml:space="preserve">DonAza </t>
        </is>
      </c>
      <c r="F118" s="22" t="inlineStr">
        <is>
          <t>rBjasEsAXAw</t>
        </is>
      </c>
      <c r="G118" s="22" t="n">
        <v>-0.652</v>
      </c>
      <c r="H118" s="22" t="n">
        <v>0</v>
      </c>
      <c r="I118" s="22" t="n">
        <v>0</v>
      </c>
      <c r="J118" s="22" t="n">
        <v>0</v>
      </c>
      <c r="K118" s="22" t="n">
        <v>0</v>
      </c>
      <c r="L118" s="22" t="n">
        <v>0</v>
      </c>
      <c r="M118" s="22" t="n">
        <v>0</v>
      </c>
      <c r="N118" s="22" t="n">
        <v>0</v>
      </c>
      <c r="O118" s="22" t="n">
        <v>0</v>
      </c>
      <c r="P118" s="22" t="n">
        <v>0</v>
      </c>
      <c r="Q118" s="22" t="n">
        <v>0</v>
      </c>
      <c r="R118" s="22" t="n">
        <v>0</v>
      </c>
      <c r="S118" s="22" t="n">
        <v>0</v>
      </c>
      <c r="T118" s="22" t="n">
        <v>0</v>
      </c>
      <c r="U118" s="3">
        <f>IF(OR(N118=1,Q118=1),1,0)</f>
        <v/>
      </c>
      <c r="V118" s="3">
        <f>IF(OR(T118=1,P118=1),1,0)</f>
        <v/>
      </c>
      <c r="W118" s="3">
        <f>IF(OR(J118=1),1,0)</f>
        <v/>
      </c>
      <c r="X118" s="3">
        <f>IF(OR(I118=1,H118=1),1,0)</f>
        <v/>
      </c>
      <c r="Y118" s="3">
        <f>IF(OR(G118=1),1,0)</f>
        <v/>
      </c>
      <c r="Z118" s="3">
        <f>IF(OR(F118=1),1,0)</f>
        <v/>
      </c>
      <c r="AA118" s="3">
        <f>IF(OR(M118=1),1,0)</f>
        <v/>
      </c>
    </row>
    <row r="119">
      <c r="A119" s="22" t="inlineStr">
        <is>
          <t>e8b31b8ae6b71b7395e760fd538a7713d2ec5753</t>
        </is>
      </c>
      <c r="B119" s="22" t="inlineStr">
        <is>
          <t>2026-05</t>
        </is>
      </c>
      <c r="C119" s="22" t="inlineStr">
        <is>
          <t>YouTube</t>
        </is>
      </c>
      <c r="D119" s="22" t="n">
        <v>0</v>
      </c>
      <c r="E119" s="22" t="inlineStr">
        <is>
          <t xml:space="preserve">DonAza </t>
        </is>
      </c>
      <c r="F119" s="22" t="inlineStr">
        <is>
          <t>rBjasEsAXAw</t>
        </is>
      </c>
      <c r="G119" s="22" t="n">
        <v>-0.516</v>
      </c>
      <c r="H119" s="22" t="n">
        <v>0</v>
      </c>
      <c r="I119" s="22" t="n">
        <v>0</v>
      </c>
      <c r="J119" s="22" t="n">
        <v>0</v>
      </c>
      <c r="K119" s="22" t="n">
        <v>0</v>
      </c>
      <c r="L119" s="22" t="n">
        <v>0</v>
      </c>
      <c r="M119" s="22" t="n">
        <v>0</v>
      </c>
      <c r="N119" s="22" t="n">
        <v>0</v>
      </c>
      <c r="O119" s="22" t="n">
        <v>0</v>
      </c>
      <c r="P119" s="22" t="n">
        <v>0</v>
      </c>
      <c r="Q119" s="22" t="n">
        <v>0</v>
      </c>
      <c r="R119" s="22" t="n">
        <v>0</v>
      </c>
      <c r="S119" s="22" t="n">
        <v>0</v>
      </c>
      <c r="T119" s="22" t="n">
        <v>0</v>
      </c>
      <c r="U119" s="3">
        <f>IF(OR(N119=1,Q119=1),1,0)</f>
        <v/>
      </c>
      <c r="V119" s="3">
        <f>IF(OR(T119=1,P119=1),1,0)</f>
        <v/>
      </c>
      <c r="W119" s="3">
        <f>IF(OR(J119=1),1,0)</f>
        <v/>
      </c>
      <c r="X119" s="3">
        <f>IF(OR(I119=1,H119=1),1,0)</f>
        <v/>
      </c>
      <c r="Y119" s="3">
        <f>IF(OR(G119=1),1,0)</f>
        <v/>
      </c>
      <c r="Z119" s="3">
        <f>IF(OR(F119=1),1,0)</f>
        <v/>
      </c>
      <c r="AA119" s="3">
        <f>IF(OR(M119=1),1,0)</f>
        <v/>
      </c>
    </row>
    <row r="120">
      <c r="A120" s="22" t="inlineStr">
        <is>
          <t>e2332ab09fb853b59e36f8212e65f02d507dcf00</t>
        </is>
      </c>
      <c r="B120" s="22" t="inlineStr">
        <is>
          <t>2026-05</t>
        </is>
      </c>
      <c r="C120" s="22" t="inlineStr">
        <is>
          <t>YouTube</t>
        </is>
      </c>
      <c r="D120" s="22" t="n">
        <v>0</v>
      </c>
      <c r="E120" s="22" t="inlineStr">
        <is>
          <t xml:space="preserve">DonAza </t>
        </is>
      </c>
      <c r="F120" s="22" t="inlineStr">
        <is>
          <t>rBjasEsAXAw</t>
        </is>
      </c>
      <c r="G120" s="22" t="n">
        <v>0</v>
      </c>
      <c r="H120" s="22" t="n">
        <v>0</v>
      </c>
      <c r="I120" s="22" t="n">
        <v>0</v>
      </c>
      <c r="J120" s="22" t="n">
        <v>0</v>
      </c>
      <c r="K120" s="22" t="n">
        <v>0</v>
      </c>
      <c r="L120" s="22" t="n">
        <v>0</v>
      </c>
      <c r="M120" s="22" t="n">
        <v>0</v>
      </c>
      <c r="N120" s="22" t="n">
        <v>0</v>
      </c>
      <c r="O120" s="22" t="n">
        <v>0</v>
      </c>
      <c r="P120" s="22" t="n">
        <v>0</v>
      </c>
      <c r="Q120" s="22" t="n">
        <v>0</v>
      </c>
      <c r="R120" s="22" t="n">
        <v>0</v>
      </c>
      <c r="S120" s="22" t="n">
        <v>0</v>
      </c>
      <c r="T120" s="22" t="n">
        <v>0</v>
      </c>
      <c r="U120" s="3">
        <f>IF(OR(N120=1,Q120=1),1,0)</f>
        <v/>
      </c>
      <c r="V120" s="3">
        <f>IF(OR(T120=1,P120=1),1,0)</f>
        <v/>
      </c>
      <c r="W120" s="3">
        <f>IF(OR(J120=1),1,0)</f>
        <v/>
      </c>
      <c r="X120" s="3">
        <f>IF(OR(I120=1,H120=1),1,0)</f>
        <v/>
      </c>
      <c r="Y120" s="3">
        <f>IF(OR(G120=1),1,0)</f>
        <v/>
      </c>
      <c r="Z120" s="3">
        <f>IF(OR(F120=1),1,0)</f>
        <v/>
      </c>
      <c r="AA120" s="3">
        <f>IF(OR(M120=1),1,0)</f>
        <v/>
      </c>
    </row>
    <row r="121">
      <c r="A121" s="22" t="inlineStr">
        <is>
          <t>1404f69da2e591210670023673ca80e5b0146632</t>
        </is>
      </c>
      <c r="B121" s="22" t="inlineStr">
        <is>
          <t>2026-05</t>
        </is>
      </c>
      <c r="C121" s="22" t="inlineStr">
        <is>
          <t>YouTube</t>
        </is>
      </c>
      <c r="D121" s="22" t="n">
        <v>0</v>
      </c>
      <c r="E121" s="22" t="inlineStr">
        <is>
          <t xml:space="preserve">DonAza </t>
        </is>
      </c>
      <c r="F121" s="22" t="inlineStr">
        <is>
          <t>rBjasEsAXAw</t>
        </is>
      </c>
      <c r="G121" s="22" t="n">
        <v>-0.652</v>
      </c>
      <c r="H121" s="22" t="n">
        <v>0</v>
      </c>
      <c r="I121" s="22" t="n">
        <v>0</v>
      </c>
      <c r="J121" s="22" t="n">
        <v>0</v>
      </c>
      <c r="K121" s="22" t="n">
        <v>0</v>
      </c>
      <c r="L121" s="22" t="n">
        <v>0</v>
      </c>
      <c r="M121" s="22" t="n">
        <v>0</v>
      </c>
      <c r="N121" s="22" t="n">
        <v>0</v>
      </c>
      <c r="O121" s="22" t="n">
        <v>0</v>
      </c>
      <c r="P121" s="22" t="n">
        <v>0</v>
      </c>
      <c r="Q121" s="22" t="n">
        <v>0</v>
      </c>
      <c r="R121" s="22" t="n">
        <v>0</v>
      </c>
      <c r="S121" s="22" t="n">
        <v>0</v>
      </c>
      <c r="T121" s="22" t="n">
        <v>0</v>
      </c>
      <c r="U121" s="3">
        <f>IF(OR(N121=1,Q121=1),1,0)</f>
        <v/>
      </c>
      <c r="V121" s="3">
        <f>IF(OR(T121=1,P121=1),1,0)</f>
        <v/>
      </c>
      <c r="W121" s="3">
        <f>IF(OR(J121=1),1,0)</f>
        <v/>
      </c>
      <c r="X121" s="3">
        <f>IF(OR(I121=1,H121=1),1,0)</f>
        <v/>
      </c>
      <c r="Y121" s="3">
        <f>IF(OR(G121=1),1,0)</f>
        <v/>
      </c>
      <c r="Z121" s="3">
        <f>IF(OR(F121=1),1,0)</f>
        <v/>
      </c>
      <c r="AA121" s="3">
        <f>IF(OR(M121=1),1,0)</f>
        <v/>
      </c>
    </row>
    <row r="122">
      <c r="A122" s="22" t="inlineStr">
        <is>
          <t>002e712ff3a58fce97e11e3332dac424c97188b0</t>
        </is>
      </c>
      <c r="B122" s="22" t="inlineStr">
        <is>
          <t>2026-05</t>
        </is>
      </c>
      <c r="C122" s="22" t="inlineStr">
        <is>
          <t>YouTube</t>
        </is>
      </c>
      <c r="D122" s="22" t="n">
        <v>0</v>
      </c>
      <c r="E122" s="22" t="inlineStr">
        <is>
          <t xml:space="preserve">DonAza </t>
        </is>
      </c>
      <c r="F122" s="22" t="inlineStr">
        <is>
          <t>rBjasEsAXAw</t>
        </is>
      </c>
      <c r="G122" s="22" t="n">
        <v>0.318</v>
      </c>
      <c r="H122" s="22" t="n">
        <v>0</v>
      </c>
      <c r="I122" s="22" t="n">
        <v>0</v>
      </c>
      <c r="J122" s="22" t="n">
        <v>0</v>
      </c>
      <c r="K122" s="22" t="n">
        <v>0</v>
      </c>
      <c r="L122" s="22" t="n">
        <v>0</v>
      </c>
      <c r="M122" s="22" t="n">
        <v>0</v>
      </c>
      <c r="N122" s="22" t="n">
        <v>0</v>
      </c>
      <c r="O122" s="22" t="n">
        <v>0</v>
      </c>
      <c r="P122" s="22" t="n">
        <v>0</v>
      </c>
      <c r="Q122" s="22" t="n">
        <v>0</v>
      </c>
      <c r="R122" s="22" t="n">
        <v>0</v>
      </c>
      <c r="S122" s="22" t="n">
        <v>0</v>
      </c>
      <c r="T122" s="22" t="n">
        <v>0</v>
      </c>
      <c r="U122" s="3">
        <f>IF(OR(N122=1,Q122=1),1,0)</f>
        <v/>
      </c>
      <c r="V122" s="3">
        <f>IF(OR(T122=1,P122=1),1,0)</f>
        <v/>
      </c>
      <c r="W122" s="3">
        <f>IF(OR(J122=1),1,0)</f>
        <v/>
      </c>
      <c r="X122" s="3">
        <f>IF(OR(I122=1,H122=1),1,0)</f>
        <v/>
      </c>
      <c r="Y122" s="3">
        <f>IF(OR(G122=1),1,0)</f>
        <v/>
      </c>
      <c r="Z122" s="3">
        <f>IF(OR(F122=1),1,0)</f>
        <v/>
      </c>
      <c r="AA122" s="3">
        <f>IF(OR(M122=1),1,0)</f>
        <v/>
      </c>
    </row>
    <row r="123">
      <c r="A123" s="22" t="inlineStr">
        <is>
          <t>08b567df5fa2d43fb4084accc34e8e8c2021b738</t>
        </is>
      </c>
      <c r="B123" s="22" t="inlineStr">
        <is>
          <t>2026-05</t>
        </is>
      </c>
      <c r="C123" s="22" t="inlineStr">
        <is>
          <t>YouTube</t>
        </is>
      </c>
      <c r="D123" s="22" t="n">
        <v>0</v>
      </c>
      <c r="E123" s="22" t="inlineStr">
        <is>
          <t xml:space="preserve">DonAza </t>
        </is>
      </c>
      <c r="F123" s="22" t="inlineStr">
        <is>
          <t>rBjasEsAXAw</t>
        </is>
      </c>
      <c r="G123" s="22" t="n">
        <v>0.488</v>
      </c>
      <c r="H123" s="22" t="n">
        <v>0</v>
      </c>
      <c r="I123" s="22" t="n">
        <v>0</v>
      </c>
      <c r="J123" s="22" t="n">
        <v>0</v>
      </c>
      <c r="K123" s="22" t="n">
        <v>0</v>
      </c>
      <c r="L123" s="22" t="n">
        <v>0</v>
      </c>
      <c r="M123" s="22" t="n">
        <v>0</v>
      </c>
      <c r="N123" s="22" t="n">
        <v>0</v>
      </c>
      <c r="O123" s="22" t="n">
        <v>0</v>
      </c>
      <c r="P123" s="22" t="n">
        <v>0</v>
      </c>
      <c r="Q123" s="22" t="n">
        <v>0</v>
      </c>
      <c r="R123" s="22" t="n">
        <v>0</v>
      </c>
      <c r="S123" s="22" t="n">
        <v>0</v>
      </c>
      <c r="T123" s="22" t="n">
        <v>0</v>
      </c>
      <c r="U123" s="3">
        <f>IF(OR(N123=1,Q123=1),1,0)</f>
        <v/>
      </c>
      <c r="V123" s="3">
        <f>IF(OR(T123=1,P123=1),1,0)</f>
        <v/>
      </c>
      <c r="W123" s="3">
        <f>IF(OR(J123=1),1,0)</f>
        <v/>
      </c>
      <c r="X123" s="3">
        <f>IF(OR(I123=1,H123=1),1,0)</f>
        <v/>
      </c>
      <c r="Y123" s="3">
        <f>IF(OR(G123=1),1,0)</f>
        <v/>
      </c>
      <c r="Z123" s="3">
        <f>IF(OR(F123=1),1,0)</f>
        <v/>
      </c>
      <c r="AA123" s="3">
        <f>IF(OR(M123=1),1,0)</f>
        <v/>
      </c>
    </row>
    <row r="124">
      <c r="A124" s="22" t="inlineStr">
        <is>
          <t>786c695d26e4e7ba572761a1b33fd79cfc00385d</t>
        </is>
      </c>
      <c r="B124" s="22" t="inlineStr">
        <is>
          <t>2026-05</t>
        </is>
      </c>
      <c r="C124" s="22" t="inlineStr">
        <is>
          <t>YouTube</t>
        </is>
      </c>
      <c r="D124" s="22" t="n">
        <v>0</v>
      </c>
      <c r="E124" s="22" t="inlineStr">
        <is>
          <t xml:space="preserve">DonAza </t>
        </is>
      </c>
      <c r="F124" s="22" t="inlineStr">
        <is>
          <t>rBjasEsAXAw</t>
        </is>
      </c>
      <c r="G124" s="22" t="n">
        <v>0.445</v>
      </c>
      <c r="H124" s="22" t="n">
        <v>0</v>
      </c>
      <c r="I124" s="22" t="n">
        <v>0</v>
      </c>
      <c r="J124" s="22" t="n">
        <v>0</v>
      </c>
      <c r="K124" s="22" t="n">
        <v>0</v>
      </c>
      <c r="L124" s="22" t="n">
        <v>0</v>
      </c>
      <c r="M124" s="22" t="n">
        <v>0</v>
      </c>
      <c r="N124" s="22" t="n">
        <v>0</v>
      </c>
      <c r="O124" s="22" t="n">
        <v>0</v>
      </c>
      <c r="P124" s="22" t="n">
        <v>0</v>
      </c>
      <c r="Q124" s="22" t="n">
        <v>0</v>
      </c>
      <c r="R124" s="22" t="n">
        <v>0</v>
      </c>
      <c r="S124" s="22" t="n">
        <v>0</v>
      </c>
      <c r="T124" s="22" t="n">
        <v>0</v>
      </c>
      <c r="U124" s="3">
        <f>IF(OR(N124=1,Q124=1),1,0)</f>
        <v/>
      </c>
      <c r="V124" s="3">
        <f>IF(OR(T124=1,P124=1),1,0)</f>
        <v/>
      </c>
      <c r="W124" s="3">
        <f>IF(OR(J124=1),1,0)</f>
        <v/>
      </c>
      <c r="X124" s="3">
        <f>IF(OR(I124=1,H124=1),1,0)</f>
        <v/>
      </c>
      <c r="Y124" s="3">
        <f>IF(OR(G124=1),1,0)</f>
        <v/>
      </c>
      <c r="Z124" s="3">
        <f>IF(OR(F124=1),1,0)</f>
        <v/>
      </c>
      <c r="AA124" s="3">
        <f>IF(OR(M124=1),1,0)</f>
        <v/>
      </c>
    </row>
    <row r="125">
      <c r="A125" s="22" t="inlineStr">
        <is>
          <t>d9e8bd5463827550a92102ffb763eda5c37a31db</t>
        </is>
      </c>
      <c r="B125" s="22" t="inlineStr">
        <is>
          <t>2026-05</t>
        </is>
      </c>
      <c r="C125" s="22" t="inlineStr">
        <is>
          <t>YouTube</t>
        </is>
      </c>
      <c r="D125" s="22" t="n">
        <v>0</v>
      </c>
      <c r="E125" s="22" t="inlineStr">
        <is>
          <t xml:space="preserve">DonAza </t>
        </is>
      </c>
      <c r="F125" s="22" t="inlineStr">
        <is>
          <t>rBjasEsAXAw</t>
        </is>
      </c>
      <c r="G125" s="22" t="n">
        <v>-0.402</v>
      </c>
      <c r="H125" s="22" t="n">
        <v>0</v>
      </c>
      <c r="I125" s="22" t="n">
        <v>0</v>
      </c>
      <c r="J125" s="22" t="n">
        <v>0</v>
      </c>
      <c r="K125" s="22" t="n">
        <v>0</v>
      </c>
      <c r="L125" s="22" t="n">
        <v>0</v>
      </c>
      <c r="M125" s="22" t="n">
        <v>0</v>
      </c>
      <c r="N125" s="22" t="n">
        <v>0</v>
      </c>
      <c r="O125" s="22" t="n">
        <v>0</v>
      </c>
      <c r="P125" s="22" t="n">
        <v>0</v>
      </c>
      <c r="Q125" s="22" t="n">
        <v>0</v>
      </c>
      <c r="R125" s="22" t="n">
        <v>0</v>
      </c>
      <c r="S125" s="22" t="n">
        <v>0</v>
      </c>
      <c r="T125" s="22" t="n">
        <v>0</v>
      </c>
      <c r="U125" s="3">
        <f>IF(OR(N125=1,Q125=1),1,0)</f>
        <v/>
      </c>
      <c r="V125" s="3">
        <f>IF(OR(T125=1,P125=1),1,0)</f>
        <v/>
      </c>
      <c r="W125" s="3">
        <f>IF(OR(J125=1),1,0)</f>
        <v/>
      </c>
      <c r="X125" s="3">
        <f>IF(OR(I125=1,H125=1),1,0)</f>
        <v/>
      </c>
      <c r="Y125" s="3">
        <f>IF(OR(G125=1),1,0)</f>
        <v/>
      </c>
      <c r="Z125" s="3">
        <f>IF(OR(F125=1),1,0)</f>
        <v/>
      </c>
      <c r="AA125" s="3">
        <f>IF(OR(M125=1),1,0)</f>
        <v/>
      </c>
    </row>
    <row r="126">
      <c r="A126" s="22" t="inlineStr">
        <is>
          <t>a42daccda44defd584edc554f444fe66e6a2a998</t>
        </is>
      </c>
      <c r="B126" s="22" t="inlineStr">
        <is>
          <t>2026-05</t>
        </is>
      </c>
      <c r="C126" s="22" t="inlineStr">
        <is>
          <t>YouTube</t>
        </is>
      </c>
      <c r="D126" s="22" t="n">
        <v>0</v>
      </c>
      <c r="E126" s="22" t="inlineStr">
        <is>
          <t xml:space="preserve">DonAza </t>
        </is>
      </c>
      <c r="F126" s="22" t="inlineStr">
        <is>
          <t>rBjasEsAXAw</t>
        </is>
      </c>
      <c r="G126" s="22" t="n">
        <v>-0.377</v>
      </c>
      <c r="H126" s="22" t="n">
        <v>0</v>
      </c>
      <c r="I126" s="22" t="n">
        <v>0</v>
      </c>
      <c r="J126" s="22" t="n">
        <v>0</v>
      </c>
      <c r="K126" s="22" t="n">
        <v>0</v>
      </c>
      <c r="L126" s="22" t="n">
        <v>0</v>
      </c>
      <c r="M126" s="22" t="n">
        <v>0</v>
      </c>
      <c r="N126" s="22" t="n">
        <v>0</v>
      </c>
      <c r="O126" s="22" t="n">
        <v>0</v>
      </c>
      <c r="P126" s="22" t="n">
        <v>0</v>
      </c>
      <c r="Q126" s="22" t="n">
        <v>0</v>
      </c>
      <c r="R126" s="22" t="n">
        <v>0</v>
      </c>
      <c r="S126" s="22" t="n">
        <v>0</v>
      </c>
      <c r="T126" s="22" t="n">
        <v>0</v>
      </c>
      <c r="U126" s="3">
        <f>IF(OR(N126=1,Q126=1),1,0)</f>
        <v/>
      </c>
      <c r="V126" s="3">
        <f>IF(OR(T126=1,P126=1),1,0)</f>
        <v/>
      </c>
      <c r="W126" s="3">
        <f>IF(OR(J126=1),1,0)</f>
        <v/>
      </c>
      <c r="X126" s="3">
        <f>IF(OR(I126=1,H126=1),1,0)</f>
        <v/>
      </c>
      <c r="Y126" s="3">
        <f>IF(OR(G126=1),1,0)</f>
        <v/>
      </c>
      <c r="Z126" s="3">
        <f>IF(OR(F126=1),1,0)</f>
        <v/>
      </c>
      <c r="AA126" s="3">
        <f>IF(OR(M126=1),1,0)</f>
        <v/>
      </c>
    </row>
    <row r="127">
      <c r="A127" s="22" t="inlineStr">
        <is>
          <t>82d3b6948080b9ee2319cd09882a29f1238b57a8</t>
        </is>
      </c>
      <c r="B127" s="22" t="inlineStr">
        <is>
          <t>2026-05</t>
        </is>
      </c>
      <c r="C127" s="22" t="inlineStr">
        <is>
          <t>YouTube</t>
        </is>
      </c>
      <c r="D127" s="22" t="n">
        <v>0</v>
      </c>
      <c r="E127" s="22" t="inlineStr">
        <is>
          <t xml:space="preserve">DonAza </t>
        </is>
      </c>
      <c r="F127" s="22" t="inlineStr">
        <is>
          <t>rBjasEsAXAw</t>
        </is>
      </c>
      <c r="G127" s="22" t="n">
        <v>0.649</v>
      </c>
      <c r="H127" s="22" t="n">
        <v>0</v>
      </c>
      <c r="I127" s="22" t="n">
        <v>0</v>
      </c>
      <c r="J127" s="22" t="n">
        <v>0</v>
      </c>
      <c r="K127" s="22" t="n">
        <v>0</v>
      </c>
      <c r="L127" s="22" t="n">
        <v>0</v>
      </c>
      <c r="M127" s="22" t="n">
        <v>0</v>
      </c>
      <c r="N127" s="22" t="n">
        <v>0</v>
      </c>
      <c r="O127" s="22" t="n">
        <v>0</v>
      </c>
      <c r="P127" s="22" t="n">
        <v>0</v>
      </c>
      <c r="Q127" s="22" t="n">
        <v>0</v>
      </c>
      <c r="R127" s="22" t="n">
        <v>0</v>
      </c>
      <c r="S127" s="22" t="n">
        <v>0</v>
      </c>
      <c r="T127" s="22" t="n">
        <v>0</v>
      </c>
      <c r="U127" s="3">
        <f>IF(OR(N127=1,Q127=1),1,0)</f>
        <v/>
      </c>
      <c r="V127" s="3">
        <f>IF(OR(T127=1,P127=1),1,0)</f>
        <v/>
      </c>
      <c r="W127" s="3">
        <f>IF(OR(J127=1),1,0)</f>
        <v/>
      </c>
      <c r="X127" s="3">
        <f>IF(OR(I127=1,H127=1),1,0)</f>
        <v/>
      </c>
      <c r="Y127" s="3">
        <f>IF(OR(G127=1),1,0)</f>
        <v/>
      </c>
      <c r="Z127" s="3">
        <f>IF(OR(F127=1),1,0)</f>
        <v/>
      </c>
      <c r="AA127" s="3">
        <f>IF(OR(M127=1),1,0)</f>
        <v/>
      </c>
    </row>
    <row r="128">
      <c r="A128" s="22" t="inlineStr">
        <is>
          <t>b2e0a05a8f6f8f51066781e1692bfd169dbfdc39</t>
        </is>
      </c>
      <c r="B128" s="22" t="inlineStr">
        <is>
          <t>2026-05</t>
        </is>
      </c>
      <c r="C128" s="22" t="inlineStr">
        <is>
          <t>YouTube</t>
        </is>
      </c>
      <c r="D128" s="22" t="n">
        <v>0</v>
      </c>
      <c r="E128" s="22" t="inlineStr">
        <is>
          <t xml:space="preserve">DonAza </t>
        </is>
      </c>
      <c r="F128" s="22" t="inlineStr">
        <is>
          <t>rBjasEsAXAw</t>
        </is>
      </c>
      <c r="G128" s="22" t="n">
        <v>0.103</v>
      </c>
      <c r="H128" s="22" t="n">
        <v>0</v>
      </c>
      <c r="I128" s="22" t="n">
        <v>0</v>
      </c>
      <c r="J128" s="22" t="n">
        <v>0</v>
      </c>
      <c r="K128" s="22" t="n">
        <v>0</v>
      </c>
      <c r="L128" s="22" t="n">
        <v>0</v>
      </c>
      <c r="M128" s="22" t="n">
        <v>0</v>
      </c>
      <c r="N128" s="22" t="n">
        <v>0</v>
      </c>
      <c r="O128" s="22" t="n">
        <v>0</v>
      </c>
      <c r="P128" s="22" t="n">
        <v>0</v>
      </c>
      <c r="Q128" s="22" t="n">
        <v>0</v>
      </c>
      <c r="R128" s="22" t="n">
        <v>0</v>
      </c>
      <c r="S128" s="22" t="n">
        <v>0</v>
      </c>
      <c r="T128" s="22" t="n">
        <v>0</v>
      </c>
      <c r="U128" s="3">
        <f>IF(OR(N128=1,Q128=1),1,0)</f>
        <v/>
      </c>
      <c r="V128" s="3">
        <f>IF(OR(T128=1,P128=1),1,0)</f>
        <v/>
      </c>
      <c r="W128" s="3">
        <f>IF(OR(J128=1),1,0)</f>
        <v/>
      </c>
      <c r="X128" s="3">
        <f>IF(OR(I128=1,H128=1),1,0)</f>
        <v/>
      </c>
      <c r="Y128" s="3">
        <f>IF(OR(G128=1),1,0)</f>
        <v/>
      </c>
      <c r="Z128" s="3">
        <f>IF(OR(F128=1),1,0)</f>
        <v/>
      </c>
      <c r="AA128" s="3">
        <f>IF(OR(M128=1),1,0)</f>
        <v/>
      </c>
    </row>
    <row r="129">
      <c r="A129" s="22" t="inlineStr">
        <is>
          <t>48d03cced6458ba5f6c18357fb05643cce8d6904</t>
        </is>
      </c>
      <c r="B129" s="22" t="inlineStr">
        <is>
          <t>2026-05</t>
        </is>
      </c>
      <c r="C129" s="22" t="inlineStr">
        <is>
          <t>YouTube</t>
        </is>
      </c>
      <c r="D129" s="22" t="n">
        <v>0</v>
      </c>
      <c r="E129" s="22" t="inlineStr">
        <is>
          <t xml:space="preserve">DonAza </t>
        </is>
      </c>
      <c r="F129" s="22" t="inlineStr">
        <is>
          <t>rBjasEsAXAw</t>
        </is>
      </c>
      <c r="G129" s="22" t="n">
        <v>0.103</v>
      </c>
      <c r="H129" s="22" t="n">
        <v>0</v>
      </c>
      <c r="I129" s="22" t="n">
        <v>0</v>
      </c>
      <c r="J129" s="22" t="n">
        <v>0</v>
      </c>
      <c r="K129" s="22" t="n">
        <v>0</v>
      </c>
      <c r="L129" s="22" t="n">
        <v>0</v>
      </c>
      <c r="M129" s="22" t="n">
        <v>0</v>
      </c>
      <c r="N129" s="22" t="n">
        <v>0</v>
      </c>
      <c r="O129" s="22" t="n">
        <v>0</v>
      </c>
      <c r="P129" s="22" t="n">
        <v>0</v>
      </c>
      <c r="Q129" s="22" t="n">
        <v>0</v>
      </c>
      <c r="R129" s="22" t="n">
        <v>0</v>
      </c>
      <c r="S129" s="22" t="n">
        <v>0</v>
      </c>
      <c r="T129" s="22" t="n">
        <v>0</v>
      </c>
      <c r="U129" s="3">
        <f>IF(OR(N129=1,Q129=1),1,0)</f>
        <v/>
      </c>
      <c r="V129" s="3">
        <f>IF(OR(T129=1,P129=1),1,0)</f>
        <v/>
      </c>
      <c r="W129" s="3">
        <f>IF(OR(J129=1),1,0)</f>
        <v/>
      </c>
      <c r="X129" s="3">
        <f>IF(OR(I129=1,H129=1),1,0)</f>
        <v/>
      </c>
      <c r="Y129" s="3">
        <f>IF(OR(G129=1),1,0)</f>
        <v/>
      </c>
      <c r="Z129" s="3">
        <f>IF(OR(F129=1),1,0)</f>
        <v/>
      </c>
      <c r="AA129" s="3">
        <f>IF(OR(M129=1),1,0)</f>
        <v/>
      </c>
    </row>
    <row r="130">
      <c r="A130" s="22" t="inlineStr">
        <is>
          <t>888570befdc324f37cb0865c0dff72f565fdf7c1</t>
        </is>
      </c>
      <c r="B130" s="22" t="inlineStr">
        <is>
          <t>2026-05</t>
        </is>
      </c>
      <c r="C130" s="22" t="inlineStr">
        <is>
          <t>YouTube</t>
        </is>
      </c>
      <c r="D130" s="22" t="n">
        <v>0</v>
      </c>
      <c r="E130" s="22" t="inlineStr">
        <is>
          <t xml:space="preserve">DonAza </t>
        </is>
      </c>
      <c r="F130" s="22" t="inlineStr">
        <is>
          <t>rBjasEsAXAw</t>
        </is>
      </c>
      <c r="G130" s="22" t="n">
        <v>-0.784</v>
      </c>
      <c r="H130" s="22" t="n">
        <v>1</v>
      </c>
      <c r="I130" s="22" t="n">
        <v>0</v>
      </c>
      <c r="J130" s="22" t="n">
        <v>0</v>
      </c>
      <c r="K130" s="22" t="n">
        <v>0</v>
      </c>
      <c r="L130" s="22" t="n">
        <v>0</v>
      </c>
      <c r="M130" s="22" t="n">
        <v>0</v>
      </c>
      <c r="N130" s="22" t="n">
        <v>0</v>
      </c>
      <c r="O130" s="22" t="n">
        <v>0</v>
      </c>
      <c r="P130" s="22" t="n">
        <v>0</v>
      </c>
      <c r="Q130" s="22" t="n">
        <v>0</v>
      </c>
      <c r="R130" s="22" t="n">
        <v>0</v>
      </c>
      <c r="S130" s="22" t="n">
        <v>0</v>
      </c>
      <c r="T130" s="22" t="n">
        <v>0</v>
      </c>
      <c r="U130" s="3">
        <f>IF(OR(N130=1,Q130=1),1,0)</f>
        <v/>
      </c>
      <c r="V130" s="3">
        <f>IF(OR(T130=1,P130=1),1,0)</f>
        <v/>
      </c>
      <c r="W130" s="3">
        <f>IF(OR(J130=1),1,0)</f>
        <v/>
      </c>
      <c r="X130" s="3">
        <f>IF(OR(I130=1,H130=1),1,0)</f>
        <v/>
      </c>
      <c r="Y130" s="3">
        <f>IF(OR(G130=1),1,0)</f>
        <v/>
      </c>
      <c r="Z130" s="3">
        <f>IF(OR(F130=1),1,0)</f>
        <v/>
      </c>
      <c r="AA130" s="3">
        <f>IF(OR(M130=1),1,0)</f>
        <v/>
      </c>
    </row>
    <row r="131">
      <c r="A131" s="22" t="inlineStr">
        <is>
          <t>a1e354a00d863ef49bdbf0fb3c2e254c117c84ae</t>
        </is>
      </c>
      <c r="B131" s="22" t="inlineStr">
        <is>
          <t>2026-05</t>
        </is>
      </c>
      <c r="C131" s="22" t="inlineStr">
        <is>
          <t>YouTube</t>
        </is>
      </c>
      <c r="D131" s="22" t="n">
        <v>0</v>
      </c>
      <c r="E131" s="22" t="inlineStr">
        <is>
          <t xml:space="preserve">DonAza </t>
        </is>
      </c>
      <c r="F131" s="22" t="inlineStr">
        <is>
          <t>rBjasEsAXAw</t>
        </is>
      </c>
      <c r="G131" s="22" t="n">
        <v>0</v>
      </c>
      <c r="H131" s="22" t="n">
        <v>0</v>
      </c>
      <c r="I131" s="22" t="n">
        <v>0</v>
      </c>
      <c r="J131" s="22" t="n">
        <v>0</v>
      </c>
      <c r="K131" s="22" t="n">
        <v>0</v>
      </c>
      <c r="L131" s="22" t="n">
        <v>0</v>
      </c>
      <c r="M131" s="22" t="n">
        <v>0</v>
      </c>
      <c r="N131" s="22" t="n">
        <v>0</v>
      </c>
      <c r="O131" s="22" t="n">
        <v>0</v>
      </c>
      <c r="P131" s="22" t="n">
        <v>0</v>
      </c>
      <c r="Q131" s="22" t="n">
        <v>0</v>
      </c>
      <c r="R131" s="22" t="n">
        <v>0</v>
      </c>
      <c r="S131" s="22" t="n">
        <v>0</v>
      </c>
      <c r="T131" s="22" t="n">
        <v>0</v>
      </c>
      <c r="U131" s="3">
        <f>IF(OR(N131=1,Q131=1),1,0)</f>
        <v/>
      </c>
      <c r="V131" s="3">
        <f>IF(OR(T131=1,P131=1),1,0)</f>
        <v/>
      </c>
      <c r="W131" s="3">
        <f>IF(OR(J131=1),1,0)</f>
        <v/>
      </c>
      <c r="X131" s="3">
        <f>IF(OR(I131=1,H131=1),1,0)</f>
        <v/>
      </c>
      <c r="Y131" s="3">
        <f>IF(OR(G131=1),1,0)</f>
        <v/>
      </c>
      <c r="Z131" s="3">
        <f>IF(OR(F131=1),1,0)</f>
        <v/>
      </c>
      <c r="AA131" s="3">
        <f>IF(OR(M131=1),1,0)</f>
        <v/>
      </c>
    </row>
    <row r="132">
      <c r="A132" s="22" t="inlineStr">
        <is>
          <t>844b15eed84dc7120f8f33bafc585f08c6a2e239</t>
        </is>
      </c>
      <c r="B132" s="22" t="inlineStr">
        <is>
          <t>2026-05</t>
        </is>
      </c>
      <c r="C132" s="22" t="inlineStr">
        <is>
          <t>YouTube</t>
        </is>
      </c>
      <c r="D132" s="22" t="n">
        <v>0</v>
      </c>
      <c r="E132" s="22" t="inlineStr">
        <is>
          <t xml:space="preserve">DonAza </t>
        </is>
      </c>
      <c r="F132" s="22" t="inlineStr">
        <is>
          <t>rBjasEsAXAw</t>
        </is>
      </c>
      <c r="G132" s="22" t="n">
        <v>-0.458</v>
      </c>
      <c r="H132" s="22" t="n">
        <v>0</v>
      </c>
      <c r="I132" s="22" t="n">
        <v>0</v>
      </c>
      <c r="J132" s="22" t="n">
        <v>0</v>
      </c>
      <c r="K132" s="22" t="n">
        <v>0</v>
      </c>
      <c r="L132" s="22" t="n">
        <v>0</v>
      </c>
      <c r="M132" s="22" t="n">
        <v>1</v>
      </c>
      <c r="N132" s="22" t="n">
        <v>0</v>
      </c>
      <c r="O132" s="22" t="n">
        <v>0</v>
      </c>
      <c r="P132" s="22" t="n">
        <v>0</v>
      </c>
      <c r="Q132" s="22" t="n">
        <v>0</v>
      </c>
      <c r="R132" s="22" t="n">
        <v>0</v>
      </c>
      <c r="S132" s="22" t="n">
        <v>0</v>
      </c>
      <c r="T132" s="22" t="n">
        <v>0</v>
      </c>
      <c r="U132" s="3">
        <f>IF(OR(N132=1,Q132=1),1,0)</f>
        <v/>
      </c>
      <c r="V132" s="3">
        <f>IF(OR(T132=1,P132=1),1,0)</f>
        <v/>
      </c>
      <c r="W132" s="3">
        <f>IF(OR(J132=1),1,0)</f>
        <v/>
      </c>
      <c r="X132" s="3">
        <f>IF(OR(I132=1,H132=1),1,0)</f>
        <v/>
      </c>
      <c r="Y132" s="3">
        <f>IF(OR(G132=1),1,0)</f>
        <v/>
      </c>
      <c r="Z132" s="3">
        <f>IF(OR(F132=1),1,0)</f>
        <v/>
      </c>
      <c r="AA132" s="3">
        <f>IF(OR(M132=1),1,0)</f>
        <v/>
      </c>
    </row>
    <row r="133">
      <c r="A133" s="22" t="inlineStr">
        <is>
          <t>f5b2692665f64f02a46d6d4869a359349a07fcd8</t>
        </is>
      </c>
      <c r="B133" s="22" t="inlineStr">
        <is>
          <t>2026-05</t>
        </is>
      </c>
      <c r="C133" s="22" t="inlineStr">
        <is>
          <t>YouTube</t>
        </is>
      </c>
      <c r="D133" s="22" t="n">
        <v>0</v>
      </c>
      <c r="E133" s="22" t="inlineStr">
        <is>
          <t xml:space="preserve">DonAza </t>
        </is>
      </c>
      <c r="F133" s="22" t="inlineStr">
        <is>
          <t>rBjasEsAXAw</t>
        </is>
      </c>
      <c r="G133" s="22" t="n">
        <v>0.443</v>
      </c>
      <c r="H133" s="22" t="n">
        <v>0</v>
      </c>
      <c r="I133" s="22" t="n">
        <v>0</v>
      </c>
      <c r="J133" s="22" t="n">
        <v>0</v>
      </c>
      <c r="K133" s="22" t="n">
        <v>0</v>
      </c>
      <c r="L133" s="22" t="n">
        <v>0</v>
      </c>
      <c r="M133" s="22" t="n">
        <v>0</v>
      </c>
      <c r="N133" s="22" t="n">
        <v>0</v>
      </c>
      <c r="O133" s="22" t="n">
        <v>0</v>
      </c>
      <c r="P133" s="22" t="n">
        <v>0</v>
      </c>
      <c r="Q133" s="22" t="n">
        <v>0</v>
      </c>
      <c r="R133" s="22" t="n">
        <v>0</v>
      </c>
      <c r="S133" s="22" t="n">
        <v>0</v>
      </c>
      <c r="T133" s="22" t="n">
        <v>0</v>
      </c>
      <c r="U133" s="3">
        <f>IF(OR(N133=1,Q133=1),1,0)</f>
        <v/>
      </c>
      <c r="V133" s="3">
        <f>IF(OR(T133=1,P133=1),1,0)</f>
        <v/>
      </c>
      <c r="W133" s="3">
        <f>IF(OR(J133=1),1,0)</f>
        <v/>
      </c>
      <c r="X133" s="3">
        <f>IF(OR(I133=1,H133=1),1,0)</f>
        <v/>
      </c>
      <c r="Y133" s="3">
        <f>IF(OR(G133=1),1,0)</f>
        <v/>
      </c>
      <c r="Z133" s="3">
        <f>IF(OR(F133=1),1,0)</f>
        <v/>
      </c>
      <c r="AA133" s="3">
        <f>IF(OR(M133=1),1,0)</f>
        <v/>
      </c>
    </row>
    <row r="134">
      <c r="A134" s="22" t="inlineStr">
        <is>
          <t>4ac9dd2497ae1155bd94331054452ccce1acb0ee</t>
        </is>
      </c>
      <c r="B134" s="22" t="inlineStr">
        <is>
          <t>2026-05</t>
        </is>
      </c>
      <c r="C134" s="22" t="inlineStr">
        <is>
          <t>YouTube</t>
        </is>
      </c>
      <c r="D134" s="22" t="n">
        <v>0</v>
      </c>
      <c r="E134" s="22" t="inlineStr">
        <is>
          <t xml:space="preserve">DonAza </t>
        </is>
      </c>
      <c r="F134" s="22" t="inlineStr">
        <is>
          <t>rBjasEsAXAw</t>
        </is>
      </c>
      <c r="G134" s="22" t="n">
        <v>-0.8179999999999999</v>
      </c>
      <c r="H134" s="22" t="n">
        <v>1</v>
      </c>
      <c r="I134" s="22" t="n">
        <v>0</v>
      </c>
      <c r="J134" s="22" t="n">
        <v>0</v>
      </c>
      <c r="K134" s="22" t="n">
        <v>0</v>
      </c>
      <c r="L134" s="22" t="n">
        <v>0</v>
      </c>
      <c r="M134" s="22" t="n">
        <v>0</v>
      </c>
      <c r="N134" s="22" t="n">
        <v>0</v>
      </c>
      <c r="O134" s="22" t="n">
        <v>0</v>
      </c>
      <c r="P134" s="22" t="n">
        <v>0</v>
      </c>
      <c r="Q134" s="22" t="n">
        <v>0</v>
      </c>
      <c r="R134" s="22" t="n">
        <v>0</v>
      </c>
      <c r="S134" s="22" t="n">
        <v>0</v>
      </c>
      <c r="T134" s="22" t="n">
        <v>0</v>
      </c>
      <c r="U134" s="3">
        <f>IF(OR(N134=1,Q134=1),1,0)</f>
        <v/>
      </c>
      <c r="V134" s="3">
        <f>IF(OR(T134=1,P134=1),1,0)</f>
        <v/>
      </c>
      <c r="W134" s="3">
        <f>IF(OR(J134=1),1,0)</f>
        <v/>
      </c>
      <c r="X134" s="3">
        <f>IF(OR(I134=1,H134=1),1,0)</f>
        <v/>
      </c>
      <c r="Y134" s="3">
        <f>IF(OR(G134=1),1,0)</f>
        <v/>
      </c>
      <c r="Z134" s="3">
        <f>IF(OR(F134=1),1,0)</f>
        <v/>
      </c>
      <c r="AA134" s="3">
        <f>IF(OR(M134=1),1,0)</f>
        <v/>
      </c>
    </row>
    <row r="135">
      <c r="A135" s="22" t="inlineStr">
        <is>
          <t>5411a747b08c6f30be62297b454cd06f0e71c1e3</t>
        </is>
      </c>
      <c r="B135" s="22" t="inlineStr">
        <is>
          <t>2026-05</t>
        </is>
      </c>
      <c r="C135" s="22" t="inlineStr">
        <is>
          <t>YouTube</t>
        </is>
      </c>
      <c r="D135" s="22" t="n">
        <v>0</v>
      </c>
      <c r="E135" s="22" t="inlineStr">
        <is>
          <t xml:space="preserve">DonAza </t>
        </is>
      </c>
      <c r="F135" s="22" t="inlineStr">
        <is>
          <t>rBjasEsAXAw</t>
        </is>
      </c>
      <c r="G135" s="22" t="n">
        <v>-0.161</v>
      </c>
      <c r="H135" s="22" t="n">
        <v>0</v>
      </c>
      <c r="I135" s="22" t="n">
        <v>0</v>
      </c>
      <c r="J135" s="22" t="n">
        <v>0</v>
      </c>
      <c r="K135" s="22" t="n">
        <v>0</v>
      </c>
      <c r="L135" s="22" t="n">
        <v>0</v>
      </c>
      <c r="M135" s="22" t="n">
        <v>0</v>
      </c>
      <c r="N135" s="22" t="n">
        <v>0</v>
      </c>
      <c r="O135" s="22" t="n">
        <v>0</v>
      </c>
      <c r="P135" s="22" t="n">
        <v>0</v>
      </c>
      <c r="Q135" s="22" t="n">
        <v>0</v>
      </c>
      <c r="R135" s="22" t="n">
        <v>0</v>
      </c>
      <c r="S135" s="22" t="n">
        <v>0</v>
      </c>
      <c r="T135" s="22" t="n">
        <v>0</v>
      </c>
      <c r="U135" s="3">
        <f>IF(OR(N135=1,Q135=1),1,0)</f>
        <v/>
      </c>
      <c r="V135" s="3">
        <f>IF(OR(T135=1,P135=1),1,0)</f>
        <v/>
      </c>
      <c r="W135" s="3">
        <f>IF(OR(J135=1),1,0)</f>
        <v/>
      </c>
      <c r="X135" s="3">
        <f>IF(OR(I135=1,H135=1),1,0)</f>
        <v/>
      </c>
      <c r="Y135" s="3">
        <f>IF(OR(G135=1),1,0)</f>
        <v/>
      </c>
      <c r="Z135" s="3">
        <f>IF(OR(F135=1),1,0)</f>
        <v/>
      </c>
      <c r="AA135" s="3">
        <f>IF(OR(M135=1),1,0)</f>
        <v/>
      </c>
    </row>
    <row r="136">
      <c r="A136" s="22" t="inlineStr">
        <is>
          <t>bd1f0527940d8cfa7c7d434e3b5b27c27d1f6004</t>
        </is>
      </c>
      <c r="B136" s="22" t="inlineStr">
        <is>
          <t>2026-05</t>
        </is>
      </c>
      <c r="C136" s="22" t="inlineStr">
        <is>
          <t>YouTube</t>
        </is>
      </c>
      <c r="D136" s="22" t="n">
        <v>0</v>
      </c>
      <c r="E136" s="22" t="inlineStr">
        <is>
          <t xml:space="preserve">DonAza </t>
        </is>
      </c>
      <c r="F136" s="22" t="inlineStr">
        <is>
          <t>rBjasEsAXAw</t>
        </is>
      </c>
      <c r="G136" s="22" t="n">
        <v>0.7</v>
      </c>
      <c r="H136" s="22" t="n">
        <v>0</v>
      </c>
      <c r="I136" s="22" t="n">
        <v>0</v>
      </c>
      <c r="J136" s="22" t="n">
        <v>0</v>
      </c>
      <c r="K136" s="22" t="n">
        <v>0</v>
      </c>
      <c r="L136" s="22" t="n">
        <v>0</v>
      </c>
      <c r="M136" s="22" t="n">
        <v>0</v>
      </c>
      <c r="N136" s="22" t="n">
        <v>0</v>
      </c>
      <c r="O136" s="22" t="n">
        <v>0</v>
      </c>
      <c r="P136" s="22" t="n">
        <v>0</v>
      </c>
      <c r="Q136" s="22" t="n">
        <v>0</v>
      </c>
      <c r="R136" s="22" t="n">
        <v>0</v>
      </c>
      <c r="S136" s="22" t="n">
        <v>0</v>
      </c>
      <c r="T136" s="22" t="n">
        <v>0</v>
      </c>
      <c r="U136" s="3">
        <f>IF(OR(N136=1,Q136=1),1,0)</f>
        <v/>
      </c>
      <c r="V136" s="3">
        <f>IF(OR(T136=1,P136=1),1,0)</f>
        <v/>
      </c>
      <c r="W136" s="3">
        <f>IF(OR(J136=1),1,0)</f>
        <v/>
      </c>
      <c r="X136" s="3">
        <f>IF(OR(I136=1,H136=1),1,0)</f>
        <v/>
      </c>
      <c r="Y136" s="3">
        <f>IF(OR(G136=1),1,0)</f>
        <v/>
      </c>
      <c r="Z136" s="3">
        <f>IF(OR(F136=1),1,0)</f>
        <v/>
      </c>
      <c r="AA136" s="3">
        <f>IF(OR(M136=1),1,0)</f>
        <v/>
      </c>
    </row>
    <row r="137">
      <c r="A137" s="22" t="inlineStr">
        <is>
          <t>5931329bbcc649f8807a8abe33c7d86303904bcb</t>
        </is>
      </c>
      <c r="B137" s="22" t="inlineStr">
        <is>
          <t>2026-05</t>
        </is>
      </c>
      <c r="C137" s="22" t="inlineStr">
        <is>
          <t>YouTube</t>
        </is>
      </c>
      <c r="D137" s="22" t="n">
        <v>0</v>
      </c>
      <c r="E137" s="22" t="inlineStr">
        <is>
          <t xml:space="preserve">DonAza </t>
        </is>
      </c>
      <c r="F137" s="22" t="inlineStr">
        <is>
          <t>rBjasEsAXAw</t>
        </is>
      </c>
      <c r="G137" s="22" t="n">
        <v>-0.836</v>
      </c>
      <c r="H137" s="22" t="n">
        <v>0</v>
      </c>
      <c r="I137" s="22" t="n">
        <v>0</v>
      </c>
      <c r="J137" s="22" t="n">
        <v>0</v>
      </c>
      <c r="K137" s="22" t="n">
        <v>0</v>
      </c>
      <c r="L137" s="22" t="n">
        <v>0</v>
      </c>
      <c r="M137" s="22" t="n">
        <v>0</v>
      </c>
      <c r="N137" s="22" t="n">
        <v>0</v>
      </c>
      <c r="O137" s="22" t="n">
        <v>0</v>
      </c>
      <c r="P137" s="22" t="n">
        <v>0</v>
      </c>
      <c r="Q137" s="22" t="n">
        <v>0</v>
      </c>
      <c r="R137" s="22" t="n">
        <v>0</v>
      </c>
      <c r="S137" s="22" t="n">
        <v>0</v>
      </c>
      <c r="T137" s="22" t="n">
        <v>0</v>
      </c>
      <c r="U137" s="3">
        <f>IF(OR(N137=1,Q137=1),1,0)</f>
        <v/>
      </c>
      <c r="V137" s="3">
        <f>IF(OR(T137=1,P137=1),1,0)</f>
        <v/>
      </c>
      <c r="W137" s="3">
        <f>IF(OR(J137=1),1,0)</f>
        <v/>
      </c>
      <c r="X137" s="3">
        <f>IF(OR(I137=1,H137=1),1,0)</f>
        <v/>
      </c>
      <c r="Y137" s="3">
        <f>IF(OR(G137=1),1,0)</f>
        <v/>
      </c>
      <c r="Z137" s="3">
        <f>IF(OR(F137=1),1,0)</f>
        <v/>
      </c>
      <c r="AA137" s="3">
        <f>IF(OR(M137=1),1,0)</f>
        <v/>
      </c>
    </row>
    <row r="138">
      <c r="A138" s="22" t="inlineStr">
        <is>
          <t>2c87f853d20cbf00a77e2a2df2b1e36e5bac466c</t>
        </is>
      </c>
      <c r="B138" s="22" t="inlineStr">
        <is>
          <t>2026-05</t>
        </is>
      </c>
      <c r="C138" s="22" t="inlineStr">
        <is>
          <t>YouTube</t>
        </is>
      </c>
      <c r="D138" s="22" t="n">
        <v>0</v>
      </c>
      <c r="E138" s="22" t="inlineStr">
        <is>
          <t xml:space="preserve">DonAza </t>
        </is>
      </c>
      <c r="F138" s="22" t="inlineStr">
        <is>
          <t>rBjasEsAXAw</t>
        </is>
      </c>
      <c r="G138" s="22" t="n">
        <v>-0.66</v>
      </c>
      <c r="H138" s="22" t="n">
        <v>0</v>
      </c>
      <c r="I138" s="22" t="n">
        <v>0</v>
      </c>
      <c r="J138" s="22" t="n">
        <v>0</v>
      </c>
      <c r="K138" s="22" t="n">
        <v>0</v>
      </c>
      <c r="L138" s="22" t="n">
        <v>0</v>
      </c>
      <c r="M138" s="22" t="n">
        <v>0</v>
      </c>
      <c r="N138" s="22" t="n">
        <v>0</v>
      </c>
      <c r="O138" s="22" t="n">
        <v>0</v>
      </c>
      <c r="P138" s="22" t="n">
        <v>0</v>
      </c>
      <c r="Q138" s="22" t="n">
        <v>0</v>
      </c>
      <c r="R138" s="22" t="n">
        <v>0</v>
      </c>
      <c r="S138" s="22" t="n">
        <v>0</v>
      </c>
      <c r="T138" s="22" t="n">
        <v>0</v>
      </c>
      <c r="U138" s="3">
        <f>IF(OR(N138=1,Q138=1),1,0)</f>
        <v/>
      </c>
      <c r="V138" s="3">
        <f>IF(OR(T138=1,P138=1),1,0)</f>
        <v/>
      </c>
      <c r="W138" s="3">
        <f>IF(OR(J138=1),1,0)</f>
        <v/>
      </c>
      <c r="X138" s="3">
        <f>IF(OR(I138=1,H138=1),1,0)</f>
        <v/>
      </c>
      <c r="Y138" s="3">
        <f>IF(OR(G138=1),1,0)</f>
        <v/>
      </c>
      <c r="Z138" s="3">
        <f>IF(OR(F138=1),1,0)</f>
        <v/>
      </c>
      <c r="AA138" s="3">
        <f>IF(OR(M138=1),1,0)</f>
        <v/>
      </c>
    </row>
    <row r="139">
      <c r="A139" s="22" t="inlineStr">
        <is>
          <t>6199a0414638a9d88161340b3e8e19861e7e8078</t>
        </is>
      </c>
      <c r="B139" s="22" t="inlineStr">
        <is>
          <t>2026-05</t>
        </is>
      </c>
      <c r="C139" s="22" t="inlineStr">
        <is>
          <t>YouTube</t>
        </is>
      </c>
      <c r="D139" s="22" t="n">
        <v>0</v>
      </c>
      <c r="E139" s="22" t="inlineStr">
        <is>
          <t xml:space="preserve">DonAza </t>
        </is>
      </c>
      <c r="F139" s="22" t="inlineStr">
        <is>
          <t>rBjasEsAXAw</t>
        </is>
      </c>
      <c r="G139" s="22" t="n">
        <v>0.8129999999999999</v>
      </c>
      <c r="H139" s="22" t="n">
        <v>0</v>
      </c>
      <c r="I139" s="22" t="n">
        <v>0</v>
      </c>
      <c r="J139" s="22" t="n">
        <v>0</v>
      </c>
      <c r="K139" s="22" t="n">
        <v>1</v>
      </c>
      <c r="L139" s="22" t="n">
        <v>0</v>
      </c>
      <c r="M139" s="22" t="n">
        <v>0</v>
      </c>
      <c r="N139" s="22" t="n">
        <v>0</v>
      </c>
      <c r="O139" s="22" t="n">
        <v>0</v>
      </c>
      <c r="P139" s="22" t="n">
        <v>0</v>
      </c>
      <c r="Q139" s="22" t="n">
        <v>0</v>
      </c>
      <c r="R139" s="22" t="n">
        <v>0</v>
      </c>
      <c r="S139" s="22" t="n">
        <v>0</v>
      </c>
      <c r="T139" s="22" t="n">
        <v>0</v>
      </c>
      <c r="U139" s="3">
        <f>IF(OR(N139=1,Q139=1),1,0)</f>
        <v/>
      </c>
      <c r="V139" s="3">
        <f>IF(OR(T139=1,P139=1),1,0)</f>
        <v/>
      </c>
      <c r="W139" s="3">
        <f>IF(OR(J139=1),1,0)</f>
        <v/>
      </c>
      <c r="X139" s="3">
        <f>IF(OR(I139=1,H139=1),1,0)</f>
        <v/>
      </c>
      <c r="Y139" s="3">
        <f>IF(OR(G139=1),1,0)</f>
        <v/>
      </c>
      <c r="Z139" s="3">
        <f>IF(OR(F139=1),1,0)</f>
        <v/>
      </c>
      <c r="AA139" s="3">
        <f>IF(OR(M139=1),1,0)</f>
        <v/>
      </c>
    </row>
    <row r="140">
      <c r="A140" s="22" t="inlineStr">
        <is>
          <t>998815b50b76342ae9e8c5e1225e2093bbdcbaac</t>
        </is>
      </c>
      <c r="B140" s="22" t="inlineStr">
        <is>
          <t>2026-05</t>
        </is>
      </c>
      <c r="C140" s="22" t="inlineStr">
        <is>
          <t>YouTube</t>
        </is>
      </c>
      <c r="D140" s="22" t="n">
        <v>0</v>
      </c>
      <c r="E140" s="22" t="inlineStr">
        <is>
          <t xml:space="preserve">DonAza </t>
        </is>
      </c>
      <c r="F140" s="22" t="inlineStr">
        <is>
          <t>rBjasEsAXAw</t>
        </is>
      </c>
      <c r="G140" s="22" t="n">
        <v>0</v>
      </c>
      <c r="H140" s="22" t="n">
        <v>0</v>
      </c>
      <c r="I140" s="22" t="n">
        <v>0</v>
      </c>
      <c r="J140" s="22" t="n">
        <v>0</v>
      </c>
      <c r="K140" s="22" t="n">
        <v>0</v>
      </c>
      <c r="L140" s="22" t="n">
        <v>0</v>
      </c>
      <c r="M140" s="22" t="n">
        <v>0</v>
      </c>
      <c r="N140" s="22" t="n">
        <v>0</v>
      </c>
      <c r="O140" s="22" t="n">
        <v>0</v>
      </c>
      <c r="P140" s="22" t="n">
        <v>0</v>
      </c>
      <c r="Q140" s="22" t="n">
        <v>0</v>
      </c>
      <c r="R140" s="22" t="n">
        <v>0</v>
      </c>
      <c r="S140" s="22" t="n">
        <v>0</v>
      </c>
      <c r="T140" s="22" t="n">
        <v>0</v>
      </c>
      <c r="U140" s="3">
        <f>IF(OR(N140=1,Q140=1),1,0)</f>
        <v/>
      </c>
      <c r="V140" s="3">
        <f>IF(OR(T140=1,P140=1),1,0)</f>
        <v/>
      </c>
      <c r="W140" s="3">
        <f>IF(OR(J140=1),1,0)</f>
        <v/>
      </c>
      <c r="X140" s="3">
        <f>IF(OR(I140=1,H140=1),1,0)</f>
        <v/>
      </c>
      <c r="Y140" s="3">
        <f>IF(OR(G140=1),1,0)</f>
        <v/>
      </c>
      <c r="Z140" s="3">
        <f>IF(OR(F140=1),1,0)</f>
        <v/>
      </c>
      <c r="AA140" s="3">
        <f>IF(OR(M140=1),1,0)</f>
        <v/>
      </c>
    </row>
    <row r="141">
      <c r="A141" s="22" t="inlineStr">
        <is>
          <t>df23cfa0ec8a65f6e42377073e5785b8ce0a9d65</t>
        </is>
      </c>
      <c r="B141" s="22" t="inlineStr">
        <is>
          <t>2026-06</t>
        </is>
      </c>
      <c r="C141" s="22" t="inlineStr">
        <is>
          <t>YouTube</t>
        </is>
      </c>
      <c r="D141" s="22" t="n">
        <v>0</v>
      </c>
      <c r="E141" s="22" t="inlineStr">
        <is>
          <t>VERYDARKBLACKMAN</t>
        </is>
      </c>
      <c r="F141" s="22" t="inlineStr">
        <is>
          <t>rFMEC0nGzXA</t>
        </is>
      </c>
      <c r="G141" s="22" t="n">
        <v>0.67</v>
      </c>
      <c r="H141" s="22" t="n">
        <v>1</v>
      </c>
      <c r="I141" s="22" t="n">
        <v>0</v>
      </c>
      <c r="J141" s="22" t="n">
        <v>0</v>
      </c>
      <c r="K141" s="22" t="n">
        <v>0</v>
      </c>
      <c r="L141" s="22" t="n">
        <v>0</v>
      </c>
      <c r="M141" s="22" t="n">
        <v>0</v>
      </c>
      <c r="N141" s="22" t="n">
        <v>0</v>
      </c>
      <c r="O141" s="22" t="n">
        <v>0</v>
      </c>
      <c r="P141" s="22" t="n">
        <v>0</v>
      </c>
      <c r="Q141" s="22" t="n">
        <v>0</v>
      </c>
      <c r="R141" s="22" t="n">
        <v>0</v>
      </c>
      <c r="S141" s="22" t="n">
        <v>0</v>
      </c>
      <c r="T141" s="22" t="n">
        <v>0</v>
      </c>
      <c r="U141" s="3">
        <f>IF(OR(N141=1,Q141=1),1,0)</f>
        <v/>
      </c>
      <c r="V141" s="3">
        <f>IF(OR(T141=1,P141=1),1,0)</f>
        <v/>
      </c>
      <c r="W141" s="3">
        <f>IF(OR(J141=1),1,0)</f>
        <v/>
      </c>
      <c r="X141" s="3">
        <f>IF(OR(I141=1,H141=1),1,0)</f>
        <v/>
      </c>
      <c r="Y141" s="3">
        <f>IF(OR(G141=1),1,0)</f>
        <v/>
      </c>
      <c r="Z141" s="3">
        <f>IF(OR(F141=1),1,0)</f>
        <v/>
      </c>
      <c r="AA141" s="3">
        <f>IF(OR(M141=1),1,0)</f>
        <v/>
      </c>
    </row>
    <row r="142">
      <c r="A142" s="22" t="inlineStr">
        <is>
          <t>3c061f4d45c236c2fe4d7830be2d341e1b521012</t>
        </is>
      </c>
      <c r="B142" s="22" t="inlineStr">
        <is>
          <t>2026-06</t>
        </is>
      </c>
      <c r="C142" s="22" t="inlineStr">
        <is>
          <t>YouTube</t>
        </is>
      </c>
      <c r="D142" s="22" t="n">
        <v>0</v>
      </c>
      <c r="E142" s="22" t="inlineStr">
        <is>
          <t>VERYDARKBLACKMAN</t>
        </is>
      </c>
      <c r="F142" s="22" t="inlineStr">
        <is>
          <t>rFMEC0nGzXA</t>
        </is>
      </c>
      <c r="G142" s="22" t="n">
        <v>-0.296</v>
      </c>
      <c r="H142" s="22" t="n">
        <v>0</v>
      </c>
      <c r="I142" s="22" t="n">
        <v>0</v>
      </c>
      <c r="J142" s="22" t="n">
        <v>0</v>
      </c>
      <c r="K142" s="22" t="n">
        <v>0</v>
      </c>
      <c r="L142" s="22" t="n">
        <v>0</v>
      </c>
      <c r="M142" s="22" t="n">
        <v>0</v>
      </c>
      <c r="N142" s="22" t="n">
        <v>0</v>
      </c>
      <c r="O142" s="22" t="n">
        <v>0</v>
      </c>
      <c r="P142" s="22" t="n">
        <v>1</v>
      </c>
      <c r="Q142" s="22" t="n">
        <v>0</v>
      </c>
      <c r="R142" s="22" t="n">
        <v>0</v>
      </c>
      <c r="S142" s="22" t="n">
        <v>0</v>
      </c>
      <c r="T142" s="22" t="n">
        <v>0</v>
      </c>
      <c r="U142" s="3">
        <f>IF(OR(N142=1,Q142=1),1,0)</f>
        <v/>
      </c>
      <c r="V142" s="3">
        <f>IF(OR(T142=1,P142=1),1,0)</f>
        <v/>
      </c>
      <c r="W142" s="3">
        <f>IF(OR(J142=1),1,0)</f>
        <v/>
      </c>
      <c r="X142" s="3">
        <f>IF(OR(I142=1,H142=1),1,0)</f>
        <v/>
      </c>
      <c r="Y142" s="3">
        <f>IF(OR(G142=1),1,0)</f>
        <v/>
      </c>
      <c r="Z142" s="3">
        <f>IF(OR(F142=1),1,0)</f>
        <v/>
      </c>
      <c r="AA142" s="3">
        <f>IF(OR(M142=1),1,0)</f>
        <v/>
      </c>
    </row>
    <row r="143">
      <c r="A143" s="22" t="inlineStr">
        <is>
          <t>01da728ecef34097258491c65f476aa36867f6ea</t>
        </is>
      </c>
      <c r="B143" s="22" t="inlineStr">
        <is>
          <t>2026-06</t>
        </is>
      </c>
      <c r="C143" s="22" t="inlineStr">
        <is>
          <t>YouTube</t>
        </is>
      </c>
      <c r="D143" s="22" t="n">
        <v>0</v>
      </c>
      <c r="E143" s="22" t="inlineStr">
        <is>
          <t>VERYDARKBLACKMAN</t>
        </is>
      </c>
      <c r="F143" s="22" t="inlineStr">
        <is>
          <t>rFMEC0nGzXA</t>
        </is>
      </c>
      <c r="G143" s="22" t="n">
        <v>-0.34</v>
      </c>
      <c r="H143" s="22" t="n">
        <v>0</v>
      </c>
      <c r="I143" s="22" t="n">
        <v>0</v>
      </c>
      <c r="J143" s="22" t="n">
        <v>0</v>
      </c>
      <c r="K143" s="22" t="n">
        <v>0</v>
      </c>
      <c r="L143" s="22" t="n">
        <v>0</v>
      </c>
      <c r="M143" s="22" t="n">
        <v>0</v>
      </c>
      <c r="N143" s="22" t="n">
        <v>0</v>
      </c>
      <c r="O143" s="22" t="n">
        <v>0</v>
      </c>
      <c r="P143" s="22" t="n">
        <v>1</v>
      </c>
      <c r="Q143" s="22" t="n">
        <v>0</v>
      </c>
      <c r="R143" s="22" t="n">
        <v>0</v>
      </c>
      <c r="S143" s="22" t="n">
        <v>0</v>
      </c>
      <c r="T143" s="22" t="n">
        <v>0</v>
      </c>
      <c r="U143" s="3">
        <f>IF(OR(N143=1,Q143=1),1,0)</f>
        <v/>
      </c>
      <c r="V143" s="3">
        <f>IF(OR(T143=1,P143=1),1,0)</f>
        <v/>
      </c>
      <c r="W143" s="3">
        <f>IF(OR(J143=1),1,0)</f>
        <v/>
      </c>
      <c r="X143" s="3">
        <f>IF(OR(I143=1,H143=1),1,0)</f>
        <v/>
      </c>
      <c r="Y143" s="3">
        <f>IF(OR(G143=1),1,0)</f>
        <v/>
      </c>
      <c r="Z143" s="3">
        <f>IF(OR(F143=1),1,0)</f>
        <v/>
      </c>
      <c r="AA143" s="3">
        <f>IF(OR(M143=1),1,0)</f>
        <v/>
      </c>
    </row>
    <row r="144">
      <c r="A144" s="22" t="inlineStr">
        <is>
          <t>726d8f85da72c240b23d2637ee014c5712194baa</t>
        </is>
      </c>
      <c r="B144" s="22" t="inlineStr">
        <is>
          <t>2026-06</t>
        </is>
      </c>
      <c r="C144" s="22" t="inlineStr">
        <is>
          <t>YouTube</t>
        </is>
      </c>
      <c r="D144" s="22" t="n">
        <v>0</v>
      </c>
      <c r="E144" s="22" t="inlineStr">
        <is>
          <t>VERYDARKBLACKMAN</t>
        </is>
      </c>
      <c r="F144" s="22" t="inlineStr">
        <is>
          <t>rFMEC0nGzXA</t>
        </is>
      </c>
      <c r="G144" s="22" t="n">
        <v>-0.628</v>
      </c>
      <c r="H144" s="22" t="n">
        <v>0</v>
      </c>
      <c r="I144" s="22" t="n">
        <v>0</v>
      </c>
      <c r="J144" s="22" t="n">
        <v>0</v>
      </c>
      <c r="K144" s="22" t="n">
        <v>0</v>
      </c>
      <c r="L144" s="22" t="n">
        <v>0</v>
      </c>
      <c r="M144" s="22" t="n">
        <v>0</v>
      </c>
      <c r="N144" s="22" t="n">
        <v>0</v>
      </c>
      <c r="O144" s="22" t="n">
        <v>0</v>
      </c>
      <c r="P144" s="22" t="n">
        <v>1</v>
      </c>
      <c r="Q144" s="22" t="n">
        <v>0</v>
      </c>
      <c r="R144" s="22" t="n">
        <v>0</v>
      </c>
      <c r="S144" s="22" t="n">
        <v>0</v>
      </c>
      <c r="T144" s="22" t="n">
        <v>0</v>
      </c>
      <c r="U144" s="3">
        <f>IF(OR(N144=1,Q144=1),1,0)</f>
        <v/>
      </c>
      <c r="V144" s="3">
        <f>IF(OR(T144=1,P144=1),1,0)</f>
        <v/>
      </c>
      <c r="W144" s="3">
        <f>IF(OR(J144=1),1,0)</f>
        <v/>
      </c>
      <c r="X144" s="3">
        <f>IF(OR(I144=1,H144=1),1,0)</f>
        <v/>
      </c>
      <c r="Y144" s="3">
        <f>IF(OR(G144=1),1,0)</f>
        <v/>
      </c>
      <c r="Z144" s="3">
        <f>IF(OR(F144=1),1,0)</f>
        <v/>
      </c>
      <c r="AA144" s="3">
        <f>IF(OR(M144=1),1,0)</f>
        <v/>
      </c>
    </row>
    <row r="145">
      <c r="A145" s="22" t="inlineStr">
        <is>
          <t>caf4da19f3c247bf06df6a37d65a52d4ee26b2ba</t>
        </is>
      </c>
      <c r="B145" s="22" t="inlineStr">
        <is>
          <t>2026-06</t>
        </is>
      </c>
      <c r="C145" s="22" t="inlineStr">
        <is>
          <t>YouTube</t>
        </is>
      </c>
      <c r="D145" s="22" t="n">
        <v>0</v>
      </c>
      <c r="E145" s="22" t="inlineStr">
        <is>
          <t>VERYDARKBLACKMAN</t>
        </is>
      </c>
      <c r="F145" s="22" t="inlineStr">
        <is>
          <t>rFMEC0nGzXA</t>
        </is>
      </c>
      <c r="G145" s="22" t="n">
        <v>0.867</v>
      </c>
      <c r="H145" s="22" t="n">
        <v>0</v>
      </c>
      <c r="I145" s="22" t="n">
        <v>0</v>
      </c>
      <c r="J145" s="22" t="n">
        <v>0</v>
      </c>
      <c r="K145" s="22" t="n">
        <v>0</v>
      </c>
      <c r="L145" s="22" t="n">
        <v>0</v>
      </c>
      <c r="M145" s="22" t="n">
        <v>0</v>
      </c>
      <c r="N145" s="22" t="n">
        <v>0</v>
      </c>
      <c r="O145" s="22" t="n">
        <v>0</v>
      </c>
      <c r="P145" s="22" t="n">
        <v>1</v>
      </c>
      <c r="Q145" s="22" t="n">
        <v>0</v>
      </c>
      <c r="R145" s="22" t="n">
        <v>0</v>
      </c>
      <c r="S145" s="22" t="n">
        <v>0</v>
      </c>
      <c r="T145" s="22" t="n">
        <v>0</v>
      </c>
      <c r="U145" s="3">
        <f>IF(OR(N145=1,Q145=1),1,0)</f>
        <v/>
      </c>
      <c r="V145" s="3">
        <f>IF(OR(T145=1,P145=1),1,0)</f>
        <v/>
      </c>
      <c r="W145" s="3">
        <f>IF(OR(J145=1),1,0)</f>
        <v/>
      </c>
      <c r="X145" s="3">
        <f>IF(OR(I145=1,H145=1),1,0)</f>
        <v/>
      </c>
      <c r="Y145" s="3">
        <f>IF(OR(G145=1),1,0)</f>
        <v/>
      </c>
      <c r="Z145" s="3">
        <f>IF(OR(F145=1),1,0)</f>
        <v/>
      </c>
      <c r="AA145" s="3">
        <f>IF(OR(M145=1),1,0)</f>
        <v/>
      </c>
    </row>
    <row r="146">
      <c r="A146" s="22" t="inlineStr">
        <is>
          <t>fbab616934033ea55ae3f5f873bd1764d67bd172</t>
        </is>
      </c>
      <c r="B146" s="22" t="inlineStr">
        <is>
          <t>2026-06</t>
        </is>
      </c>
      <c r="C146" s="22" t="inlineStr">
        <is>
          <t>YouTube</t>
        </is>
      </c>
      <c r="D146" s="22" t="n">
        <v>0</v>
      </c>
      <c r="E146" s="22" t="inlineStr">
        <is>
          <t>VERYDARKBLACKMAN</t>
        </is>
      </c>
      <c r="F146" s="22" t="inlineStr">
        <is>
          <t>rFMEC0nGzXA</t>
        </is>
      </c>
      <c r="G146" s="22" t="n">
        <v>0.451</v>
      </c>
      <c r="H146" s="22" t="n">
        <v>0</v>
      </c>
      <c r="I146" s="22" t="n">
        <v>0</v>
      </c>
      <c r="J146" s="22" t="n">
        <v>0</v>
      </c>
      <c r="K146" s="22" t="n">
        <v>0</v>
      </c>
      <c r="L146" s="22" t="n">
        <v>0</v>
      </c>
      <c r="M146" s="22" t="n">
        <v>0</v>
      </c>
      <c r="N146" s="22" t="n">
        <v>0</v>
      </c>
      <c r="O146" s="22" t="n">
        <v>0</v>
      </c>
      <c r="P146" s="22" t="n">
        <v>1</v>
      </c>
      <c r="Q146" s="22" t="n">
        <v>0</v>
      </c>
      <c r="R146" s="22" t="n">
        <v>0</v>
      </c>
      <c r="S146" s="22" t="n">
        <v>0</v>
      </c>
      <c r="T146" s="22" t="n">
        <v>0</v>
      </c>
      <c r="U146" s="3">
        <f>IF(OR(N146=1,Q146=1),1,0)</f>
        <v/>
      </c>
      <c r="V146" s="3">
        <f>IF(OR(T146=1,P146=1),1,0)</f>
        <v/>
      </c>
      <c r="W146" s="3">
        <f>IF(OR(J146=1),1,0)</f>
        <v/>
      </c>
      <c r="X146" s="3">
        <f>IF(OR(I146=1,H146=1),1,0)</f>
        <v/>
      </c>
      <c r="Y146" s="3">
        <f>IF(OR(G146=1),1,0)</f>
        <v/>
      </c>
      <c r="Z146" s="3">
        <f>IF(OR(F146=1),1,0)</f>
        <v/>
      </c>
      <c r="AA146" s="3">
        <f>IF(OR(M146=1),1,0)</f>
        <v/>
      </c>
    </row>
    <row r="147">
      <c r="A147" s="22" t="inlineStr">
        <is>
          <t>afdbb61d47be1e8479750d45d5ef8a5465411391</t>
        </is>
      </c>
      <c r="B147" s="22" t="inlineStr">
        <is>
          <t>2026-06</t>
        </is>
      </c>
      <c r="C147" s="22" t="inlineStr">
        <is>
          <t>YouTube</t>
        </is>
      </c>
      <c r="D147" s="22" t="n">
        <v>0</v>
      </c>
      <c r="E147" s="22" t="inlineStr">
        <is>
          <t>VERYDARKBLACKMAN</t>
        </is>
      </c>
      <c r="F147" s="22" t="inlineStr">
        <is>
          <t>rFMEC0nGzXA</t>
        </is>
      </c>
      <c r="G147" s="22" t="n">
        <v>0</v>
      </c>
      <c r="H147" s="22" t="n">
        <v>0</v>
      </c>
      <c r="I147" s="22" t="n">
        <v>0</v>
      </c>
      <c r="J147" s="22" t="n">
        <v>0</v>
      </c>
      <c r="K147" s="22" t="n">
        <v>0</v>
      </c>
      <c r="L147" s="22" t="n">
        <v>0</v>
      </c>
      <c r="M147" s="22" t="n">
        <v>0</v>
      </c>
      <c r="N147" s="22" t="n">
        <v>0</v>
      </c>
      <c r="O147" s="22" t="n">
        <v>0</v>
      </c>
      <c r="P147" s="22" t="n">
        <v>1</v>
      </c>
      <c r="Q147" s="22" t="n">
        <v>0</v>
      </c>
      <c r="R147" s="22" t="n">
        <v>0</v>
      </c>
      <c r="S147" s="22" t="n">
        <v>0</v>
      </c>
      <c r="T147" s="22" t="n">
        <v>0</v>
      </c>
      <c r="U147" s="3">
        <f>IF(OR(N147=1,Q147=1),1,0)</f>
        <v/>
      </c>
      <c r="V147" s="3">
        <f>IF(OR(T147=1,P147=1),1,0)</f>
        <v/>
      </c>
      <c r="W147" s="3">
        <f>IF(OR(J147=1),1,0)</f>
        <v/>
      </c>
      <c r="X147" s="3">
        <f>IF(OR(I147=1,H147=1),1,0)</f>
        <v/>
      </c>
      <c r="Y147" s="3">
        <f>IF(OR(G147=1),1,0)</f>
        <v/>
      </c>
      <c r="Z147" s="3">
        <f>IF(OR(F147=1),1,0)</f>
        <v/>
      </c>
      <c r="AA147" s="3">
        <f>IF(OR(M147=1),1,0)</f>
        <v/>
      </c>
    </row>
    <row r="148">
      <c r="A148" s="22" t="inlineStr">
        <is>
          <t>d6563bfd0fe399b34fd3584e891a4667563454f8</t>
        </is>
      </c>
      <c r="B148" s="22" t="inlineStr">
        <is>
          <t>2026-06</t>
        </is>
      </c>
      <c r="C148" s="22" t="inlineStr">
        <is>
          <t>YouTube</t>
        </is>
      </c>
      <c r="D148" s="22" t="n">
        <v>0</v>
      </c>
      <c r="E148" s="22" t="inlineStr">
        <is>
          <t>VERYDARKBLACKMAN</t>
        </is>
      </c>
      <c r="F148" s="22" t="inlineStr">
        <is>
          <t>rFMEC0nGzXA</t>
        </is>
      </c>
      <c r="G148" s="22" t="n">
        <v>0</v>
      </c>
      <c r="H148" s="22" t="n">
        <v>0</v>
      </c>
      <c r="I148" s="22" t="n">
        <v>0</v>
      </c>
      <c r="J148" s="22" t="n">
        <v>0</v>
      </c>
      <c r="K148" s="22" t="n">
        <v>0</v>
      </c>
      <c r="L148" s="22" t="n">
        <v>0</v>
      </c>
      <c r="M148" s="22" t="n">
        <v>0</v>
      </c>
      <c r="N148" s="22" t="n">
        <v>0</v>
      </c>
      <c r="O148" s="22" t="n">
        <v>0</v>
      </c>
      <c r="P148" s="22" t="n">
        <v>1</v>
      </c>
      <c r="Q148" s="22" t="n">
        <v>0</v>
      </c>
      <c r="R148" s="22" t="n">
        <v>0</v>
      </c>
      <c r="S148" s="22" t="n">
        <v>0</v>
      </c>
      <c r="T148" s="22" t="n">
        <v>0</v>
      </c>
      <c r="U148" s="3">
        <f>IF(OR(N148=1,Q148=1),1,0)</f>
        <v/>
      </c>
      <c r="V148" s="3">
        <f>IF(OR(T148=1,P148=1),1,0)</f>
        <v/>
      </c>
      <c r="W148" s="3">
        <f>IF(OR(J148=1),1,0)</f>
        <v/>
      </c>
      <c r="X148" s="3">
        <f>IF(OR(I148=1,H148=1),1,0)</f>
        <v/>
      </c>
      <c r="Y148" s="3">
        <f>IF(OR(G148=1),1,0)</f>
        <v/>
      </c>
      <c r="Z148" s="3">
        <f>IF(OR(F148=1),1,0)</f>
        <v/>
      </c>
      <c r="AA148" s="3">
        <f>IF(OR(M148=1),1,0)</f>
        <v/>
      </c>
    </row>
    <row r="149">
      <c r="A149" s="22" t="inlineStr">
        <is>
          <t>0d177e6f2a076fae998951d5e42a37fb2f58b592</t>
        </is>
      </c>
      <c r="B149" s="22" t="inlineStr">
        <is>
          <t>2026-06</t>
        </is>
      </c>
      <c r="C149" s="22" t="inlineStr">
        <is>
          <t>YouTube</t>
        </is>
      </c>
      <c r="D149" s="22" t="n">
        <v>0</v>
      </c>
      <c r="E149" s="22" t="inlineStr">
        <is>
          <t>VERYDARKBLACKMAN</t>
        </is>
      </c>
      <c r="F149" s="22" t="inlineStr">
        <is>
          <t>rFMEC0nGzXA</t>
        </is>
      </c>
      <c r="G149" s="22" t="n">
        <v>-0.659</v>
      </c>
      <c r="H149" s="22" t="n">
        <v>0</v>
      </c>
      <c r="I149" s="22" t="n">
        <v>0</v>
      </c>
      <c r="J149" s="22" t="n">
        <v>0</v>
      </c>
      <c r="K149" s="22" t="n">
        <v>0</v>
      </c>
      <c r="L149" s="22" t="n">
        <v>0</v>
      </c>
      <c r="M149" s="22" t="n">
        <v>1</v>
      </c>
      <c r="N149" s="22" t="n">
        <v>0</v>
      </c>
      <c r="O149" s="22" t="n">
        <v>0</v>
      </c>
      <c r="P149" s="22" t="n">
        <v>0</v>
      </c>
      <c r="Q149" s="22" t="n">
        <v>0</v>
      </c>
      <c r="R149" s="22" t="n">
        <v>0</v>
      </c>
      <c r="S149" s="22" t="n">
        <v>0</v>
      </c>
      <c r="T149" s="22" t="n">
        <v>0</v>
      </c>
      <c r="U149" s="3">
        <f>IF(OR(N149=1,Q149=1),1,0)</f>
        <v/>
      </c>
      <c r="V149" s="3">
        <f>IF(OR(T149=1,P149=1),1,0)</f>
        <v/>
      </c>
      <c r="W149" s="3">
        <f>IF(OR(J149=1),1,0)</f>
        <v/>
      </c>
      <c r="X149" s="3">
        <f>IF(OR(I149=1,H149=1),1,0)</f>
        <v/>
      </c>
      <c r="Y149" s="3">
        <f>IF(OR(G149=1),1,0)</f>
        <v/>
      </c>
      <c r="Z149" s="3">
        <f>IF(OR(F149=1),1,0)</f>
        <v/>
      </c>
      <c r="AA149" s="3">
        <f>IF(OR(M149=1),1,0)</f>
        <v/>
      </c>
    </row>
    <row r="150">
      <c r="A150" s="22" t="inlineStr">
        <is>
          <t>978d44c35916ef3ebcd52f4435cac9545b70925f</t>
        </is>
      </c>
      <c r="B150" s="22" t="inlineStr">
        <is>
          <t>2026-06</t>
        </is>
      </c>
      <c r="C150" s="22" t="inlineStr">
        <is>
          <t>YouTube</t>
        </is>
      </c>
      <c r="D150" s="22" t="n">
        <v>0</v>
      </c>
      <c r="E150" s="22" t="inlineStr">
        <is>
          <t>VERYDARKBLACKMAN</t>
        </is>
      </c>
      <c r="F150" s="22" t="inlineStr">
        <is>
          <t>rFMEC0nGzXA</t>
        </is>
      </c>
      <c r="G150" s="22" t="n">
        <v>0.36</v>
      </c>
      <c r="H150" s="22" t="n">
        <v>0</v>
      </c>
      <c r="I150" s="22" t="n">
        <v>0</v>
      </c>
      <c r="J150" s="22" t="n">
        <v>0</v>
      </c>
      <c r="K150" s="22" t="n">
        <v>0</v>
      </c>
      <c r="L150" s="22" t="n">
        <v>0</v>
      </c>
      <c r="M150" s="22" t="n">
        <v>0</v>
      </c>
      <c r="N150" s="22" t="n">
        <v>0</v>
      </c>
      <c r="O150" s="22" t="n">
        <v>0</v>
      </c>
      <c r="P150" s="22" t="n">
        <v>1</v>
      </c>
      <c r="Q150" s="22" t="n">
        <v>0</v>
      </c>
      <c r="R150" s="22" t="n">
        <v>0</v>
      </c>
      <c r="S150" s="22" t="n">
        <v>0</v>
      </c>
      <c r="T150" s="22" t="n">
        <v>0</v>
      </c>
      <c r="U150" s="3">
        <f>IF(OR(N150=1,Q150=1),1,0)</f>
        <v/>
      </c>
      <c r="V150" s="3">
        <f>IF(OR(T150=1,P150=1),1,0)</f>
        <v/>
      </c>
      <c r="W150" s="3">
        <f>IF(OR(J150=1),1,0)</f>
        <v/>
      </c>
      <c r="X150" s="3">
        <f>IF(OR(I150=1,H150=1),1,0)</f>
        <v/>
      </c>
      <c r="Y150" s="3">
        <f>IF(OR(G150=1),1,0)</f>
        <v/>
      </c>
      <c r="Z150" s="3">
        <f>IF(OR(F150=1),1,0)</f>
        <v/>
      </c>
      <c r="AA150" s="3">
        <f>IF(OR(M150=1),1,0)</f>
        <v/>
      </c>
    </row>
    <row r="151">
      <c r="A151" s="22" t="inlineStr">
        <is>
          <t>fb0a7b5f7af6dda2c8172690b846e815a88e6614</t>
        </is>
      </c>
      <c r="B151" s="22" t="inlineStr">
        <is>
          <t>2026-06</t>
        </is>
      </c>
      <c r="C151" s="22" t="inlineStr">
        <is>
          <t>YouTube</t>
        </is>
      </c>
      <c r="D151" s="22" t="n">
        <v>0</v>
      </c>
      <c r="E151" s="22" t="inlineStr">
        <is>
          <t>VERYDARKBLACKMAN</t>
        </is>
      </c>
      <c r="F151" s="22" t="inlineStr">
        <is>
          <t>rFMEC0nGzXA</t>
        </is>
      </c>
      <c r="G151" s="22" t="n">
        <v>0.226</v>
      </c>
      <c r="H151" s="22" t="n">
        <v>0</v>
      </c>
      <c r="I151" s="22" t="n">
        <v>0</v>
      </c>
      <c r="J151" s="22" t="n">
        <v>0</v>
      </c>
      <c r="K151" s="22" t="n">
        <v>1</v>
      </c>
      <c r="L151" s="22" t="n">
        <v>0</v>
      </c>
      <c r="M151" s="22" t="n">
        <v>0</v>
      </c>
      <c r="N151" s="22" t="n">
        <v>0</v>
      </c>
      <c r="O151" s="22" t="n">
        <v>0</v>
      </c>
      <c r="P151" s="22" t="n">
        <v>0</v>
      </c>
      <c r="Q151" s="22" t="n">
        <v>0</v>
      </c>
      <c r="R151" s="22" t="n">
        <v>0</v>
      </c>
      <c r="S151" s="22" t="n">
        <v>0</v>
      </c>
      <c r="T151" s="22" t="n">
        <v>0</v>
      </c>
      <c r="U151" s="3">
        <f>IF(OR(N151=1,Q151=1),1,0)</f>
        <v/>
      </c>
      <c r="V151" s="3">
        <f>IF(OR(T151=1,P151=1),1,0)</f>
        <v/>
      </c>
      <c r="W151" s="3">
        <f>IF(OR(J151=1),1,0)</f>
        <v/>
      </c>
      <c r="X151" s="3">
        <f>IF(OR(I151=1,H151=1),1,0)</f>
        <v/>
      </c>
      <c r="Y151" s="3">
        <f>IF(OR(G151=1),1,0)</f>
        <v/>
      </c>
      <c r="Z151" s="3">
        <f>IF(OR(F151=1),1,0)</f>
        <v/>
      </c>
      <c r="AA151" s="3">
        <f>IF(OR(M151=1),1,0)</f>
        <v/>
      </c>
    </row>
    <row r="152">
      <c r="A152" s="22" t="inlineStr">
        <is>
          <t>7204fdfb37ceeaa61d9243c6014aa7bef897e666</t>
        </is>
      </c>
      <c r="B152" s="22" t="inlineStr">
        <is>
          <t>2026-06</t>
        </is>
      </c>
      <c r="C152" s="22" t="inlineStr">
        <is>
          <t>YouTube</t>
        </is>
      </c>
      <c r="D152" s="22" t="n">
        <v>0</v>
      </c>
      <c r="E152" s="22" t="inlineStr">
        <is>
          <t>VERYDARKBLACKMAN</t>
        </is>
      </c>
      <c r="F152" s="22" t="inlineStr">
        <is>
          <t>rFMEC0nGzXA</t>
        </is>
      </c>
      <c r="G152" s="22" t="n">
        <v>-0.735</v>
      </c>
      <c r="H152" s="22" t="n">
        <v>0</v>
      </c>
      <c r="I152" s="22" t="n">
        <v>0</v>
      </c>
      <c r="J152" s="22" t="n">
        <v>0</v>
      </c>
      <c r="K152" s="22" t="n">
        <v>0</v>
      </c>
      <c r="L152" s="22" t="n">
        <v>0</v>
      </c>
      <c r="M152" s="22" t="n">
        <v>1</v>
      </c>
      <c r="N152" s="22" t="n">
        <v>0</v>
      </c>
      <c r="O152" s="22" t="n">
        <v>0</v>
      </c>
      <c r="P152" s="22" t="n">
        <v>0</v>
      </c>
      <c r="Q152" s="22" t="n">
        <v>0</v>
      </c>
      <c r="R152" s="22" t="n">
        <v>0</v>
      </c>
      <c r="S152" s="22" t="n">
        <v>0</v>
      </c>
      <c r="T152" s="22" t="n">
        <v>0</v>
      </c>
      <c r="U152" s="3">
        <f>IF(OR(N152=1,Q152=1),1,0)</f>
        <v/>
      </c>
      <c r="V152" s="3">
        <f>IF(OR(T152=1,P152=1),1,0)</f>
        <v/>
      </c>
      <c r="W152" s="3">
        <f>IF(OR(J152=1),1,0)</f>
        <v/>
      </c>
      <c r="X152" s="3">
        <f>IF(OR(I152=1,H152=1),1,0)</f>
        <v/>
      </c>
      <c r="Y152" s="3">
        <f>IF(OR(G152=1),1,0)</f>
        <v/>
      </c>
      <c r="Z152" s="3">
        <f>IF(OR(F152=1),1,0)</f>
        <v/>
      </c>
      <c r="AA152" s="3">
        <f>IF(OR(M152=1),1,0)</f>
        <v/>
      </c>
    </row>
    <row r="153">
      <c r="A153" s="22" t="inlineStr">
        <is>
          <t>435d386b29b7ac66164ae36d704c78fccff77544</t>
        </is>
      </c>
      <c r="B153" s="22" t="inlineStr">
        <is>
          <t>2026-06</t>
        </is>
      </c>
      <c r="C153" s="22" t="inlineStr">
        <is>
          <t>YouTube</t>
        </is>
      </c>
      <c r="D153" s="22" t="n">
        <v>0</v>
      </c>
      <c r="E153" s="22" t="inlineStr">
        <is>
          <t>VERYDARKBLACKMAN</t>
        </is>
      </c>
      <c r="F153" s="22" t="inlineStr">
        <is>
          <t>rFMEC0nGzXA</t>
        </is>
      </c>
      <c r="G153" s="22" t="n">
        <v>-0.34</v>
      </c>
      <c r="H153" s="22" t="n">
        <v>1</v>
      </c>
      <c r="I153" s="22" t="n">
        <v>0</v>
      </c>
      <c r="J153" s="22" t="n">
        <v>0</v>
      </c>
      <c r="K153" s="22" t="n">
        <v>0</v>
      </c>
      <c r="L153" s="22" t="n">
        <v>0</v>
      </c>
      <c r="M153" s="22" t="n">
        <v>0</v>
      </c>
      <c r="N153" s="22" t="n">
        <v>0</v>
      </c>
      <c r="O153" s="22" t="n">
        <v>0</v>
      </c>
      <c r="P153" s="22" t="n">
        <v>0</v>
      </c>
      <c r="Q153" s="22" t="n">
        <v>0</v>
      </c>
      <c r="R153" s="22" t="n">
        <v>0</v>
      </c>
      <c r="S153" s="22" t="n">
        <v>0</v>
      </c>
      <c r="T153" s="22" t="n">
        <v>0</v>
      </c>
      <c r="U153" s="3">
        <f>IF(OR(N153=1,Q153=1),1,0)</f>
        <v/>
      </c>
      <c r="V153" s="3">
        <f>IF(OR(T153=1,P153=1),1,0)</f>
        <v/>
      </c>
      <c r="W153" s="3">
        <f>IF(OR(J153=1),1,0)</f>
        <v/>
      </c>
      <c r="X153" s="3">
        <f>IF(OR(I153=1,H153=1),1,0)</f>
        <v/>
      </c>
      <c r="Y153" s="3">
        <f>IF(OR(G153=1),1,0)</f>
        <v/>
      </c>
      <c r="Z153" s="3">
        <f>IF(OR(F153=1),1,0)</f>
        <v/>
      </c>
      <c r="AA153" s="3">
        <f>IF(OR(M153=1),1,0)</f>
        <v/>
      </c>
    </row>
    <row r="154">
      <c r="A154" s="22" t="inlineStr">
        <is>
          <t>620a6ade927a9c14c0012068a873fab93179b3e9</t>
        </is>
      </c>
      <c r="B154" s="22" t="inlineStr">
        <is>
          <t>2026-06</t>
        </is>
      </c>
      <c r="C154" s="22" t="inlineStr">
        <is>
          <t>YouTube</t>
        </is>
      </c>
      <c r="D154" s="22" t="n">
        <v>0</v>
      </c>
      <c r="E154" s="22" t="inlineStr">
        <is>
          <t>VERYDARKBLACKMAN</t>
        </is>
      </c>
      <c r="F154" s="22" t="inlineStr">
        <is>
          <t>rFMEC0nGzXA</t>
        </is>
      </c>
      <c r="G154" s="22" t="n">
        <v>-0.904</v>
      </c>
      <c r="H154" s="22" t="n">
        <v>1</v>
      </c>
      <c r="I154" s="22" t="n">
        <v>0</v>
      </c>
      <c r="J154" s="22" t="n">
        <v>0</v>
      </c>
      <c r="K154" s="22" t="n">
        <v>0</v>
      </c>
      <c r="L154" s="22" t="n">
        <v>0</v>
      </c>
      <c r="M154" s="22" t="n">
        <v>0</v>
      </c>
      <c r="N154" s="22" t="n">
        <v>0</v>
      </c>
      <c r="O154" s="22" t="n">
        <v>0</v>
      </c>
      <c r="P154" s="22" t="n">
        <v>1</v>
      </c>
      <c r="Q154" s="22" t="n">
        <v>0</v>
      </c>
      <c r="R154" s="22" t="n">
        <v>0</v>
      </c>
      <c r="S154" s="22" t="n">
        <v>0</v>
      </c>
      <c r="T154" s="22" t="n">
        <v>0</v>
      </c>
      <c r="U154" s="3">
        <f>IF(OR(N154=1,Q154=1),1,0)</f>
        <v/>
      </c>
      <c r="V154" s="3">
        <f>IF(OR(T154=1,P154=1),1,0)</f>
        <v/>
      </c>
      <c r="W154" s="3">
        <f>IF(OR(J154=1),1,0)</f>
        <v/>
      </c>
      <c r="X154" s="3">
        <f>IF(OR(I154=1,H154=1),1,0)</f>
        <v/>
      </c>
      <c r="Y154" s="3">
        <f>IF(OR(G154=1),1,0)</f>
        <v/>
      </c>
      <c r="Z154" s="3">
        <f>IF(OR(F154=1),1,0)</f>
        <v/>
      </c>
      <c r="AA154" s="3">
        <f>IF(OR(M154=1),1,0)</f>
        <v/>
      </c>
    </row>
    <row r="155">
      <c r="A155" s="22" t="inlineStr">
        <is>
          <t>c84695a563c6242c101253f671a0c7cd98e61a33</t>
        </is>
      </c>
      <c r="B155" s="22" t="inlineStr">
        <is>
          <t>2026-06</t>
        </is>
      </c>
      <c r="C155" s="22" t="inlineStr">
        <is>
          <t>YouTube</t>
        </is>
      </c>
      <c r="D155" s="22" t="n">
        <v>0</v>
      </c>
      <c r="E155" s="22" t="inlineStr">
        <is>
          <t>VERYDARKBLACKMAN</t>
        </is>
      </c>
      <c r="F155" s="22" t="inlineStr">
        <is>
          <t>rFMEC0nGzXA</t>
        </is>
      </c>
      <c r="G155" s="22" t="n">
        <v>-0.382</v>
      </c>
      <c r="H155" s="22" t="n">
        <v>0</v>
      </c>
      <c r="I155" s="22" t="n">
        <v>0</v>
      </c>
      <c r="J155" s="22" t="n">
        <v>0</v>
      </c>
      <c r="K155" s="22" t="n">
        <v>0</v>
      </c>
      <c r="L155" s="22" t="n">
        <v>0</v>
      </c>
      <c r="M155" s="22" t="n">
        <v>0</v>
      </c>
      <c r="N155" s="22" t="n">
        <v>0</v>
      </c>
      <c r="O155" s="22" t="n">
        <v>0</v>
      </c>
      <c r="P155" s="22" t="n">
        <v>1</v>
      </c>
      <c r="Q155" s="22" t="n">
        <v>0</v>
      </c>
      <c r="R155" s="22" t="n">
        <v>0</v>
      </c>
      <c r="S155" s="22" t="n">
        <v>0</v>
      </c>
      <c r="T155" s="22" t="n">
        <v>0</v>
      </c>
      <c r="U155" s="3">
        <f>IF(OR(N155=1,Q155=1),1,0)</f>
        <v/>
      </c>
      <c r="V155" s="3">
        <f>IF(OR(T155=1,P155=1),1,0)</f>
        <v/>
      </c>
      <c r="W155" s="3">
        <f>IF(OR(J155=1),1,0)</f>
        <v/>
      </c>
      <c r="X155" s="3">
        <f>IF(OR(I155=1,H155=1),1,0)</f>
        <v/>
      </c>
      <c r="Y155" s="3">
        <f>IF(OR(G155=1),1,0)</f>
        <v/>
      </c>
      <c r="Z155" s="3">
        <f>IF(OR(F155=1),1,0)</f>
        <v/>
      </c>
      <c r="AA155" s="3">
        <f>IF(OR(M155=1),1,0)</f>
        <v/>
      </c>
    </row>
    <row r="156">
      <c r="A156" s="22" t="inlineStr">
        <is>
          <t>8dc9ef3f38c45a00e0c514cb3862451477819f9d</t>
        </is>
      </c>
      <c r="B156" s="22" t="inlineStr">
        <is>
          <t>2026-06</t>
        </is>
      </c>
      <c r="C156" s="22" t="inlineStr">
        <is>
          <t>YouTube</t>
        </is>
      </c>
      <c r="D156" s="22" t="n">
        <v>0</v>
      </c>
      <c r="E156" s="22" t="inlineStr">
        <is>
          <t>VERYDARKBLACKMAN</t>
        </is>
      </c>
      <c r="F156" s="22" t="inlineStr">
        <is>
          <t>rFMEC0nGzXA</t>
        </is>
      </c>
      <c r="G156" s="22" t="n">
        <v>0</v>
      </c>
      <c r="H156" s="22" t="n">
        <v>0</v>
      </c>
      <c r="I156" s="22" t="n">
        <v>0</v>
      </c>
      <c r="J156" s="22" t="n">
        <v>0</v>
      </c>
      <c r="K156" s="22" t="n">
        <v>0</v>
      </c>
      <c r="L156" s="22" t="n">
        <v>0</v>
      </c>
      <c r="M156" s="22" t="n">
        <v>0</v>
      </c>
      <c r="N156" s="22" t="n">
        <v>0</v>
      </c>
      <c r="O156" s="22" t="n">
        <v>0</v>
      </c>
      <c r="P156" s="22" t="n">
        <v>1</v>
      </c>
      <c r="Q156" s="22" t="n">
        <v>0</v>
      </c>
      <c r="R156" s="22" t="n">
        <v>0</v>
      </c>
      <c r="S156" s="22" t="n">
        <v>0</v>
      </c>
      <c r="T156" s="22" t="n">
        <v>0</v>
      </c>
      <c r="U156" s="3">
        <f>IF(OR(N156=1,Q156=1),1,0)</f>
        <v/>
      </c>
      <c r="V156" s="3">
        <f>IF(OR(T156=1,P156=1),1,0)</f>
        <v/>
      </c>
      <c r="W156" s="3">
        <f>IF(OR(J156=1),1,0)</f>
        <v/>
      </c>
      <c r="X156" s="3">
        <f>IF(OR(I156=1,H156=1),1,0)</f>
        <v/>
      </c>
      <c r="Y156" s="3">
        <f>IF(OR(G156=1),1,0)</f>
        <v/>
      </c>
      <c r="Z156" s="3">
        <f>IF(OR(F156=1),1,0)</f>
        <v/>
      </c>
      <c r="AA156" s="3">
        <f>IF(OR(M156=1),1,0)</f>
        <v/>
      </c>
    </row>
    <row r="157">
      <c r="A157" s="22" t="inlineStr">
        <is>
          <t>27bf7a3d6764cb04a122a4e484b01a2258510526</t>
        </is>
      </c>
      <c r="B157" s="22" t="inlineStr">
        <is>
          <t>2026-06</t>
        </is>
      </c>
      <c r="C157" s="22" t="inlineStr">
        <is>
          <t>YouTube</t>
        </is>
      </c>
      <c r="D157" s="22" t="n">
        <v>0</v>
      </c>
      <c r="E157" s="22" t="inlineStr">
        <is>
          <t>VERYDARKBLACKMAN</t>
        </is>
      </c>
      <c r="F157" s="22" t="inlineStr">
        <is>
          <t>rFMEC0nGzXA</t>
        </is>
      </c>
      <c r="G157" s="22" t="n">
        <v>0</v>
      </c>
      <c r="H157" s="22" t="n">
        <v>0</v>
      </c>
      <c r="I157" s="22" t="n">
        <v>0</v>
      </c>
      <c r="J157" s="22" t="n">
        <v>0</v>
      </c>
      <c r="K157" s="22" t="n">
        <v>0</v>
      </c>
      <c r="L157" s="22" t="n">
        <v>0</v>
      </c>
      <c r="M157" s="22" t="n">
        <v>0</v>
      </c>
      <c r="N157" s="22" t="n">
        <v>0</v>
      </c>
      <c r="O157" s="22" t="n">
        <v>0</v>
      </c>
      <c r="P157" s="22" t="n">
        <v>1</v>
      </c>
      <c r="Q157" s="22" t="n">
        <v>0</v>
      </c>
      <c r="R157" s="22" t="n">
        <v>0</v>
      </c>
      <c r="S157" s="22" t="n">
        <v>0</v>
      </c>
      <c r="T157" s="22" t="n">
        <v>0</v>
      </c>
      <c r="U157" s="3">
        <f>IF(OR(N157=1,Q157=1),1,0)</f>
        <v/>
      </c>
      <c r="V157" s="3">
        <f>IF(OR(T157=1,P157=1),1,0)</f>
        <v/>
      </c>
      <c r="W157" s="3">
        <f>IF(OR(J157=1),1,0)</f>
        <v/>
      </c>
      <c r="X157" s="3">
        <f>IF(OR(I157=1,H157=1),1,0)</f>
        <v/>
      </c>
      <c r="Y157" s="3">
        <f>IF(OR(G157=1),1,0)</f>
        <v/>
      </c>
      <c r="Z157" s="3">
        <f>IF(OR(F157=1),1,0)</f>
        <v/>
      </c>
      <c r="AA157" s="3">
        <f>IF(OR(M157=1),1,0)</f>
        <v/>
      </c>
    </row>
    <row r="158">
      <c r="A158" s="22" t="inlineStr">
        <is>
          <t>df68e39e39c7368b7ecd977aa33d2d91e442d002</t>
        </is>
      </c>
      <c r="B158" s="22" t="inlineStr">
        <is>
          <t>2026-06</t>
        </is>
      </c>
      <c r="C158" s="22" t="inlineStr">
        <is>
          <t>YouTube</t>
        </is>
      </c>
      <c r="D158" s="22" t="n">
        <v>0</v>
      </c>
      <c r="E158" s="22" t="inlineStr">
        <is>
          <t>VERYDARKBLACKMAN</t>
        </is>
      </c>
      <c r="F158" s="22" t="inlineStr">
        <is>
          <t>rFMEC0nGzXA</t>
        </is>
      </c>
      <c r="G158" s="22" t="n">
        <v>0</v>
      </c>
      <c r="H158" s="22" t="n">
        <v>0</v>
      </c>
      <c r="I158" s="22" t="n">
        <v>0</v>
      </c>
      <c r="J158" s="22" t="n">
        <v>0</v>
      </c>
      <c r="K158" s="22" t="n">
        <v>0</v>
      </c>
      <c r="L158" s="22" t="n">
        <v>0</v>
      </c>
      <c r="M158" s="22" t="n">
        <v>0</v>
      </c>
      <c r="N158" s="22" t="n">
        <v>0</v>
      </c>
      <c r="O158" s="22" t="n">
        <v>0</v>
      </c>
      <c r="P158" s="22" t="n">
        <v>1</v>
      </c>
      <c r="Q158" s="22" t="n">
        <v>0</v>
      </c>
      <c r="R158" s="22" t="n">
        <v>0</v>
      </c>
      <c r="S158" s="22" t="n">
        <v>0</v>
      </c>
      <c r="T158" s="22" t="n">
        <v>0</v>
      </c>
      <c r="U158" s="3">
        <f>IF(OR(N158=1,Q158=1),1,0)</f>
        <v/>
      </c>
      <c r="V158" s="3">
        <f>IF(OR(T158=1,P158=1),1,0)</f>
        <v/>
      </c>
      <c r="W158" s="3">
        <f>IF(OR(J158=1),1,0)</f>
        <v/>
      </c>
      <c r="X158" s="3">
        <f>IF(OR(I158=1,H158=1),1,0)</f>
        <v/>
      </c>
      <c r="Y158" s="3">
        <f>IF(OR(G158=1),1,0)</f>
        <v/>
      </c>
      <c r="Z158" s="3">
        <f>IF(OR(F158=1),1,0)</f>
        <v/>
      </c>
      <c r="AA158" s="3">
        <f>IF(OR(M158=1),1,0)</f>
        <v/>
      </c>
    </row>
    <row r="159">
      <c r="A159" s="22" t="inlineStr">
        <is>
          <t>bdbcb795986e93a14c4305f09fb2960da3f54d9d</t>
        </is>
      </c>
      <c r="B159" s="22" t="inlineStr">
        <is>
          <t>2026-06</t>
        </is>
      </c>
      <c r="C159" s="22" t="inlineStr">
        <is>
          <t>YouTube</t>
        </is>
      </c>
      <c r="D159" s="22" t="n">
        <v>0</v>
      </c>
      <c r="E159" s="22" t="inlineStr">
        <is>
          <t>VERYDARKBLACKMAN</t>
        </is>
      </c>
      <c r="F159" s="22" t="inlineStr">
        <is>
          <t>rFMEC0nGzXA</t>
        </is>
      </c>
      <c r="G159" s="22" t="n">
        <v>-0.915</v>
      </c>
      <c r="H159" s="22" t="n">
        <v>0</v>
      </c>
      <c r="I159" s="22" t="n">
        <v>0</v>
      </c>
      <c r="J159" s="22" t="n">
        <v>1</v>
      </c>
      <c r="K159" s="22" t="n">
        <v>0</v>
      </c>
      <c r="L159" s="22" t="n">
        <v>0</v>
      </c>
      <c r="M159" s="22" t="n">
        <v>0</v>
      </c>
      <c r="N159" s="22" t="n">
        <v>0</v>
      </c>
      <c r="O159" s="22" t="n">
        <v>0</v>
      </c>
      <c r="P159" s="22" t="n">
        <v>0</v>
      </c>
      <c r="Q159" s="22" t="n">
        <v>0</v>
      </c>
      <c r="R159" s="22" t="n">
        <v>0</v>
      </c>
      <c r="S159" s="22" t="n">
        <v>0</v>
      </c>
      <c r="T159" s="22" t="n">
        <v>0</v>
      </c>
      <c r="U159" s="3">
        <f>IF(OR(N159=1,Q159=1),1,0)</f>
        <v/>
      </c>
      <c r="V159" s="3">
        <f>IF(OR(T159=1,P159=1),1,0)</f>
        <v/>
      </c>
      <c r="W159" s="3">
        <f>IF(OR(J159=1),1,0)</f>
        <v/>
      </c>
      <c r="X159" s="3">
        <f>IF(OR(I159=1,H159=1),1,0)</f>
        <v/>
      </c>
      <c r="Y159" s="3">
        <f>IF(OR(G159=1),1,0)</f>
        <v/>
      </c>
      <c r="Z159" s="3">
        <f>IF(OR(F159=1),1,0)</f>
        <v/>
      </c>
      <c r="AA159" s="3">
        <f>IF(OR(M159=1),1,0)</f>
        <v/>
      </c>
    </row>
    <row r="160">
      <c r="A160" s="22" t="inlineStr">
        <is>
          <t>316879708db244c1f506728c2b1efd66b86fdae3</t>
        </is>
      </c>
      <c r="B160" s="22" t="inlineStr">
        <is>
          <t>2026-06</t>
        </is>
      </c>
      <c r="C160" s="22" t="inlineStr">
        <is>
          <t>YouTube</t>
        </is>
      </c>
      <c r="D160" s="22" t="n">
        <v>0</v>
      </c>
      <c r="E160" s="22" t="inlineStr">
        <is>
          <t>VERYDARKBLACKMAN</t>
        </is>
      </c>
      <c r="F160" s="22" t="inlineStr">
        <is>
          <t>rFMEC0nGzXA</t>
        </is>
      </c>
      <c r="G160" s="22" t="n">
        <v>0.151</v>
      </c>
      <c r="H160" s="22" t="n">
        <v>0</v>
      </c>
      <c r="I160" s="22" t="n">
        <v>0</v>
      </c>
      <c r="J160" s="22" t="n">
        <v>0</v>
      </c>
      <c r="K160" s="22" t="n">
        <v>0</v>
      </c>
      <c r="L160" s="22" t="n">
        <v>0</v>
      </c>
      <c r="M160" s="22" t="n">
        <v>0</v>
      </c>
      <c r="N160" s="22" t="n">
        <v>0</v>
      </c>
      <c r="O160" s="22" t="n">
        <v>0</v>
      </c>
      <c r="P160" s="22" t="n">
        <v>1</v>
      </c>
      <c r="Q160" s="22" t="n">
        <v>0</v>
      </c>
      <c r="R160" s="22" t="n">
        <v>0</v>
      </c>
      <c r="S160" s="22" t="n">
        <v>0</v>
      </c>
      <c r="T160" s="22" t="n">
        <v>0</v>
      </c>
      <c r="U160" s="3">
        <f>IF(OR(N160=1,Q160=1),1,0)</f>
        <v/>
      </c>
      <c r="V160" s="3">
        <f>IF(OR(T160=1,P160=1),1,0)</f>
        <v/>
      </c>
      <c r="W160" s="3">
        <f>IF(OR(J160=1),1,0)</f>
        <v/>
      </c>
      <c r="X160" s="3">
        <f>IF(OR(I160=1,H160=1),1,0)</f>
        <v/>
      </c>
      <c r="Y160" s="3">
        <f>IF(OR(G160=1),1,0)</f>
        <v/>
      </c>
      <c r="Z160" s="3">
        <f>IF(OR(F160=1),1,0)</f>
        <v/>
      </c>
      <c r="AA160" s="3">
        <f>IF(OR(M160=1),1,0)</f>
        <v/>
      </c>
    </row>
    <row r="161">
      <c r="A161" s="22" t="inlineStr">
        <is>
          <t>a4361873268e006ade757894480b71e7bf2dae79</t>
        </is>
      </c>
      <c r="B161" s="22" t="inlineStr">
        <is>
          <t>2026-06</t>
        </is>
      </c>
      <c r="C161" s="22" t="inlineStr">
        <is>
          <t>YouTube</t>
        </is>
      </c>
      <c r="D161" s="22" t="n">
        <v>0</v>
      </c>
      <c r="E161" s="22" t="inlineStr">
        <is>
          <t>VERYDARKBLACKMAN</t>
        </is>
      </c>
      <c r="F161" s="22" t="inlineStr">
        <is>
          <t>rFMEC0nGzXA</t>
        </is>
      </c>
      <c r="G161" s="22" t="n">
        <v>0.621</v>
      </c>
      <c r="H161" s="22" t="n">
        <v>1</v>
      </c>
      <c r="I161" s="22" t="n">
        <v>0</v>
      </c>
      <c r="J161" s="22" t="n">
        <v>0</v>
      </c>
      <c r="K161" s="22" t="n">
        <v>0</v>
      </c>
      <c r="L161" s="22" t="n">
        <v>0</v>
      </c>
      <c r="M161" s="22" t="n">
        <v>0</v>
      </c>
      <c r="N161" s="22" t="n">
        <v>0</v>
      </c>
      <c r="O161" s="22" t="n">
        <v>0</v>
      </c>
      <c r="P161" s="22" t="n">
        <v>1</v>
      </c>
      <c r="Q161" s="22" t="n">
        <v>0</v>
      </c>
      <c r="R161" s="22" t="n">
        <v>0</v>
      </c>
      <c r="S161" s="22" t="n">
        <v>0</v>
      </c>
      <c r="T161" s="22" t="n">
        <v>0</v>
      </c>
      <c r="U161" s="3">
        <f>IF(OR(N161=1,Q161=1),1,0)</f>
        <v/>
      </c>
      <c r="V161" s="3">
        <f>IF(OR(T161=1,P161=1),1,0)</f>
        <v/>
      </c>
      <c r="W161" s="3">
        <f>IF(OR(J161=1),1,0)</f>
        <v/>
      </c>
      <c r="X161" s="3">
        <f>IF(OR(I161=1,H161=1),1,0)</f>
        <v/>
      </c>
      <c r="Y161" s="3">
        <f>IF(OR(G161=1),1,0)</f>
        <v/>
      </c>
      <c r="Z161" s="3">
        <f>IF(OR(F161=1),1,0)</f>
        <v/>
      </c>
      <c r="AA161" s="3">
        <f>IF(OR(M161=1),1,0)</f>
        <v/>
      </c>
    </row>
    <row r="162">
      <c r="A162" s="22" t="inlineStr">
        <is>
          <t>019f5b9af838f5f0bb694d60ed330e1087d49e30</t>
        </is>
      </c>
      <c r="B162" s="22" t="inlineStr">
        <is>
          <t>2026-06</t>
        </is>
      </c>
      <c r="C162" s="22" t="inlineStr">
        <is>
          <t>YouTube</t>
        </is>
      </c>
      <c r="D162" s="22" t="n">
        <v>0</v>
      </c>
      <c r="E162" s="22" t="inlineStr">
        <is>
          <t>VERYDARKBLACKMAN</t>
        </is>
      </c>
      <c r="F162" s="22" t="inlineStr">
        <is>
          <t>rFMEC0nGzXA</t>
        </is>
      </c>
      <c r="G162" s="22" t="n">
        <v>0.276</v>
      </c>
      <c r="H162" s="22" t="n">
        <v>1</v>
      </c>
      <c r="I162" s="22" t="n">
        <v>0</v>
      </c>
      <c r="J162" s="22" t="n">
        <v>0</v>
      </c>
      <c r="K162" s="22" t="n">
        <v>0</v>
      </c>
      <c r="L162" s="22" t="n">
        <v>0</v>
      </c>
      <c r="M162" s="22" t="n">
        <v>0</v>
      </c>
      <c r="N162" s="22" t="n">
        <v>0</v>
      </c>
      <c r="O162" s="22" t="n">
        <v>0</v>
      </c>
      <c r="P162" s="22" t="n">
        <v>0</v>
      </c>
      <c r="Q162" s="22" t="n">
        <v>0</v>
      </c>
      <c r="R162" s="22" t="n">
        <v>0</v>
      </c>
      <c r="S162" s="22" t="n">
        <v>0</v>
      </c>
      <c r="T162" s="22" t="n">
        <v>0</v>
      </c>
      <c r="U162" s="3">
        <f>IF(OR(N162=1,Q162=1),1,0)</f>
        <v/>
      </c>
      <c r="V162" s="3">
        <f>IF(OR(T162=1,P162=1),1,0)</f>
        <v/>
      </c>
      <c r="W162" s="3">
        <f>IF(OR(J162=1),1,0)</f>
        <v/>
      </c>
      <c r="X162" s="3">
        <f>IF(OR(I162=1,H162=1),1,0)</f>
        <v/>
      </c>
      <c r="Y162" s="3">
        <f>IF(OR(G162=1),1,0)</f>
        <v/>
      </c>
      <c r="Z162" s="3">
        <f>IF(OR(F162=1),1,0)</f>
        <v/>
      </c>
      <c r="AA162" s="3">
        <f>IF(OR(M162=1),1,0)</f>
        <v/>
      </c>
    </row>
    <row r="163">
      <c r="A163" s="22" t="inlineStr">
        <is>
          <t>905f19a4b253340745744722ab5b1e35c31b9323</t>
        </is>
      </c>
      <c r="B163" s="22" t="inlineStr">
        <is>
          <t>2026-06</t>
        </is>
      </c>
      <c r="C163" s="22" t="inlineStr">
        <is>
          <t>YouTube</t>
        </is>
      </c>
      <c r="D163" s="22" t="n">
        <v>0</v>
      </c>
      <c r="E163" s="22" t="inlineStr">
        <is>
          <t>VERYDARKBLACKMAN</t>
        </is>
      </c>
      <c r="F163" s="22" t="inlineStr">
        <is>
          <t>rFMEC0nGzXA</t>
        </is>
      </c>
      <c r="G163" s="22" t="n">
        <v>-0.402</v>
      </c>
      <c r="H163" s="22" t="n">
        <v>0</v>
      </c>
      <c r="I163" s="22" t="n">
        <v>0</v>
      </c>
      <c r="J163" s="22" t="n">
        <v>0</v>
      </c>
      <c r="K163" s="22" t="n">
        <v>0</v>
      </c>
      <c r="L163" s="22" t="n">
        <v>0</v>
      </c>
      <c r="M163" s="22" t="n">
        <v>1</v>
      </c>
      <c r="N163" s="22" t="n">
        <v>0</v>
      </c>
      <c r="O163" s="22" t="n">
        <v>0</v>
      </c>
      <c r="P163" s="22" t="n">
        <v>0</v>
      </c>
      <c r="Q163" s="22" t="n">
        <v>0</v>
      </c>
      <c r="R163" s="22" t="n">
        <v>0</v>
      </c>
      <c r="S163" s="22" t="n">
        <v>0</v>
      </c>
      <c r="T163" s="22" t="n">
        <v>0</v>
      </c>
      <c r="U163" s="3">
        <f>IF(OR(N163=1,Q163=1),1,0)</f>
        <v/>
      </c>
      <c r="V163" s="3">
        <f>IF(OR(T163=1,P163=1),1,0)</f>
        <v/>
      </c>
      <c r="W163" s="3">
        <f>IF(OR(J163=1),1,0)</f>
        <v/>
      </c>
      <c r="X163" s="3">
        <f>IF(OR(I163=1,H163=1),1,0)</f>
        <v/>
      </c>
      <c r="Y163" s="3">
        <f>IF(OR(G163=1),1,0)</f>
        <v/>
      </c>
      <c r="Z163" s="3">
        <f>IF(OR(F163=1),1,0)</f>
        <v/>
      </c>
      <c r="AA163" s="3">
        <f>IF(OR(M163=1),1,0)</f>
        <v/>
      </c>
    </row>
    <row r="164">
      <c r="A164" s="22" t="inlineStr">
        <is>
          <t>fd59a14fc4477420e4b321bc466b9465b1e116d5</t>
        </is>
      </c>
      <c r="B164" s="22" t="inlineStr">
        <is>
          <t>2026-06</t>
        </is>
      </c>
      <c r="C164" s="22" t="inlineStr">
        <is>
          <t>YouTube</t>
        </is>
      </c>
      <c r="D164" s="22" t="n">
        <v>0</v>
      </c>
      <c r="E164" s="22" t="inlineStr">
        <is>
          <t>VERYDARKBLACKMAN</t>
        </is>
      </c>
      <c r="F164" s="22" t="inlineStr">
        <is>
          <t>rFMEC0nGzXA</t>
        </is>
      </c>
      <c r="G164" s="22" t="n">
        <v>-0.742</v>
      </c>
      <c r="H164" s="22" t="n">
        <v>1</v>
      </c>
      <c r="I164" s="22" t="n">
        <v>0</v>
      </c>
      <c r="J164" s="22" t="n">
        <v>0</v>
      </c>
      <c r="K164" s="22" t="n">
        <v>0</v>
      </c>
      <c r="L164" s="22" t="n">
        <v>0</v>
      </c>
      <c r="M164" s="22" t="n">
        <v>0</v>
      </c>
      <c r="N164" s="22" t="n">
        <v>0</v>
      </c>
      <c r="O164" s="22" t="n">
        <v>0</v>
      </c>
      <c r="P164" s="22" t="n">
        <v>0</v>
      </c>
      <c r="Q164" s="22" t="n">
        <v>0</v>
      </c>
      <c r="R164" s="22" t="n">
        <v>0</v>
      </c>
      <c r="S164" s="22" t="n">
        <v>0</v>
      </c>
      <c r="T164" s="22" t="n">
        <v>0</v>
      </c>
      <c r="U164" s="3">
        <f>IF(OR(N164=1,Q164=1),1,0)</f>
        <v/>
      </c>
      <c r="V164" s="3">
        <f>IF(OR(T164=1,P164=1),1,0)</f>
        <v/>
      </c>
      <c r="W164" s="3">
        <f>IF(OR(J164=1),1,0)</f>
        <v/>
      </c>
      <c r="X164" s="3">
        <f>IF(OR(I164=1,H164=1),1,0)</f>
        <v/>
      </c>
      <c r="Y164" s="3">
        <f>IF(OR(G164=1),1,0)</f>
        <v/>
      </c>
      <c r="Z164" s="3">
        <f>IF(OR(F164=1),1,0)</f>
        <v/>
      </c>
      <c r="AA164" s="3">
        <f>IF(OR(M164=1),1,0)</f>
        <v/>
      </c>
    </row>
    <row r="165">
      <c r="A165" s="22" t="inlineStr">
        <is>
          <t>505f27d23439b3541cfb6f23a08eef8aef0ee2c0</t>
        </is>
      </c>
      <c r="B165" s="22" t="inlineStr">
        <is>
          <t>2026-06</t>
        </is>
      </c>
      <c r="C165" s="22" t="inlineStr">
        <is>
          <t>YouTube</t>
        </is>
      </c>
      <c r="D165" s="22" t="n">
        <v>0</v>
      </c>
      <c r="E165" s="22" t="inlineStr">
        <is>
          <t>VERYDARKBLACKMAN</t>
        </is>
      </c>
      <c r="F165" s="22" t="inlineStr">
        <is>
          <t>rFMEC0nGzXA</t>
        </is>
      </c>
      <c r="G165" s="22" t="n">
        <v>-0.34</v>
      </c>
      <c r="H165" s="22" t="n">
        <v>0</v>
      </c>
      <c r="I165" s="22" t="n">
        <v>0</v>
      </c>
      <c r="J165" s="22" t="n">
        <v>0</v>
      </c>
      <c r="K165" s="22" t="n">
        <v>0</v>
      </c>
      <c r="L165" s="22" t="n">
        <v>0</v>
      </c>
      <c r="M165" s="22" t="n">
        <v>1</v>
      </c>
      <c r="N165" s="22" t="n">
        <v>0</v>
      </c>
      <c r="O165" s="22" t="n">
        <v>0</v>
      </c>
      <c r="P165" s="22" t="n">
        <v>0</v>
      </c>
      <c r="Q165" s="22" t="n">
        <v>0</v>
      </c>
      <c r="R165" s="22" t="n">
        <v>0</v>
      </c>
      <c r="S165" s="22" t="n">
        <v>0</v>
      </c>
      <c r="T165" s="22" t="n">
        <v>0</v>
      </c>
      <c r="U165" s="3">
        <f>IF(OR(N165=1,Q165=1),1,0)</f>
        <v/>
      </c>
      <c r="V165" s="3">
        <f>IF(OR(T165=1,P165=1),1,0)</f>
        <v/>
      </c>
      <c r="W165" s="3">
        <f>IF(OR(J165=1),1,0)</f>
        <v/>
      </c>
      <c r="X165" s="3">
        <f>IF(OR(I165=1,H165=1),1,0)</f>
        <v/>
      </c>
      <c r="Y165" s="3">
        <f>IF(OR(G165=1),1,0)</f>
        <v/>
      </c>
      <c r="Z165" s="3">
        <f>IF(OR(F165=1),1,0)</f>
        <v/>
      </c>
      <c r="AA165" s="3">
        <f>IF(OR(M165=1),1,0)</f>
        <v/>
      </c>
    </row>
    <row r="166">
      <c r="A166" s="22" t="inlineStr">
        <is>
          <t>ebfad26a5bbbc15e85b65f1da7157992eed85619</t>
        </is>
      </c>
      <c r="B166" s="22" t="inlineStr">
        <is>
          <t>2026-06</t>
        </is>
      </c>
      <c r="C166" s="22" t="inlineStr">
        <is>
          <t>YouTube</t>
        </is>
      </c>
      <c r="D166" s="22" t="n">
        <v>0</v>
      </c>
      <c r="E166" s="22" t="inlineStr">
        <is>
          <t>VERYDARKBLACKMAN</t>
        </is>
      </c>
      <c r="F166" s="22" t="inlineStr">
        <is>
          <t>rFMEC0nGzXA</t>
        </is>
      </c>
      <c r="G166" s="22" t="n">
        <v>0.946</v>
      </c>
      <c r="H166" s="22" t="n">
        <v>1</v>
      </c>
      <c r="I166" s="22" t="n">
        <v>0</v>
      </c>
      <c r="J166" s="22" t="n">
        <v>0</v>
      </c>
      <c r="K166" s="22" t="n">
        <v>0</v>
      </c>
      <c r="L166" s="22" t="n">
        <v>0</v>
      </c>
      <c r="M166" s="22" t="n">
        <v>0</v>
      </c>
      <c r="N166" s="22" t="n">
        <v>0</v>
      </c>
      <c r="O166" s="22" t="n">
        <v>0</v>
      </c>
      <c r="P166" s="22" t="n">
        <v>1</v>
      </c>
      <c r="Q166" s="22" t="n">
        <v>0</v>
      </c>
      <c r="R166" s="22" t="n">
        <v>0</v>
      </c>
      <c r="S166" s="22" t="n">
        <v>0</v>
      </c>
      <c r="T166" s="22" t="n">
        <v>0</v>
      </c>
      <c r="U166" s="3">
        <f>IF(OR(N166=1,Q166=1),1,0)</f>
        <v/>
      </c>
      <c r="V166" s="3">
        <f>IF(OR(T166=1,P166=1),1,0)</f>
        <v/>
      </c>
      <c r="W166" s="3">
        <f>IF(OR(J166=1),1,0)</f>
        <v/>
      </c>
      <c r="X166" s="3">
        <f>IF(OR(I166=1,H166=1),1,0)</f>
        <v/>
      </c>
      <c r="Y166" s="3">
        <f>IF(OR(G166=1),1,0)</f>
        <v/>
      </c>
      <c r="Z166" s="3">
        <f>IF(OR(F166=1),1,0)</f>
        <v/>
      </c>
      <c r="AA166" s="3">
        <f>IF(OR(M166=1),1,0)</f>
        <v/>
      </c>
    </row>
    <row r="167">
      <c r="A167" s="22" t="inlineStr">
        <is>
          <t>53af449105eff854543b84a236ce9808deeea2a7</t>
        </is>
      </c>
      <c r="B167" s="22" t="inlineStr">
        <is>
          <t>2026-06</t>
        </is>
      </c>
      <c r="C167" s="22" t="inlineStr">
        <is>
          <t>YouTube</t>
        </is>
      </c>
      <c r="D167" s="22" t="n">
        <v>0</v>
      </c>
      <c r="E167" s="22" t="inlineStr">
        <is>
          <t>VERYDARKBLACKMAN</t>
        </is>
      </c>
      <c r="F167" s="22" t="inlineStr">
        <is>
          <t>rFMEC0nGzXA</t>
        </is>
      </c>
      <c r="G167" s="22" t="n">
        <v>-0.402</v>
      </c>
      <c r="H167" s="22" t="n">
        <v>0</v>
      </c>
      <c r="I167" s="22" t="n">
        <v>0</v>
      </c>
      <c r="J167" s="22" t="n">
        <v>0</v>
      </c>
      <c r="K167" s="22" t="n">
        <v>0</v>
      </c>
      <c r="L167" s="22" t="n">
        <v>0</v>
      </c>
      <c r="M167" s="22" t="n">
        <v>0</v>
      </c>
      <c r="N167" s="22" t="n">
        <v>0</v>
      </c>
      <c r="O167" s="22" t="n">
        <v>1</v>
      </c>
      <c r="P167" s="22" t="n">
        <v>0</v>
      </c>
      <c r="Q167" s="22" t="n">
        <v>0</v>
      </c>
      <c r="R167" s="22" t="n">
        <v>0</v>
      </c>
      <c r="S167" s="22" t="n">
        <v>0</v>
      </c>
      <c r="T167" s="22" t="n">
        <v>0</v>
      </c>
      <c r="U167" s="3">
        <f>IF(OR(N167=1,Q167=1),1,0)</f>
        <v/>
      </c>
      <c r="V167" s="3">
        <f>IF(OR(T167=1,P167=1),1,0)</f>
        <v/>
      </c>
      <c r="W167" s="3">
        <f>IF(OR(J167=1),1,0)</f>
        <v/>
      </c>
      <c r="X167" s="3">
        <f>IF(OR(I167=1,H167=1),1,0)</f>
        <v/>
      </c>
      <c r="Y167" s="3">
        <f>IF(OR(G167=1),1,0)</f>
        <v/>
      </c>
      <c r="Z167" s="3">
        <f>IF(OR(F167=1),1,0)</f>
        <v/>
      </c>
      <c r="AA167" s="3">
        <f>IF(OR(M167=1),1,0)</f>
        <v/>
      </c>
    </row>
    <row r="168">
      <c r="A168" s="22" t="inlineStr">
        <is>
          <t>3d74524791d9ea8b9f37493b35cc7ad847a420aa</t>
        </is>
      </c>
      <c r="B168" s="22" t="inlineStr">
        <is>
          <t>2026-06</t>
        </is>
      </c>
      <c r="C168" s="22" t="inlineStr">
        <is>
          <t>YouTube</t>
        </is>
      </c>
      <c r="D168" s="22" t="n">
        <v>0</v>
      </c>
      <c r="E168" s="22" t="inlineStr">
        <is>
          <t>VERYDARKBLACKMAN</t>
        </is>
      </c>
      <c r="F168" s="22" t="inlineStr">
        <is>
          <t>rFMEC0nGzXA</t>
        </is>
      </c>
      <c r="G168" s="22" t="n">
        <v>-0.202</v>
      </c>
      <c r="H168" s="22" t="n">
        <v>1</v>
      </c>
      <c r="I168" s="22" t="n">
        <v>0</v>
      </c>
      <c r="J168" s="22" t="n">
        <v>1</v>
      </c>
      <c r="K168" s="22" t="n">
        <v>0</v>
      </c>
      <c r="L168" s="22" t="n">
        <v>0</v>
      </c>
      <c r="M168" s="22" t="n">
        <v>0</v>
      </c>
      <c r="N168" s="22" t="n">
        <v>0</v>
      </c>
      <c r="O168" s="22" t="n">
        <v>0</v>
      </c>
      <c r="P168" s="22" t="n">
        <v>0</v>
      </c>
      <c r="Q168" s="22" t="n">
        <v>0</v>
      </c>
      <c r="R168" s="22" t="n">
        <v>0</v>
      </c>
      <c r="S168" s="22" t="n">
        <v>0</v>
      </c>
      <c r="T168" s="22" t="n">
        <v>0</v>
      </c>
      <c r="U168" s="3">
        <f>IF(OR(N168=1,Q168=1),1,0)</f>
        <v/>
      </c>
      <c r="V168" s="3">
        <f>IF(OR(T168=1,P168=1),1,0)</f>
        <v/>
      </c>
      <c r="W168" s="3">
        <f>IF(OR(J168=1),1,0)</f>
        <v/>
      </c>
      <c r="X168" s="3">
        <f>IF(OR(I168=1,H168=1),1,0)</f>
        <v/>
      </c>
      <c r="Y168" s="3">
        <f>IF(OR(G168=1),1,0)</f>
        <v/>
      </c>
      <c r="Z168" s="3">
        <f>IF(OR(F168=1),1,0)</f>
        <v/>
      </c>
      <c r="AA168" s="3">
        <f>IF(OR(M168=1),1,0)</f>
        <v/>
      </c>
    </row>
    <row r="169">
      <c r="A169" s="22" t="inlineStr">
        <is>
          <t>d0b3054515e6c5e49b9dd6b5a2229376b49eaf76</t>
        </is>
      </c>
      <c r="B169" s="22" t="inlineStr">
        <is>
          <t>2026-06</t>
        </is>
      </c>
      <c r="C169" s="22" t="inlineStr">
        <is>
          <t>YouTube</t>
        </is>
      </c>
      <c r="D169" s="22" t="n">
        <v>0</v>
      </c>
      <c r="E169" s="22" t="inlineStr">
        <is>
          <t>VERYDARKBLACKMAN</t>
        </is>
      </c>
      <c r="F169" s="22" t="inlineStr">
        <is>
          <t>rFMEC0nGzXA</t>
        </is>
      </c>
      <c r="G169" s="22" t="n">
        <v>-0.8179999999999999</v>
      </c>
      <c r="H169" s="22" t="n">
        <v>1</v>
      </c>
      <c r="I169" s="22" t="n">
        <v>0</v>
      </c>
      <c r="J169" s="22" t="n">
        <v>0</v>
      </c>
      <c r="K169" s="22" t="n">
        <v>0</v>
      </c>
      <c r="L169" s="22" t="n">
        <v>0</v>
      </c>
      <c r="M169" s="22" t="n">
        <v>0</v>
      </c>
      <c r="N169" s="22" t="n">
        <v>0</v>
      </c>
      <c r="O169" s="22" t="n">
        <v>0</v>
      </c>
      <c r="P169" s="22" t="n">
        <v>0</v>
      </c>
      <c r="Q169" s="22" t="n">
        <v>0</v>
      </c>
      <c r="R169" s="22" t="n">
        <v>0</v>
      </c>
      <c r="S169" s="22" t="n">
        <v>0</v>
      </c>
      <c r="T169" s="22" t="n">
        <v>0</v>
      </c>
      <c r="U169" s="3">
        <f>IF(OR(N169=1,Q169=1),1,0)</f>
        <v/>
      </c>
      <c r="V169" s="3">
        <f>IF(OR(T169=1,P169=1),1,0)</f>
        <v/>
      </c>
      <c r="W169" s="3">
        <f>IF(OR(J169=1),1,0)</f>
        <v/>
      </c>
      <c r="X169" s="3">
        <f>IF(OR(I169=1,H169=1),1,0)</f>
        <v/>
      </c>
      <c r="Y169" s="3">
        <f>IF(OR(G169=1),1,0)</f>
        <v/>
      </c>
      <c r="Z169" s="3">
        <f>IF(OR(F169=1),1,0)</f>
        <v/>
      </c>
      <c r="AA169" s="3">
        <f>IF(OR(M169=1),1,0)</f>
        <v/>
      </c>
    </row>
    <row r="170">
      <c r="A170" s="22" t="inlineStr">
        <is>
          <t>e0ec5828f95df5eb0faa4c2782951294c0cf9fbb</t>
        </is>
      </c>
      <c r="B170" s="22" t="inlineStr">
        <is>
          <t>2026-06</t>
        </is>
      </c>
      <c r="C170" s="22" t="inlineStr">
        <is>
          <t>YouTube</t>
        </is>
      </c>
      <c r="D170" s="22" t="n">
        <v>0</v>
      </c>
      <c r="E170" s="22" t="inlineStr">
        <is>
          <t>VERYDARKBLACKMAN</t>
        </is>
      </c>
      <c r="F170" s="22" t="inlineStr">
        <is>
          <t>rFMEC0nGzXA</t>
        </is>
      </c>
      <c r="G170" s="22" t="n">
        <v>0</v>
      </c>
      <c r="H170" s="22" t="n">
        <v>0</v>
      </c>
      <c r="I170" s="22" t="n">
        <v>0</v>
      </c>
      <c r="J170" s="22" t="n">
        <v>0</v>
      </c>
      <c r="K170" s="22" t="n">
        <v>0</v>
      </c>
      <c r="L170" s="22" t="n">
        <v>0</v>
      </c>
      <c r="M170" s="22" t="n">
        <v>0</v>
      </c>
      <c r="N170" s="22" t="n">
        <v>0</v>
      </c>
      <c r="O170" s="22" t="n">
        <v>0</v>
      </c>
      <c r="P170" s="22" t="n">
        <v>1</v>
      </c>
      <c r="Q170" s="22" t="n">
        <v>0</v>
      </c>
      <c r="R170" s="22" t="n">
        <v>0</v>
      </c>
      <c r="S170" s="22" t="n">
        <v>0</v>
      </c>
      <c r="T170" s="22" t="n">
        <v>0</v>
      </c>
      <c r="U170" s="3">
        <f>IF(OR(N170=1,Q170=1),1,0)</f>
        <v/>
      </c>
      <c r="V170" s="3">
        <f>IF(OR(T170=1,P170=1),1,0)</f>
        <v/>
      </c>
      <c r="W170" s="3">
        <f>IF(OR(J170=1),1,0)</f>
        <v/>
      </c>
      <c r="X170" s="3">
        <f>IF(OR(I170=1,H170=1),1,0)</f>
        <v/>
      </c>
      <c r="Y170" s="3">
        <f>IF(OR(G170=1),1,0)</f>
        <v/>
      </c>
      <c r="Z170" s="3">
        <f>IF(OR(F170=1),1,0)</f>
        <v/>
      </c>
      <c r="AA170" s="3">
        <f>IF(OR(M170=1),1,0)</f>
        <v/>
      </c>
    </row>
    <row r="171">
      <c r="A171" s="22" t="inlineStr">
        <is>
          <t>5d847cf79afb2b207684983e1f11d964ea5dcde3</t>
        </is>
      </c>
      <c r="B171" s="22" t="inlineStr">
        <is>
          <t>2026-06</t>
        </is>
      </c>
      <c r="C171" s="22" t="inlineStr">
        <is>
          <t>YouTube</t>
        </is>
      </c>
      <c r="D171" s="22" t="n">
        <v>0</v>
      </c>
      <c r="E171" s="22" t="inlineStr">
        <is>
          <t>VERYDARKBLACKMAN</t>
        </is>
      </c>
      <c r="F171" s="22" t="inlineStr">
        <is>
          <t>rFMEC0nGzXA</t>
        </is>
      </c>
      <c r="G171" s="22" t="n">
        <v>-0.318</v>
      </c>
      <c r="H171" s="22" t="n">
        <v>0</v>
      </c>
      <c r="I171" s="22" t="n">
        <v>0</v>
      </c>
      <c r="J171" s="22" t="n">
        <v>0</v>
      </c>
      <c r="K171" s="22" t="n">
        <v>0</v>
      </c>
      <c r="L171" s="22" t="n">
        <v>0</v>
      </c>
      <c r="M171" s="22" t="n">
        <v>1</v>
      </c>
      <c r="N171" s="22" t="n">
        <v>0</v>
      </c>
      <c r="O171" s="22" t="n">
        <v>0</v>
      </c>
      <c r="P171" s="22" t="n">
        <v>0</v>
      </c>
      <c r="Q171" s="22" t="n">
        <v>0</v>
      </c>
      <c r="R171" s="22" t="n">
        <v>0</v>
      </c>
      <c r="S171" s="22" t="n">
        <v>0</v>
      </c>
      <c r="T171" s="22" t="n">
        <v>0</v>
      </c>
      <c r="U171" s="3">
        <f>IF(OR(N171=1,Q171=1),1,0)</f>
        <v/>
      </c>
      <c r="V171" s="3">
        <f>IF(OR(T171=1,P171=1),1,0)</f>
        <v/>
      </c>
      <c r="W171" s="3">
        <f>IF(OR(J171=1),1,0)</f>
        <v/>
      </c>
      <c r="X171" s="3">
        <f>IF(OR(I171=1,H171=1),1,0)</f>
        <v/>
      </c>
      <c r="Y171" s="3">
        <f>IF(OR(G171=1),1,0)</f>
        <v/>
      </c>
      <c r="Z171" s="3">
        <f>IF(OR(F171=1),1,0)</f>
        <v/>
      </c>
      <c r="AA171" s="3">
        <f>IF(OR(M171=1),1,0)</f>
        <v/>
      </c>
    </row>
    <row r="172">
      <c r="A172" s="22" t="inlineStr">
        <is>
          <t>ee287f4ca94e8de9e04f88f4df2a3fa30d89eaca</t>
        </is>
      </c>
      <c r="B172" s="22" t="inlineStr">
        <is>
          <t>2026-06</t>
        </is>
      </c>
      <c r="C172" s="22" t="inlineStr">
        <is>
          <t>YouTube</t>
        </is>
      </c>
      <c r="D172" s="22" t="n">
        <v>0</v>
      </c>
      <c r="E172" s="22" t="inlineStr">
        <is>
          <t>VERYDARKBLACKMAN</t>
        </is>
      </c>
      <c r="F172" s="22" t="inlineStr">
        <is>
          <t>rFMEC0nGzXA</t>
        </is>
      </c>
      <c r="G172" s="22" t="n">
        <v>0.462</v>
      </c>
      <c r="H172" s="22" t="n">
        <v>0</v>
      </c>
      <c r="I172" s="22" t="n">
        <v>0</v>
      </c>
      <c r="J172" s="22" t="n">
        <v>0</v>
      </c>
      <c r="K172" s="22" t="n">
        <v>0</v>
      </c>
      <c r="L172" s="22" t="n">
        <v>0</v>
      </c>
      <c r="M172" s="22" t="n">
        <v>0</v>
      </c>
      <c r="N172" s="22" t="n">
        <v>0</v>
      </c>
      <c r="O172" s="22" t="n">
        <v>0</v>
      </c>
      <c r="P172" s="22" t="n">
        <v>1</v>
      </c>
      <c r="Q172" s="22" t="n">
        <v>0</v>
      </c>
      <c r="R172" s="22" t="n">
        <v>0</v>
      </c>
      <c r="S172" s="22" t="n">
        <v>0</v>
      </c>
      <c r="T172" s="22" t="n">
        <v>0</v>
      </c>
      <c r="U172" s="3">
        <f>IF(OR(N172=1,Q172=1),1,0)</f>
        <v/>
      </c>
      <c r="V172" s="3">
        <f>IF(OR(T172=1,P172=1),1,0)</f>
        <v/>
      </c>
      <c r="W172" s="3">
        <f>IF(OR(J172=1),1,0)</f>
        <v/>
      </c>
      <c r="X172" s="3">
        <f>IF(OR(I172=1,H172=1),1,0)</f>
        <v/>
      </c>
      <c r="Y172" s="3">
        <f>IF(OR(G172=1),1,0)</f>
        <v/>
      </c>
      <c r="Z172" s="3">
        <f>IF(OR(F172=1),1,0)</f>
        <v/>
      </c>
      <c r="AA172" s="3">
        <f>IF(OR(M172=1),1,0)</f>
        <v/>
      </c>
    </row>
    <row r="173">
      <c r="A173" s="22" t="inlineStr">
        <is>
          <t>b5ab5423b61058481599d69b996b8e9852053356</t>
        </is>
      </c>
      <c r="B173" s="22" t="inlineStr">
        <is>
          <t>2026-06</t>
        </is>
      </c>
      <c r="C173" s="22" t="inlineStr">
        <is>
          <t>YouTube</t>
        </is>
      </c>
      <c r="D173" s="22" t="n">
        <v>0</v>
      </c>
      <c r="E173" s="22" t="inlineStr">
        <is>
          <t>VERYDARKBLACKMAN</t>
        </is>
      </c>
      <c r="F173" s="22" t="inlineStr">
        <is>
          <t>rFMEC0nGzXA</t>
        </is>
      </c>
      <c r="G173" s="22" t="n">
        <v>-0.8129999999999999</v>
      </c>
      <c r="H173" s="22" t="n">
        <v>1</v>
      </c>
      <c r="I173" s="22" t="n">
        <v>0</v>
      </c>
      <c r="J173" s="22" t="n">
        <v>0</v>
      </c>
      <c r="K173" s="22" t="n">
        <v>0</v>
      </c>
      <c r="L173" s="22" t="n">
        <v>0</v>
      </c>
      <c r="M173" s="22" t="n">
        <v>1</v>
      </c>
      <c r="N173" s="22" t="n">
        <v>0</v>
      </c>
      <c r="O173" s="22" t="n">
        <v>0</v>
      </c>
      <c r="P173" s="22" t="n">
        <v>0</v>
      </c>
      <c r="Q173" s="22" t="n">
        <v>0</v>
      </c>
      <c r="R173" s="22" t="n">
        <v>0</v>
      </c>
      <c r="S173" s="22" t="n">
        <v>0</v>
      </c>
      <c r="T173" s="22" t="n">
        <v>0</v>
      </c>
      <c r="U173" s="3">
        <f>IF(OR(N173=1,Q173=1),1,0)</f>
        <v/>
      </c>
      <c r="V173" s="3">
        <f>IF(OR(T173=1,P173=1),1,0)</f>
        <v/>
      </c>
      <c r="W173" s="3">
        <f>IF(OR(J173=1),1,0)</f>
        <v/>
      </c>
      <c r="X173" s="3">
        <f>IF(OR(I173=1,H173=1),1,0)</f>
        <v/>
      </c>
      <c r="Y173" s="3">
        <f>IF(OR(G173=1),1,0)</f>
        <v/>
      </c>
      <c r="Z173" s="3">
        <f>IF(OR(F173=1),1,0)</f>
        <v/>
      </c>
      <c r="AA173" s="3">
        <f>IF(OR(M173=1),1,0)</f>
        <v/>
      </c>
    </row>
    <row r="174">
      <c r="A174" s="22" t="inlineStr">
        <is>
          <t>5f50f83160a326262b530f99ac491abdcc319ee8</t>
        </is>
      </c>
      <c r="B174" s="22" t="inlineStr">
        <is>
          <t>2026-06</t>
        </is>
      </c>
      <c r="C174" s="22" t="inlineStr">
        <is>
          <t>YouTube</t>
        </is>
      </c>
      <c r="D174" s="22" t="n">
        <v>0</v>
      </c>
      <c r="E174" s="22" t="inlineStr">
        <is>
          <t>VERYDARKBLACKMAN</t>
        </is>
      </c>
      <c r="F174" s="22" t="inlineStr">
        <is>
          <t>rFMEC0nGzXA</t>
        </is>
      </c>
      <c r="G174" s="22" t="n">
        <v>-0.599</v>
      </c>
      <c r="H174" s="22" t="n">
        <v>0</v>
      </c>
      <c r="I174" s="22" t="n">
        <v>0</v>
      </c>
      <c r="J174" s="22" t="n">
        <v>0</v>
      </c>
      <c r="K174" s="22" t="n">
        <v>0</v>
      </c>
      <c r="L174" s="22" t="n">
        <v>0</v>
      </c>
      <c r="M174" s="22" t="n">
        <v>0</v>
      </c>
      <c r="N174" s="22" t="n">
        <v>0</v>
      </c>
      <c r="O174" s="22" t="n">
        <v>0</v>
      </c>
      <c r="P174" s="22" t="n">
        <v>1</v>
      </c>
      <c r="Q174" s="22" t="n">
        <v>0</v>
      </c>
      <c r="R174" s="22" t="n">
        <v>0</v>
      </c>
      <c r="S174" s="22" t="n">
        <v>0</v>
      </c>
      <c r="T174" s="22" t="n">
        <v>0</v>
      </c>
      <c r="U174" s="3">
        <f>IF(OR(N174=1,Q174=1),1,0)</f>
        <v/>
      </c>
      <c r="V174" s="3">
        <f>IF(OR(T174=1,P174=1),1,0)</f>
        <v/>
      </c>
      <c r="W174" s="3">
        <f>IF(OR(J174=1),1,0)</f>
        <v/>
      </c>
      <c r="X174" s="3">
        <f>IF(OR(I174=1,H174=1),1,0)</f>
        <v/>
      </c>
      <c r="Y174" s="3">
        <f>IF(OR(G174=1),1,0)</f>
        <v/>
      </c>
      <c r="Z174" s="3">
        <f>IF(OR(F174=1),1,0)</f>
        <v/>
      </c>
      <c r="AA174" s="3">
        <f>IF(OR(M174=1),1,0)</f>
        <v/>
      </c>
    </row>
    <row r="175">
      <c r="A175" s="22" t="inlineStr">
        <is>
          <t>aa24093a3844440112fc51b9dd55c6b85483c10f</t>
        </is>
      </c>
      <c r="B175" s="22" t="inlineStr">
        <is>
          <t>2026-06</t>
        </is>
      </c>
      <c r="C175" s="22" t="inlineStr">
        <is>
          <t>YouTube</t>
        </is>
      </c>
      <c r="D175" s="22" t="n">
        <v>0</v>
      </c>
      <c r="E175" s="22" t="inlineStr">
        <is>
          <t>VERYDARKBLACKMAN</t>
        </is>
      </c>
      <c r="F175" s="22" t="inlineStr">
        <is>
          <t>rFMEC0nGzXA</t>
        </is>
      </c>
      <c r="G175" s="22" t="n">
        <v>-0.447</v>
      </c>
      <c r="H175" s="22" t="n">
        <v>0</v>
      </c>
      <c r="I175" s="22" t="n">
        <v>0</v>
      </c>
      <c r="J175" s="22" t="n">
        <v>0</v>
      </c>
      <c r="K175" s="22" t="n">
        <v>0</v>
      </c>
      <c r="L175" s="22" t="n">
        <v>0</v>
      </c>
      <c r="M175" s="22" t="n">
        <v>1</v>
      </c>
      <c r="N175" s="22" t="n">
        <v>0</v>
      </c>
      <c r="O175" s="22" t="n">
        <v>1</v>
      </c>
      <c r="P175" s="22" t="n">
        <v>0</v>
      </c>
      <c r="Q175" s="22" t="n">
        <v>0</v>
      </c>
      <c r="R175" s="22" t="n">
        <v>0</v>
      </c>
      <c r="S175" s="22" t="n">
        <v>0</v>
      </c>
      <c r="T175" s="22" t="n">
        <v>0</v>
      </c>
      <c r="U175" s="3">
        <f>IF(OR(N175=1,Q175=1),1,0)</f>
        <v/>
      </c>
      <c r="V175" s="3">
        <f>IF(OR(T175=1,P175=1),1,0)</f>
        <v/>
      </c>
      <c r="W175" s="3">
        <f>IF(OR(J175=1),1,0)</f>
        <v/>
      </c>
      <c r="X175" s="3">
        <f>IF(OR(I175=1,H175=1),1,0)</f>
        <v/>
      </c>
      <c r="Y175" s="3">
        <f>IF(OR(G175=1),1,0)</f>
        <v/>
      </c>
      <c r="Z175" s="3">
        <f>IF(OR(F175=1),1,0)</f>
        <v/>
      </c>
      <c r="AA175" s="3">
        <f>IF(OR(M175=1),1,0)</f>
        <v/>
      </c>
    </row>
    <row r="176">
      <c r="A176" s="22" t="inlineStr">
        <is>
          <t>818ce77b0743e6861f3cfc8436f262e8a972e636</t>
        </is>
      </c>
      <c r="B176" s="22" t="inlineStr">
        <is>
          <t>2026-06</t>
        </is>
      </c>
      <c r="C176" s="22" t="inlineStr">
        <is>
          <t>YouTube</t>
        </is>
      </c>
      <c r="D176" s="22" t="n">
        <v>0</v>
      </c>
      <c r="E176" s="22" t="inlineStr">
        <is>
          <t>VERYDARKBLACKMAN</t>
        </is>
      </c>
      <c r="F176" s="22" t="inlineStr">
        <is>
          <t>rFMEC0nGzXA</t>
        </is>
      </c>
      <c r="G176" s="22" t="n">
        <v>0</v>
      </c>
      <c r="H176" s="22" t="n">
        <v>0</v>
      </c>
      <c r="I176" s="22" t="n">
        <v>0</v>
      </c>
      <c r="J176" s="22" t="n">
        <v>0</v>
      </c>
      <c r="K176" s="22" t="n">
        <v>0</v>
      </c>
      <c r="L176" s="22" t="n">
        <v>0</v>
      </c>
      <c r="M176" s="22" t="n">
        <v>0</v>
      </c>
      <c r="N176" s="22" t="n">
        <v>0</v>
      </c>
      <c r="O176" s="22" t="n">
        <v>0</v>
      </c>
      <c r="P176" s="22" t="n">
        <v>1</v>
      </c>
      <c r="Q176" s="22" t="n">
        <v>0</v>
      </c>
      <c r="R176" s="22" t="n">
        <v>0</v>
      </c>
      <c r="S176" s="22" t="n">
        <v>0</v>
      </c>
      <c r="T176" s="22" t="n">
        <v>0</v>
      </c>
      <c r="U176" s="3">
        <f>IF(OR(N176=1,Q176=1),1,0)</f>
        <v/>
      </c>
      <c r="V176" s="3">
        <f>IF(OR(T176=1,P176=1),1,0)</f>
        <v/>
      </c>
      <c r="W176" s="3">
        <f>IF(OR(J176=1),1,0)</f>
        <v/>
      </c>
      <c r="X176" s="3">
        <f>IF(OR(I176=1,H176=1),1,0)</f>
        <v/>
      </c>
      <c r="Y176" s="3">
        <f>IF(OR(G176=1),1,0)</f>
        <v/>
      </c>
      <c r="Z176" s="3">
        <f>IF(OR(F176=1),1,0)</f>
        <v/>
      </c>
      <c r="AA176" s="3">
        <f>IF(OR(M176=1),1,0)</f>
        <v/>
      </c>
    </row>
    <row r="177">
      <c r="A177" s="22" t="inlineStr">
        <is>
          <t>99b31fce4313124a14833c5f941c9b6ae9a40b58</t>
        </is>
      </c>
      <c r="B177" s="22" t="inlineStr">
        <is>
          <t>2026-06</t>
        </is>
      </c>
      <c r="C177" s="22" t="inlineStr">
        <is>
          <t>YouTube</t>
        </is>
      </c>
      <c r="D177" s="22" t="n">
        <v>0</v>
      </c>
      <c r="E177" s="22" t="inlineStr">
        <is>
          <t>VERYDARKBLACKMAN</t>
        </is>
      </c>
      <c r="F177" s="22" t="inlineStr">
        <is>
          <t>rFMEC0nGzXA</t>
        </is>
      </c>
      <c r="G177" s="22" t="n">
        <v>0.103</v>
      </c>
      <c r="H177" s="22" t="n">
        <v>0</v>
      </c>
      <c r="I177" s="22" t="n">
        <v>0</v>
      </c>
      <c r="J177" s="22" t="n">
        <v>0</v>
      </c>
      <c r="K177" s="22" t="n">
        <v>0</v>
      </c>
      <c r="L177" s="22" t="n">
        <v>0</v>
      </c>
      <c r="M177" s="22" t="n">
        <v>0</v>
      </c>
      <c r="N177" s="22" t="n">
        <v>0</v>
      </c>
      <c r="O177" s="22" t="n">
        <v>1</v>
      </c>
      <c r="P177" s="22" t="n">
        <v>0</v>
      </c>
      <c r="Q177" s="22" t="n">
        <v>0</v>
      </c>
      <c r="R177" s="22" t="n">
        <v>0</v>
      </c>
      <c r="S177" s="22" t="n">
        <v>0</v>
      </c>
      <c r="T177" s="22" t="n">
        <v>0</v>
      </c>
      <c r="U177" s="3">
        <f>IF(OR(N177=1,Q177=1),1,0)</f>
        <v/>
      </c>
      <c r="V177" s="3">
        <f>IF(OR(T177=1,P177=1),1,0)</f>
        <v/>
      </c>
      <c r="W177" s="3">
        <f>IF(OR(J177=1),1,0)</f>
        <v/>
      </c>
      <c r="X177" s="3">
        <f>IF(OR(I177=1,H177=1),1,0)</f>
        <v/>
      </c>
      <c r="Y177" s="3">
        <f>IF(OR(G177=1),1,0)</f>
        <v/>
      </c>
      <c r="Z177" s="3">
        <f>IF(OR(F177=1),1,0)</f>
        <v/>
      </c>
      <c r="AA177" s="3">
        <f>IF(OR(M177=1),1,0)</f>
        <v/>
      </c>
    </row>
    <row r="178">
      <c r="A178" s="22" t="inlineStr">
        <is>
          <t>e343fc2f482448a1c09a0eb541ab585e64c0ca65</t>
        </is>
      </c>
      <c r="B178" s="22" t="inlineStr">
        <is>
          <t>2026-06</t>
        </is>
      </c>
      <c r="C178" s="22" t="inlineStr">
        <is>
          <t>YouTube</t>
        </is>
      </c>
      <c r="D178" s="22" t="n">
        <v>0</v>
      </c>
      <c r="E178" s="22" t="inlineStr">
        <is>
          <t>VERYDARKBLACKMAN</t>
        </is>
      </c>
      <c r="F178" s="22" t="inlineStr">
        <is>
          <t>rFMEC0nGzXA</t>
        </is>
      </c>
      <c r="G178" s="22" t="n">
        <v>-0.382</v>
      </c>
      <c r="H178" s="22" t="n">
        <v>0</v>
      </c>
      <c r="I178" s="22" t="n">
        <v>0</v>
      </c>
      <c r="J178" s="22" t="n">
        <v>0</v>
      </c>
      <c r="K178" s="22" t="n">
        <v>0</v>
      </c>
      <c r="L178" s="22" t="n">
        <v>0</v>
      </c>
      <c r="M178" s="22" t="n">
        <v>1</v>
      </c>
      <c r="N178" s="22" t="n">
        <v>0</v>
      </c>
      <c r="O178" s="22" t="n">
        <v>0</v>
      </c>
      <c r="P178" s="22" t="n">
        <v>0</v>
      </c>
      <c r="Q178" s="22" t="n">
        <v>0</v>
      </c>
      <c r="R178" s="22" t="n">
        <v>0</v>
      </c>
      <c r="S178" s="22" t="n">
        <v>0</v>
      </c>
      <c r="T178" s="22" t="n">
        <v>0</v>
      </c>
      <c r="U178" s="3">
        <f>IF(OR(N178=1,Q178=1),1,0)</f>
        <v/>
      </c>
      <c r="V178" s="3">
        <f>IF(OR(T178=1,P178=1),1,0)</f>
        <v/>
      </c>
      <c r="W178" s="3">
        <f>IF(OR(J178=1),1,0)</f>
        <v/>
      </c>
      <c r="X178" s="3">
        <f>IF(OR(I178=1,H178=1),1,0)</f>
        <v/>
      </c>
      <c r="Y178" s="3">
        <f>IF(OR(G178=1),1,0)</f>
        <v/>
      </c>
      <c r="Z178" s="3">
        <f>IF(OR(F178=1),1,0)</f>
        <v/>
      </c>
      <c r="AA178" s="3">
        <f>IF(OR(M178=1),1,0)</f>
        <v/>
      </c>
    </row>
    <row r="179">
      <c r="A179" s="22" t="inlineStr">
        <is>
          <t>b62b57a7d6ce154bb4f15fe5698a1906b9f0433e</t>
        </is>
      </c>
      <c r="B179" s="22" t="inlineStr">
        <is>
          <t>2026-08</t>
        </is>
      </c>
      <c r="C179" s="22" t="inlineStr">
        <is>
          <t>YouTube</t>
        </is>
      </c>
      <c r="D179" s="22" t="n">
        <v>0</v>
      </c>
      <c r="E179" s="22" t="inlineStr">
        <is>
          <t>SaharaTV</t>
        </is>
      </c>
      <c r="F179" s="22" t="inlineStr">
        <is>
          <t>312wEIK4KHI</t>
        </is>
      </c>
      <c r="G179" s="22" t="n">
        <v>-0.722</v>
      </c>
      <c r="H179" s="22" t="n">
        <v>0</v>
      </c>
      <c r="I179" s="22" t="n">
        <v>0</v>
      </c>
      <c r="J179" s="22" t="n">
        <v>0</v>
      </c>
      <c r="K179" s="22" t="n">
        <v>1</v>
      </c>
      <c r="L179" s="22" t="n">
        <v>0</v>
      </c>
      <c r="M179" s="22" t="n">
        <v>0</v>
      </c>
      <c r="N179" s="22" t="n">
        <v>0</v>
      </c>
      <c r="O179" s="22" t="n">
        <v>0</v>
      </c>
      <c r="P179" s="22" t="n">
        <v>0</v>
      </c>
      <c r="Q179" s="22" t="n">
        <v>0</v>
      </c>
      <c r="R179" s="22" t="n">
        <v>0</v>
      </c>
      <c r="S179" s="22" t="n">
        <v>0</v>
      </c>
      <c r="T179" s="22" t="n">
        <v>0</v>
      </c>
      <c r="U179" s="3">
        <f>IF(OR(N179=1,Q179=1),1,0)</f>
        <v/>
      </c>
      <c r="V179" s="3">
        <f>IF(OR(T179=1,P179=1),1,0)</f>
        <v/>
      </c>
      <c r="W179" s="3">
        <f>IF(OR(J179=1),1,0)</f>
        <v/>
      </c>
      <c r="X179" s="3">
        <f>IF(OR(I179=1,H179=1),1,0)</f>
        <v/>
      </c>
      <c r="Y179" s="3">
        <f>IF(OR(G179=1),1,0)</f>
        <v/>
      </c>
      <c r="Z179" s="3">
        <f>IF(OR(F179=1),1,0)</f>
        <v/>
      </c>
      <c r="AA179" s="3">
        <f>IF(OR(M179=1),1,0)</f>
        <v/>
      </c>
    </row>
    <row r="180">
      <c r="A180" s="22" t="inlineStr">
        <is>
          <t>b263a89bbd4443476fb9178b01e89f0318b7fac2</t>
        </is>
      </c>
      <c r="B180" s="22" t="inlineStr">
        <is>
          <t>2026-08</t>
        </is>
      </c>
      <c r="C180" s="22" t="inlineStr">
        <is>
          <t>YouTube</t>
        </is>
      </c>
      <c r="D180" s="22" t="n">
        <v>0</v>
      </c>
      <c r="E180" s="22" t="inlineStr">
        <is>
          <t>SaharaTV</t>
        </is>
      </c>
      <c r="F180" s="22" t="inlineStr">
        <is>
          <t>312wEIK4KHI</t>
        </is>
      </c>
      <c r="G180" s="22" t="n">
        <v>0.875</v>
      </c>
      <c r="H180" s="22" t="n">
        <v>1</v>
      </c>
      <c r="I180" s="22" t="n">
        <v>0</v>
      </c>
      <c r="J180" s="22" t="n">
        <v>0</v>
      </c>
      <c r="K180" s="22" t="n">
        <v>0</v>
      </c>
      <c r="L180" s="22" t="n">
        <v>0</v>
      </c>
      <c r="M180" s="22" t="n">
        <v>0</v>
      </c>
      <c r="N180" s="22" t="n">
        <v>0</v>
      </c>
      <c r="O180" s="22" t="n">
        <v>0</v>
      </c>
      <c r="P180" s="22" t="n">
        <v>0</v>
      </c>
      <c r="Q180" s="22" t="n">
        <v>0</v>
      </c>
      <c r="R180" s="22" t="n">
        <v>0</v>
      </c>
      <c r="S180" s="22" t="n">
        <v>0</v>
      </c>
      <c r="T180" s="22" t="n">
        <v>0</v>
      </c>
      <c r="U180" s="3">
        <f>IF(OR(N180=1,Q180=1),1,0)</f>
        <v/>
      </c>
      <c r="V180" s="3">
        <f>IF(OR(T180=1,P180=1),1,0)</f>
        <v/>
      </c>
      <c r="W180" s="3">
        <f>IF(OR(J180=1),1,0)</f>
        <v/>
      </c>
      <c r="X180" s="3">
        <f>IF(OR(I180=1,H180=1),1,0)</f>
        <v/>
      </c>
      <c r="Y180" s="3">
        <f>IF(OR(G180=1),1,0)</f>
        <v/>
      </c>
      <c r="Z180" s="3">
        <f>IF(OR(F180=1),1,0)</f>
        <v/>
      </c>
      <c r="AA180" s="3">
        <f>IF(OR(M180=1),1,0)</f>
        <v/>
      </c>
    </row>
    <row r="181">
      <c r="A181" s="22" t="inlineStr">
        <is>
          <t>83970c767228f8fa98dc842485a4ba6feb045491</t>
        </is>
      </c>
      <c r="B181" s="22" t="inlineStr">
        <is>
          <t>2026-08</t>
        </is>
      </c>
      <c r="C181" s="22" t="inlineStr">
        <is>
          <t>YouTube</t>
        </is>
      </c>
      <c r="D181" s="22" t="n">
        <v>0</v>
      </c>
      <c r="E181" s="22" t="inlineStr">
        <is>
          <t>SaharaTV</t>
        </is>
      </c>
      <c r="F181" s="22" t="inlineStr">
        <is>
          <t>312wEIK4KHI</t>
        </is>
      </c>
      <c r="G181" s="22" t="n">
        <v>0</v>
      </c>
      <c r="H181" s="22" t="n">
        <v>1</v>
      </c>
      <c r="I181" s="22" t="n">
        <v>0</v>
      </c>
      <c r="J181" s="22" t="n">
        <v>0</v>
      </c>
      <c r="K181" s="22" t="n">
        <v>0</v>
      </c>
      <c r="L181" s="22" t="n">
        <v>0</v>
      </c>
      <c r="M181" s="22" t="n">
        <v>0</v>
      </c>
      <c r="N181" s="22" t="n">
        <v>0</v>
      </c>
      <c r="O181" s="22" t="n">
        <v>0</v>
      </c>
      <c r="P181" s="22" t="n">
        <v>0</v>
      </c>
      <c r="Q181" s="22" t="n">
        <v>0</v>
      </c>
      <c r="R181" s="22" t="n">
        <v>0</v>
      </c>
      <c r="S181" s="22" t="n">
        <v>0</v>
      </c>
      <c r="T181" s="22" t="n">
        <v>0</v>
      </c>
      <c r="U181" s="3">
        <f>IF(OR(N181=1,Q181=1),1,0)</f>
        <v/>
      </c>
      <c r="V181" s="3">
        <f>IF(OR(T181=1,P181=1),1,0)</f>
        <v/>
      </c>
      <c r="W181" s="3">
        <f>IF(OR(J181=1),1,0)</f>
        <v/>
      </c>
      <c r="X181" s="3">
        <f>IF(OR(I181=1,H181=1),1,0)</f>
        <v/>
      </c>
      <c r="Y181" s="3">
        <f>IF(OR(G181=1),1,0)</f>
        <v/>
      </c>
      <c r="Z181" s="3">
        <f>IF(OR(F181=1),1,0)</f>
        <v/>
      </c>
      <c r="AA181" s="3">
        <f>IF(OR(M181=1),1,0)</f>
        <v/>
      </c>
    </row>
    <row r="182">
      <c r="A182" s="22" t="inlineStr">
        <is>
          <t>4a357cf787370fcbe9b3718ee5a3d02da5768f7d</t>
        </is>
      </c>
      <c r="B182" s="22" t="inlineStr">
        <is>
          <t>2026-08</t>
        </is>
      </c>
      <c r="C182" s="22" t="inlineStr">
        <is>
          <t>YouTube</t>
        </is>
      </c>
      <c r="D182" s="22" t="n">
        <v>0</v>
      </c>
      <c r="E182" s="22" t="inlineStr">
        <is>
          <t>SaharaTV</t>
        </is>
      </c>
      <c r="F182" s="22" t="inlineStr">
        <is>
          <t>312wEIK4KHI</t>
        </is>
      </c>
      <c r="G182" s="22" t="n">
        <v>0.325</v>
      </c>
      <c r="H182" s="22" t="n">
        <v>0</v>
      </c>
      <c r="I182" s="22" t="n">
        <v>0</v>
      </c>
      <c r="J182" s="22" t="n">
        <v>0</v>
      </c>
      <c r="K182" s="22" t="n">
        <v>0</v>
      </c>
      <c r="L182" s="22" t="n">
        <v>0</v>
      </c>
      <c r="M182" s="22" t="n">
        <v>0</v>
      </c>
      <c r="N182" s="22" t="n">
        <v>0</v>
      </c>
      <c r="O182" s="22" t="n">
        <v>1</v>
      </c>
      <c r="P182" s="22" t="n">
        <v>0</v>
      </c>
      <c r="Q182" s="22" t="n">
        <v>0</v>
      </c>
      <c r="R182" s="22" t="n">
        <v>0</v>
      </c>
      <c r="S182" s="22" t="n">
        <v>0</v>
      </c>
      <c r="T182" s="22" t="n">
        <v>0</v>
      </c>
      <c r="U182" s="3">
        <f>IF(OR(N182=1,Q182=1),1,0)</f>
        <v/>
      </c>
      <c r="V182" s="3">
        <f>IF(OR(T182=1,P182=1),1,0)</f>
        <v/>
      </c>
      <c r="W182" s="3">
        <f>IF(OR(J182=1),1,0)</f>
        <v/>
      </c>
      <c r="X182" s="3">
        <f>IF(OR(I182=1,H182=1),1,0)</f>
        <v/>
      </c>
      <c r="Y182" s="3">
        <f>IF(OR(G182=1),1,0)</f>
        <v/>
      </c>
      <c r="Z182" s="3">
        <f>IF(OR(F182=1),1,0)</f>
        <v/>
      </c>
      <c r="AA182" s="3">
        <f>IF(OR(M182=1),1,0)</f>
        <v/>
      </c>
    </row>
    <row r="183">
      <c r="A183" s="22" t="inlineStr">
        <is>
          <t>6fbdf982aabf413ca62f70fc783a0943dd510053</t>
        </is>
      </c>
      <c r="B183" s="22" t="inlineStr">
        <is>
          <t>2026-08</t>
        </is>
      </c>
      <c r="C183" s="22" t="inlineStr">
        <is>
          <t>YouTube</t>
        </is>
      </c>
      <c r="D183" s="22" t="n">
        <v>0</v>
      </c>
      <c r="E183" s="22" t="inlineStr">
        <is>
          <t>SaharaTV</t>
        </is>
      </c>
      <c r="F183" s="22" t="inlineStr">
        <is>
          <t>312wEIK4KHI</t>
        </is>
      </c>
      <c r="G183" s="22" t="n">
        <v>-0.153</v>
      </c>
      <c r="H183" s="22" t="n">
        <v>0</v>
      </c>
      <c r="I183" s="22" t="n">
        <v>0</v>
      </c>
      <c r="J183" s="22" t="n">
        <v>0</v>
      </c>
      <c r="K183" s="22" t="n">
        <v>0</v>
      </c>
      <c r="L183" s="22" t="n">
        <v>0</v>
      </c>
      <c r="M183" s="22" t="n">
        <v>0</v>
      </c>
      <c r="N183" s="22" t="n">
        <v>0</v>
      </c>
      <c r="O183" s="22" t="n">
        <v>1</v>
      </c>
      <c r="P183" s="22" t="n">
        <v>0</v>
      </c>
      <c r="Q183" s="22" t="n">
        <v>0</v>
      </c>
      <c r="R183" s="22" t="n">
        <v>0</v>
      </c>
      <c r="S183" s="22" t="n">
        <v>0</v>
      </c>
      <c r="T183" s="22" t="n">
        <v>0</v>
      </c>
      <c r="U183" s="3">
        <f>IF(OR(N183=1,Q183=1),1,0)</f>
        <v/>
      </c>
      <c r="V183" s="3">
        <f>IF(OR(T183=1,P183=1),1,0)</f>
        <v/>
      </c>
      <c r="W183" s="3">
        <f>IF(OR(J183=1),1,0)</f>
        <v/>
      </c>
      <c r="X183" s="3">
        <f>IF(OR(I183=1,H183=1),1,0)</f>
        <v/>
      </c>
      <c r="Y183" s="3">
        <f>IF(OR(G183=1),1,0)</f>
        <v/>
      </c>
      <c r="Z183" s="3">
        <f>IF(OR(F183=1),1,0)</f>
        <v/>
      </c>
      <c r="AA183" s="3">
        <f>IF(OR(M183=1),1,0)</f>
        <v/>
      </c>
    </row>
    <row r="184">
      <c r="A184" s="22" t="inlineStr">
        <is>
          <t>e92ec005ba33664804b225f35671b3578347cc09</t>
        </is>
      </c>
      <c r="B184" s="22" t="inlineStr">
        <is>
          <t>2026-08</t>
        </is>
      </c>
      <c r="C184" s="22" t="inlineStr">
        <is>
          <t>YouTube</t>
        </is>
      </c>
      <c r="D184" s="22" t="n">
        <v>0</v>
      </c>
      <c r="E184" s="22" t="inlineStr">
        <is>
          <t>SaharaTV</t>
        </is>
      </c>
      <c r="F184" s="22" t="inlineStr">
        <is>
          <t>312wEIK4KHI</t>
        </is>
      </c>
      <c r="G184" s="22" t="n">
        <v>-0.178</v>
      </c>
      <c r="H184" s="22" t="n">
        <v>0</v>
      </c>
      <c r="I184" s="22" t="n">
        <v>0</v>
      </c>
      <c r="J184" s="22" t="n">
        <v>0</v>
      </c>
      <c r="K184" s="22" t="n">
        <v>1</v>
      </c>
      <c r="L184" s="22" t="n">
        <v>0</v>
      </c>
      <c r="M184" s="22" t="n">
        <v>0</v>
      </c>
      <c r="N184" s="22" t="n">
        <v>0</v>
      </c>
      <c r="O184" s="22" t="n">
        <v>0</v>
      </c>
      <c r="P184" s="22" t="n">
        <v>0</v>
      </c>
      <c r="Q184" s="22" t="n">
        <v>0</v>
      </c>
      <c r="R184" s="22" t="n">
        <v>0</v>
      </c>
      <c r="S184" s="22" t="n">
        <v>0</v>
      </c>
      <c r="T184" s="22" t="n">
        <v>0</v>
      </c>
      <c r="U184" s="3">
        <f>IF(OR(N184=1,Q184=1),1,0)</f>
        <v/>
      </c>
      <c r="V184" s="3">
        <f>IF(OR(T184=1,P184=1),1,0)</f>
        <v/>
      </c>
      <c r="W184" s="3">
        <f>IF(OR(J184=1),1,0)</f>
        <v/>
      </c>
      <c r="X184" s="3">
        <f>IF(OR(I184=1,H184=1),1,0)</f>
        <v/>
      </c>
      <c r="Y184" s="3">
        <f>IF(OR(G184=1),1,0)</f>
        <v/>
      </c>
      <c r="Z184" s="3">
        <f>IF(OR(F184=1),1,0)</f>
        <v/>
      </c>
      <c r="AA184" s="3">
        <f>IF(OR(M184=1),1,0)</f>
        <v/>
      </c>
    </row>
    <row r="185">
      <c r="A185" s="22" t="inlineStr">
        <is>
          <t>c6e41860fb84fbb2674b9577724e1bab0e43e7bc</t>
        </is>
      </c>
      <c r="B185" s="22" t="inlineStr">
        <is>
          <t>2026-08</t>
        </is>
      </c>
      <c r="C185" s="22" t="inlineStr">
        <is>
          <t>YouTube</t>
        </is>
      </c>
      <c r="D185" s="22" t="n">
        <v>0</v>
      </c>
      <c r="E185" s="22" t="inlineStr">
        <is>
          <t>SaharaTV</t>
        </is>
      </c>
      <c r="F185" s="22" t="inlineStr">
        <is>
          <t>312wEIK4KHI</t>
        </is>
      </c>
      <c r="G185" s="22" t="n">
        <v>0</v>
      </c>
      <c r="H185" s="22" t="n">
        <v>1</v>
      </c>
      <c r="I185" s="22" t="n">
        <v>0</v>
      </c>
      <c r="J185" s="22" t="n">
        <v>0</v>
      </c>
      <c r="K185" s="22" t="n">
        <v>0</v>
      </c>
      <c r="L185" s="22" t="n">
        <v>0</v>
      </c>
      <c r="M185" s="22" t="n">
        <v>0</v>
      </c>
      <c r="N185" s="22" t="n">
        <v>0</v>
      </c>
      <c r="O185" s="22" t="n">
        <v>0</v>
      </c>
      <c r="P185" s="22" t="n">
        <v>0</v>
      </c>
      <c r="Q185" s="22" t="n">
        <v>0</v>
      </c>
      <c r="R185" s="22" t="n">
        <v>0</v>
      </c>
      <c r="S185" s="22" t="n">
        <v>0</v>
      </c>
      <c r="T185" s="22" t="n">
        <v>0</v>
      </c>
      <c r="U185" s="3">
        <f>IF(OR(N185=1,Q185=1),1,0)</f>
        <v/>
      </c>
      <c r="V185" s="3">
        <f>IF(OR(T185=1,P185=1),1,0)</f>
        <v/>
      </c>
      <c r="W185" s="3">
        <f>IF(OR(J185=1),1,0)</f>
        <v/>
      </c>
      <c r="X185" s="3">
        <f>IF(OR(I185=1,H185=1),1,0)</f>
        <v/>
      </c>
      <c r="Y185" s="3">
        <f>IF(OR(G185=1),1,0)</f>
        <v/>
      </c>
      <c r="Z185" s="3">
        <f>IF(OR(F185=1),1,0)</f>
        <v/>
      </c>
      <c r="AA185" s="3">
        <f>IF(OR(M185=1),1,0)</f>
        <v/>
      </c>
    </row>
    <row r="186">
      <c r="A186" s="22" t="inlineStr">
        <is>
          <t>fc206781afb509235b95f40855b72498338f0e34</t>
        </is>
      </c>
      <c r="B186" s="22" t="inlineStr">
        <is>
          <t>2026-08</t>
        </is>
      </c>
      <c r="C186" s="22" t="inlineStr">
        <is>
          <t>YouTube</t>
        </is>
      </c>
      <c r="D186" s="22" t="n">
        <v>0</v>
      </c>
      <c r="E186" s="22" t="inlineStr">
        <is>
          <t>SaharaTV</t>
        </is>
      </c>
      <c r="F186" s="22" t="inlineStr">
        <is>
          <t>312wEIK4KHI</t>
        </is>
      </c>
      <c r="G186" s="22" t="n">
        <v>-0.542</v>
      </c>
      <c r="H186" s="22" t="n">
        <v>0</v>
      </c>
      <c r="I186" s="22" t="n">
        <v>0</v>
      </c>
      <c r="J186" s="22" t="n">
        <v>0</v>
      </c>
      <c r="K186" s="22" t="n">
        <v>1</v>
      </c>
      <c r="L186" s="22" t="n">
        <v>0</v>
      </c>
      <c r="M186" s="22" t="n">
        <v>0</v>
      </c>
      <c r="N186" s="22" t="n">
        <v>0</v>
      </c>
      <c r="O186" s="22" t="n">
        <v>0</v>
      </c>
      <c r="P186" s="22" t="n">
        <v>0</v>
      </c>
      <c r="Q186" s="22" t="n">
        <v>0</v>
      </c>
      <c r="R186" s="22" t="n">
        <v>0</v>
      </c>
      <c r="S186" s="22" t="n">
        <v>0</v>
      </c>
      <c r="T186" s="22" t="n">
        <v>0</v>
      </c>
      <c r="U186" s="3">
        <f>IF(OR(N186=1,Q186=1),1,0)</f>
        <v/>
      </c>
      <c r="V186" s="3">
        <f>IF(OR(T186=1,P186=1),1,0)</f>
        <v/>
      </c>
      <c r="W186" s="3">
        <f>IF(OR(J186=1),1,0)</f>
        <v/>
      </c>
      <c r="X186" s="3">
        <f>IF(OR(I186=1,H186=1),1,0)</f>
        <v/>
      </c>
      <c r="Y186" s="3">
        <f>IF(OR(G186=1),1,0)</f>
        <v/>
      </c>
      <c r="Z186" s="3">
        <f>IF(OR(F186=1),1,0)</f>
        <v/>
      </c>
      <c r="AA186" s="3">
        <f>IF(OR(M186=1),1,0)</f>
        <v/>
      </c>
    </row>
    <row r="187">
      <c r="A187" s="22" t="inlineStr">
        <is>
          <t>b14ebe0a7fc0037dd024f4762a69c73d9f32b9a0</t>
        </is>
      </c>
      <c r="B187" s="22" t="inlineStr">
        <is>
          <t>2026-08</t>
        </is>
      </c>
      <c r="C187" s="22" t="inlineStr">
        <is>
          <t>YouTube</t>
        </is>
      </c>
      <c r="D187" s="22" t="n">
        <v>0</v>
      </c>
      <c r="E187" s="22" t="inlineStr">
        <is>
          <t>SaharaTV</t>
        </is>
      </c>
      <c r="F187" s="22" t="inlineStr">
        <is>
          <t>312wEIK4KHI</t>
        </is>
      </c>
      <c r="G187" s="22" t="n">
        <v>-0.586</v>
      </c>
      <c r="H187" s="22" t="n">
        <v>1</v>
      </c>
      <c r="I187" s="22" t="n">
        <v>0</v>
      </c>
      <c r="J187" s="22" t="n">
        <v>0</v>
      </c>
      <c r="K187" s="22" t="n">
        <v>0</v>
      </c>
      <c r="L187" s="22" t="n">
        <v>0</v>
      </c>
      <c r="M187" s="22" t="n">
        <v>0</v>
      </c>
      <c r="N187" s="22" t="n">
        <v>0</v>
      </c>
      <c r="O187" s="22" t="n">
        <v>0</v>
      </c>
      <c r="P187" s="22" t="n">
        <v>0</v>
      </c>
      <c r="Q187" s="22" t="n">
        <v>0</v>
      </c>
      <c r="R187" s="22" t="n">
        <v>0</v>
      </c>
      <c r="S187" s="22" t="n">
        <v>0</v>
      </c>
      <c r="T187" s="22" t="n">
        <v>0</v>
      </c>
      <c r="U187" s="3">
        <f>IF(OR(N187=1,Q187=1),1,0)</f>
        <v/>
      </c>
      <c r="V187" s="3">
        <f>IF(OR(T187=1,P187=1),1,0)</f>
        <v/>
      </c>
      <c r="W187" s="3">
        <f>IF(OR(J187=1),1,0)</f>
        <v/>
      </c>
      <c r="X187" s="3">
        <f>IF(OR(I187=1,H187=1),1,0)</f>
        <v/>
      </c>
      <c r="Y187" s="3">
        <f>IF(OR(G187=1),1,0)</f>
        <v/>
      </c>
      <c r="Z187" s="3">
        <f>IF(OR(F187=1),1,0)</f>
        <v/>
      </c>
      <c r="AA187" s="3">
        <f>IF(OR(M187=1),1,0)</f>
        <v/>
      </c>
    </row>
    <row r="188">
      <c r="A188" s="22" t="inlineStr">
        <is>
          <t>932fa10d5ad3de65ab49f1d21b99c69dc01f059a</t>
        </is>
      </c>
      <c r="B188" s="22" t="inlineStr">
        <is>
          <t>2026-08</t>
        </is>
      </c>
      <c r="C188" s="22" t="inlineStr">
        <is>
          <t>YouTube</t>
        </is>
      </c>
      <c r="D188" s="22" t="n">
        <v>0</v>
      </c>
      <c r="E188" s="22" t="inlineStr">
        <is>
          <t>SaharaTV</t>
        </is>
      </c>
      <c r="F188" s="22" t="inlineStr">
        <is>
          <t>312wEIK4KHI</t>
        </is>
      </c>
      <c r="G188" s="22" t="n">
        <v>0.438</v>
      </c>
      <c r="H188" s="22" t="n">
        <v>0</v>
      </c>
      <c r="I188" s="22" t="n">
        <v>0</v>
      </c>
      <c r="J188" s="22" t="n">
        <v>0</v>
      </c>
      <c r="K188" s="22" t="n">
        <v>0</v>
      </c>
      <c r="L188" s="22" t="n">
        <v>0</v>
      </c>
      <c r="M188" s="22" t="n">
        <v>0</v>
      </c>
      <c r="N188" s="22" t="n">
        <v>0</v>
      </c>
      <c r="O188" s="22" t="n">
        <v>1</v>
      </c>
      <c r="P188" s="22" t="n">
        <v>0</v>
      </c>
      <c r="Q188" s="22" t="n">
        <v>0</v>
      </c>
      <c r="R188" s="22" t="n">
        <v>0</v>
      </c>
      <c r="S188" s="22" t="n">
        <v>0</v>
      </c>
      <c r="T188" s="22" t="n">
        <v>0</v>
      </c>
      <c r="U188" s="3">
        <f>IF(OR(N188=1,Q188=1),1,0)</f>
        <v/>
      </c>
      <c r="V188" s="3">
        <f>IF(OR(T188=1,P188=1),1,0)</f>
        <v/>
      </c>
      <c r="W188" s="3">
        <f>IF(OR(J188=1),1,0)</f>
        <v/>
      </c>
      <c r="X188" s="3">
        <f>IF(OR(I188=1,H188=1),1,0)</f>
        <v/>
      </c>
      <c r="Y188" s="3">
        <f>IF(OR(G188=1),1,0)</f>
        <v/>
      </c>
      <c r="Z188" s="3">
        <f>IF(OR(F188=1),1,0)</f>
        <v/>
      </c>
      <c r="AA188" s="3">
        <f>IF(OR(M188=1),1,0)</f>
        <v/>
      </c>
    </row>
    <row r="189">
      <c r="A189" s="22" t="inlineStr">
        <is>
          <t>7c7cda7caf12c3160e8de24ada29f320bc695ad1</t>
        </is>
      </c>
      <c r="B189" s="22" t="inlineStr">
        <is>
          <t>2026-08</t>
        </is>
      </c>
      <c r="C189" s="22" t="inlineStr">
        <is>
          <t>YouTube</t>
        </is>
      </c>
      <c r="D189" s="22" t="n">
        <v>0</v>
      </c>
      <c r="E189" s="22" t="inlineStr">
        <is>
          <t>SaharaTV</t>
        </is>
      </c>
      <c r="F189" s="22" t="inlineStr">
        <is>
          <t>312wEIK4KHI</t>
        </is>
      </c>
      <c r="G189" s="22" t="n">
        <v>0.827</v>
      </c>
      <c r="H189" s="22" t="n">
        <v>0</v>
      </c>
      <c r="I189" s="22" t="n">
        <v>0</v>
      </c>
      <c r="J189" s="22" t="n">
        <v>0</v>
      </c>
      <c r="K189" s="22" t="n">
        <v>1</v>
      </c>
      <c r="L189" s="22" t="n">
        <v>0</v>
      </c>
      <c r="M189" s="22" t="n">
        <v>0</v>
      </c>
      <c r="N189" s="22" t="n">
        <v>0</v>
      </c>
      <c r="O189" s="22" t="n">
        <v>0</v>
      </c>
      <c r="P189" s="22" t="n">
        <v>0</v>
      </c>
      <c r="Q189" s="22" t="n">
        <v>0</v>
      </c>
      <c r="R189" s="22" t="n">
        <v>0</v>
      </c>
      <c r="S189" s="22" t="n">
        <v>0</v>
      </c>
      <c r="T189" s="22" t="n">
        <v>0</v>
      </c>
      <c r="U189" s="3">
        <f>IF(OR(N189=1,Q189=1),1,0)</f>
        <v/>
      </c>
      <c r="V189" s="3">
        <f>IF(OR(T189=1,P189=1),1,0)</f>
        <v/>
      </c>
      <c r="W189" s="3">
        <f>IF(OR(J189=1),1,0)</f>
        <v/>
      </c>
      <c r="X189" s="3">
        <f>IF(OR(I189=1,H189=1),1,0)</f>
        <v/>
      </c>
      <c r="Y189" s="3">
        <f>IF(OR(G189=1),1,0)</f>
        <v/>
      </c>
      <c r="Z189" s="3">
        <f>IF(OR(F189=1),1,0)</f>
        <v/>
      </c>
      <c r="AA189" s="3">
        <f>IF(OR(M189=1),1,0)</f>
        <v/>
      </c>
    </row>
    <row r="190">
      <c r="A190" s="22" t="inlineStr">
        <is>
          <t>c0fa1ca4382554bebe06d35123a0f19a8d847600</t>
        </is>
      </c>
      <c r="B190" s="22" t="inlineStr">
        <is>
          <t>2026-08</t>
        </is>
      </c>
      <c r="C190" s="22" t="inlineStr">
        <is>
          <t>YouTube</t>
        </is>
      </c>
      <c r="D190" s="22" t="n">
        <v>0</v>
      </c>
      <c r="E190" s="22" t="inlineStr">
        <is>
          <t>SaharaTV</t>
        </is>
      </c>
      <c r="F190" s="22" t="inlineStr">
        <is>
          <t>312wEIK4KHI</t>
        </is>
      </c>
      <c r="G190" s="22" t="n">
        <v>-0.632</v>
      </c>
      <c r="H190" s="22" t="n">
        <v>0</v>
      </c>
      <c r="I190" s="22" t="n">
        <v>0</v>
      </c>
      <c r="J190" s="22" t="n">
        <v>0</v>
      </c>
      <c r="K190" s="22" t="n">
        <v>1</v>
      </c>
      <c r="L190" s="22" t="n">
        <v>0</v>
      </c>
      <c r="M190" s="22" t="n">
        <v>0</v>
      </c>
      <c r="N190" s="22" t="n">
        <v>0</v>
      </c>
      <c r="O190" s="22" t="n">
        <v>0</v>
      </c>
      <c r="P190" s="22" t="n">
        <v>0</v>
      </c>
      <c r="Q190" s="22" t="n">
        <v>0</v>
      </c>
      <c r="R190" s="22" t="n">
        <v>0</v>
      </c>
      <c r="S190" s="22" t="n">
        <v>0</v>
      </c>
      <c r="T190" s="22" t="n">
        <v>0</v>
      </c>
      <c r="U190" s="3">
        <f>IF(OR(N190=1,Q190=1),1,0)</f>
        <v/>
      </c>
      <c r="V190" s="3">
        <f>IF(OR(T190=1,P190=1),1,0)</f>
        <v/>
      </c>
      <c r="W190" s="3">
        <f>IF(OR(J190=1),1,0)</f>
        <v/>
      </c>
      <c r="X190" s="3">
        <f>IF(OR(I190=1,H190=1),1,0)</f>
        <v/>
      </c>
      <c r="Y190" s="3">
        <f>IF(OR(G190=1),1,0)</f>
        <v/>
      </c>
      <c r="Z190" s="3">
        <f>IF(OR(F190=1),1,0)</f>
        <v/>
      </c>
      <c r="AA190" s="3">
        <f>IF(OR(M190=1),1,0)</f>
        <v/>
      </c>
    </row>
    <row r="191">
      <c r="A191" s="22" t="inlineStr">
        <is>
          <t>049f960bcf9ebe16fe69f5e2ac6d96254d158dc2</t>
        </is>
      </c>
      <c r="B191" s="22" t="inlineStr">
        <is>
          <t>2026-08</t>
        </is>
      </c>
      <c r="C191" s="22" t="inlineStr">
        <is>
          <t>YouTube</t>
        </is>
      </c>
      <c r="D191" s="22" t="n">
        <v>0</v>
      </c>
      <c r="E191" s="22" t="inlineStr">
        <is>
          <t>TVC News Nigeria</t>
        </is>
      </c>
      <c r="F191" s="22" t="inlineStr">
        <is>
          <t>4ORqpE7dbds</t>
        </is>
      </c>
      <c r="G191" s="22" t="n">
        <v>-0.652</v>
      </c>
      <c r="H191" s="22" t="n">
        <v>1</v>
      </c>
      <c r="I191" s="22" t="n">
        <v>0</v>
      </c>
      <c r="J191" s="22" t="n">
        <v>0</v>
      </c>
      <c r="K191" s="22" t="n">
        <v>0</v>
      </c>
      <c r="L191" s="22" t="n">
        <v>0</v>
      </c>
      <c r="M191" s="22" t="n">
        <v>0</v>
      </c>
      <c r="N191" s="22" t="n">
        <v>0</v>
      </c>
      <c r="O191" s="22" t="n">
        <v>0</v>
      </c>
      <c r="P191" s="22" t="n">
        <v>0</v>
      </c>
      <c r="Q191" s="22" t="n">
        <v>0</v>
      </c>
      <c r="R191" s="22" t="n">
        <v>0</v>
      </c>
      <c r="S191" s="22" t="n">
        <v>0</v>
      </c>
      <c r="T191" s="22" t="n">
        <v>0</v>
      </c>
      <c r="U191" s="3">
        <f>IF(OR(N191=1,Q191=1),1,0)</f>
        <v/>
      </c>
      <c r="V191" s="3">
        <f>IF(OR(T191=1,P191=1),1,0)</f>
        <v/>
      </c>
      <c r="W191" s="3">
        <f>IF(OR(J191=1),1,0)</f>
        <v/>
      </c>
      <c r="X191" s="3">
        <f>IF(OR(I191=1,H191=1),1,0)</f>
        <v/>
      </c>
      <c r="Y191" s="3">
        <f>IF(OR(G191=1),1,0)</f>
        <v/>
      </c>
      <c r="Z191" s="3">
        <f>IF(OR(F191=1),1,0)</f>
        <v/>
      </c>
      <c r="AA191" s="3">
        <f>IF(OR(M191=1),1,0)</f>
        <v/>
      </c>
    </row>
    <row r="192">
      <c r="A192" s="22" t="inlineStr">
        <is>
          <t>d3dac37e1228560614a428c68ae09fec931d18ce</t>
        </is>
      </c>
      <c r="B192" s="22" t="inlineStr">
        <is>
          <t>2026-08</t>
        </is>
      </c>
      <c r="C192" s="22" t="inlineStr">
        <is>
          <t>YouTube</t>
        </is>
      </c>
      <c r="D192" s="22" t="n">
        <v>0</v>
      </c>
      <c r="E192" s="22" t="inlineStr">
        <is>
          <t>TVC News Nigeria</t>
        </is>
      </c>
      <c r="F192" s="22" t="inlineStr">
        <is>
          <t>4ORqpE7dbds</t>
        </is>
      </c>
      <c r="G192" s="22" t="n">
        <v>0.422</v>
      </c>
      <c r="H192" s="22" t="n">
        <v>0</v>
      </c>
      <c r="I192" s="22" t="n">
        <v>0</v>
      </c>
      <c r="J192" s="22" t="n">
        <v>0</v>
      </c>
      <c r="K192" s="22" t="n">
        <v>1</v>
      </c>
      <c r="L192" s="22" t="n">
        <v>0</v>
      </c>
      <c r="M192" s="22" t="n">
        <v>0</v>
      </c>
      <c r="N192" s="22" t="n">
        <v>0</v>
      </c>
      <c r="O192" s="22" t="n">
        <v>0</v>
      </c>
      <c r="P192" s="22" t="n">
        <v>0</v>
      </c>
      <c r="Q192" s="22" t="n">
        <v>0</v>
      </c>
      <c r="R192" s="22" t="n">
        <v>0</v>
      </c>
      <c r="S192" s="22" t="n">
        <v>0</v>
      </c>
      <c r="T192" s="22" t="n">
        <v>0</v>
      </c>
      <c r="U192" s="3">
        <f>IF(OR(N192=1,Q192=1),1,0)</f>
        <v/>
      </c>
      <c r="V192" s="3">
        <f>IF(OR(T192=1,P192=1),1,0)</f>
        <v/>
      </c>
      <c r="W192" s="3">
        <f>IF(OR(J192=1),1,0)</f>
        <v/>
      </c>
      <c r="X192" s="3">
        <f>IF(OR(I192=1,H192=1),1,0)</f>
        <v/>
      </c>
      <c r="Y192" s="3">
        <f>IF(OR(G192=1),1,0)</f>
        <v/>
      </c>
      <c r="Z192" s="3">
        <f>IF(OR(F192=1),1,0)</f>
        <v/>
      </c>
      <c r="AA192" s="3">
        <f>IF(OR(M192=1),1,0)</f>
        <v/>
      </c>
    </row>
    <row r="193">
      <c r="A193" s="22" t="inlineStr">
        <is>
          <t>332daaa1929730a05b127de4589f761a353ae1c1</t>
        </is>
      </c>
      <c r="B193" s="22" t="inlineStr">
        <is>
          <t>2026-08</t>
        </is>
      </c>
      <c r="C193" s="22" t="inlineStr">
        <is>
          <t>YouTube</t>
        </is>
      </c>
      <c r="D193" s="22" t="n">
        <v>0</v>
      </c>
      <c r="E193" s="22" t="inlineStr">
        <is>
          <t>TVC News Nigeria</t>
        </is>
      </c>
      <c r="F193" s="22" t="inlineStr">
        <is>
          <t>4ORqpE7dbds</t>
        </is>
      </c>
      <c r="G193" s="22" t="n">
        <v>-0.886</v>
      </c>
      <c r="H193" s="22" t="n">
        <v>0</v>
      </c>
      <c r="I193" s="22" t="n">
        <v>0</v>
      </c>
      <c r="J193" s="22" t="n">
        <v>0</v>
      </c>
      <c r="K193" s="22" t="n">
        <v>1</v>
      </c>
      <c r="L193" s="22" t="n">
        <v>0</v>
      </c>
      <c r="M193" s="22" t="n">
        <v>0</v>
      </c>
      <c r="N193" s="22" t="n">
        <v>0</v>
      </c>
      <c r="O193" s="22" t="n">
        <v>0</v>
      </c>
      <c r="P193" s="22" t="n">
        <v>0</v>
      </c>
      <c r="Q193" s="22" t="n">
        <v>0</v>
      </c>
      <c r="R193" s="22" t="n">
        <v>0</v>
      </c>
      <c r="S193" s="22" t="n">
        <v>0</v>
      </c>
      <c r="T193" s="22" t="n">
        <v>0</v>
      </c>
      <c r="U193" s="3">
        <f>IF(OR(N193=1,Q193=1),1,0)</f>
        <v/>
      </c>
      <c r="V193" s="3">
        <f>IF(OR(T193=1,P193=1),1,0)</f>
        <v/>
      </c>
      <c r="W193" s="3">
        <f>IF(OR(J193=1),1,0)</f>
        <v/>
      </c>
      <c r="X193" s="3">
        <f>IF(OR(I193=1,H193=1),1,0)</f>
        <v/>
      </c>
      <c r="Y193" s="3">
        <f>IF(OR(G193=1),1,0)</f>
        <v/>
      </c>
      <c r="Z193" s="3">
        <f>IF(OR(F193=1),1,0)</f>
        <v/>
      </c>
      <c r="AA193" s="3">
        <f>IF(OR(M193=1),1,0)</f>
        <v/>
      </c>
    </row>
    <row r="194">
      <c r="A194" s="22" t="inlineStr">
        <is>
          <t>a5033c825f221d22182661c6d71287ec965344e6</t>
        </is>
      </c>
      <c r="B194" s="22" t="inlineStr">
        <is>
          <t>2026-08</t>
        </is>
      </c>
      <c r="C194" s="22" t="inlineStr">
        <is>
          <t>YouTube</t>
        </is>
      </c>
      <c r="D194" s="22" t="n">
        <v>0</v>
      </c>
      <c r="E194" s="22" t="inlineStr">
        <is>
          <t>TVC News Nigeria</t>
        </is>
      </c>
      <c r="F194" s="22" t="inlineStr">
        <is>
          <t>4ORqpE7dbds</t>
        </is>
      </c>
      <c r="G194" s="22" t="n">
        <v>0</v>
      </c>
      <c r="H194" s="22" t="n">
        <v>0</v>
      </c>
      <c r="I194" s="22" t="n">
        <v>0</v>
      </c>
      <c r="J194" s="22" t="n">
        <v>0</v>
      </c>
      <c r="K194" s="22" t="n">
        <v>1</v>
      </c>
      <c r="L194" s="22" t="n">
        <v>0</v>
      </c>
      <c r="M194" s="22" t="n">
        <v>0</v>
      </c>
      <c r="N194" s="22" t="n">
        <v>0</v>
      </c>
      <c r="O194" s="22" t="n">
        <v>0</v>
      </c>
      <c r="P194" s="22" t="n">
        <v>0</v>
      </c>
      <c r="Q194" s="22" t="n">
        <v>0</v>
      </c>
      <c r="R194" s="22" t="n">
        <v>0</v>
      </c>
      <c r="S194" s="22" t="n">
        <v>0</v>
      </c>
      <c r="T194" s="22" t="n">
        <v>0</v>
      </c>
      <c r="U194" s="3">
        <f>IF(OR(N194=1,Q194=1),1,0)</f>
        <v/>
      </c>
      <c r="V194" s="3">
        <f>IF(OR(T194=1,P194=1),1,0)</f>
        <v/>
      </c>
      <c r="W194" s="3">
        <f>IF(OR(J194=1),1,0)</f>
        <v/>
      </c>
      <c r="X194" s="3">
        <f>IF(OR(I194=1,H194=1),1,0)</f>
        <v/>
      </c>
      <c r="Y194" s="3">
        <f>IF(OR(G194=1),1,0)</f>
        <v/>
      </c>
      <c r="Z194" s="3">
        <f>IF(OR(F194=1),1,0)</f>
        <v/>
      </c>
      <c r="AA194" s="3">
        <f>IF(OR(M194=1),1,0)</f>
        <v/>
      </c>
    </row>
    <row r="195">
      <c r="A195" s="22" t="inlineStr">
        <is>
          <t>e70adccd0d0565faaa37a9436cb2f21f6597b1eb</t>
        </is>
      </c>
      <c r="B195" s="22" t="inlineStr">
        <is>
          <t>2026-08</t>
        </is>
      </c>
      <c r="C195" s="22" t="inlineStr">
        <is>
          <t>YouTube</t>
        </is>
      </c>
      <c r="D195" s="22" t="n">
        <v>0</v>
      </c>
      <c r="E195" s="22" t="inlineStr">
        <is>
          <t>TVC News Nigeria</t>
        </is>
      </c>
      <c r="F195" s="22" t="inlineStr">
        <is>
          <t>4ORqpE7dbds</t>
        </is>
      </c>
      <c r="G195" s="22" t="n">
        <v>-0.976</v>
      </c>
      <c r="H195" s="22" t="n">
        <v>0</v>
      </c>
      <c r="I195" s="22" t="n">
        <v>1</v>
      </c>
      <c r="J195" s="22" t="n">
        <v>0</v>
      </c>
      <c r="K195" s="22" t="n">
        <v>0</v>
      </c>
      <c r="L195" s="22" t="n">
        <v>0</v>
      </c>
      <c r="M195" s="22" t="n">
        <v>1</v>
      </c>
      <c r="N195" s="22" t="n">
        <v>0</v>
      </c>
      <c r="O195" s="22" t="n">
        <v>0</v>
      </c>
      <c r="P195" s="22" t="n">
        <v>0</v>
      </c>
      <c r="Q195" s="22" t="n">
        <v>0</v>
      </c>
      <c r="R195" s="22" t="n">
        <v>0</v>
      </c>
      <c r="S195" s="22" t="n">
        <v>0</v>
      </c>
      <c r="T195" s="22" t="n">
        <v>0</v>
      </c>
      <c r="U195" s="3">
        <f>IF(OR(N195=1,Q195=1),1,0)</f>
        <v/>
      </c>
      <c r="V195" s="3">
        <f>IF(OR(T195=1,P195=1),1,0)</f>
        <v/>
      </c>
      <c r="W195" s="3">
        <f>IF(OR(J195=1),1,0)</f>
        <v/>
      </c>
      <c r="X195" s="3">
        <f>IF(OR(I195=1,H195=1),1,0)</f>
        <v/>
      </c>
      <c r="Y195" s="3">
        <f>IF(OR(G195=1),1,0)</f>
        <v/>
      </c>
      <c r="Z195" s="3">
        <f>IF(OR(F195=1),1,0)</f>
        <v/>
      </c>
      <c r="AA195" s="3">
        <f>IF(OR(M195=1),1,0)</f>
        <v/>
      </c>
    </row>
    <row r="196">
      <c r="A196" s="22" t="inlineStr">
        <is>
          <t>ba7985d317ea084911a1563a6ea924958f1acc86</t>
        </is>
      </c>
      <c r="B196" s="22" t="inlineStr">
        <is>
          <t>2026-08</t>
        </is>
      </c>
      <c r="C196" s="22" t="inlineStr">
        <is>
          <t>YouTube</t>
        </is>
      </c>
      <c r="D196" s="22" t="n">
        <v>0</v>
      </c>
      <c r="E196" s="22" t="inlineStr">
        <is>
          <t>TVC News Nigeria</t>
        </is>
      </c>
      <c r="F196" s="22" t="inlineStr">
        <is>
          <t>4ORqpE7dbds</t>
        </is>
      </c>
      <c r="G196" s="22" t="n">
        <v>0.388</v>
      </c>
      <c r="H196" s="22" t="n">
        <v>0</v>
      </c>
      <c r="I196" s="22" t="n">
        <v>0</v>
      </c>
      <c r="J196" s="22" t="n">
        <v>0</v>
      </c>
      <c r="K196" s="22" t="n">
        <v>1</v>
      </c>
      <c r="L196" s="22" t="n">
        <v>0</v>
      </c>
      <c r="M196" s="22" t="n">
        <v>0</v>
      </c>
      <c r="N196" s="22" t="n">
        <v>0</v>
      </c>
      <c r="O196" s="22" t="n">
        <v>0</v>
      </c>
      <c r="P196" s="22" t="n">
        <v>0</v>
      </c>
      <c r="Q196" s="22" t="n">
        <v>1</v>
      </c>
      <c r="R196" s="22" t="n">
        <v>0</v>
      </c>
      <c r="S196" s="22" t="n">
        <v>0</v>
      </c>
      <c r="T196" s="22" t="n">
        <v>0</v>
      </c>
      <c r="U196" s="3">
        <f>IF(OR(N196=1,Q196=1),1,0)</f>
        <v/>
      </c>
      <c r="V196" s="3">
        <f>IF(OR(T196=1,P196=1),1,0)</f>
        <v/>
      </c>
      <c r="W196" s="3">
        <f>IF(OR(J196=1),1,0)</f>
        <v/>
      </c>
      <c r="X196" s="3">
        <f>IF(OR(I196=1,H196=1),1,0)</f>
        <v/>
      </c>
      <c r="Y196" s="3">
        <f>IF(OR(G196=1),1,0)</f>
        <v/>
      </c>
      <c r="Z196" s="3">
        <f>IF(OR(F196=1),1,0)</f>
        <v/>
      </c>
      <c r="AA196" s="3">
        <f>IF(OR(M196=1),1,0)</f>
        <v/>
      </c>
    </row>
    <row r="197">
      <c r="A197" s="22" t="inlineStr">
        <is>
          <t>884e2c9d386bfd9b1eb1c36d2ff3c2b76895d78e</t>
        </is>
      </c>
      <c r="B197" s="22" t="inlineStr">
        <is>
          <t>2026-08</t>
        </is>
      </c>
      <c r="C197" s="22" t="inlineStr">
        <is>
          <t>YouTube</t>
        </is>
      </c>
      <c r="D197" s="22" t="n">
        <v>0</v>
      </c>
      <c r="E197" s="22" t="inlineStr">
        <is>
          <t>TVC News Nigeria</t>
        </is>
      </c>
      <c r="F197" s="22" t="inlineStr">
        <is>
          <t>4ORqpE7dbds</t>
        </is>
      </c>
      <c r="G197" s="22" t="n">
        <v>0.861</v>
      </c>
      <c r="H197" s="22" t="n">
        <v>0</v>
      </c>
      <c r="I197" s="22" t="n">
        <v>1</v>
      </c>
      <c r="J197" s="22" t="n">
        <v>0</v>
      </c>
      <c r="K197" s="22" t="n">
        <v>0</v>
      </c>
      <c r="L197" s="22" t="n">
        <v>0</v>
      </c>
      <c r="M197" s="22" t="n">
        <v>0</v>
      </c>
      <c r="N197" s="22" t="n">
        <v>0</v>
      </c>
      <c r="O197" s="22" t="n">
        <v>0</v>
      </c>
      <c r="P197" s="22" t="n">
        <v>0</v>
      </c>
      <c r="Q197" s="22" t="n">
        <v>0</v>
      </c>
      <c r="R197" s="22" t="n">
        <v>0</v>
      </c>
      <c r="S197" s="22" t="n">
        <v>0</v>
      </c>
      <c r="T197" s="22" t="n">
        <v>0</v>
      </c>
      <c r="U197" s="3">
        <f>IF(OR(N197=1,Q197=1),1,0)</f>
        <v/>
      </c>
      <c r="V197" s="3">
        <f>IF(OR(T197=1,P197=1),1,0)</f>
        <v/>
      </c>
      <c r="W197" s="3">
        <f>IF(OR(J197=1),1,0)</f>
        <v/>
      </c>
      <c r="X197" s="3">
        <f>IF(OR(I197=1,H197=1),1,0)</f>
        <v/>
      </c>
      <c r="Y197" s="3">
        <f>IF(OR(G197=1),1,0)</f>
        <v/>
      </c>
      <c r="Z197" s="3">
        <f>IF(OR(F197=1),1,0)</f>
        <v/>
      </c>
      <c r="AA197" s="3">
        <f>IF(OR(M197=1),1,0)</f>
        <v/>
      </c>
    </row>
    <row r="198">
      <c r="A198" s="22" t="inlineStr">
        <is>
          <t>cebb33f187657080357007f61d4025a5a7d3ac4d</t>
        </is>
      </c>
      <c r="B198" s="22" t="inlineStr">
        <is>
          <t>2026-08</t>
        </is>
      </c>
      <c r="C198" s="22" t="inlineStr">
        <is>
          <t>YouTube</t>
        </is>
      </c>
      <c r="D198" s="22" t="n">
        <v>0</v>
      </c>
      <c r="E198" s="22" t="inlineStr">
        <is>
          <t>TVC News Nigeria</t>
        </is>
      </c>
      <c r="F198" s="22" t="inlineStr">
        <is>
          <t>4ORqpE7dbds</t>
        </is>
      </c>
      <c r="G198" s="22" t="n">
        <v>0.99</v>
      </c>
      <c r="H198" s="22" t="n">
        <v>1</v>
      </c>
      <c r="I198" s="22" t="n">
        <v>0</v>
      </c>
      <c r="J198" s="22" t="n">
        <v>1</v>
      </c>
      <c r="K198" s="22" t="n">
        <v>0</v>
      </c>
      <c r="L198" s="22" t="n">
        <v>0</v>
      </c>
      <c r="M198" s="22" t="n">
        <v>0</v>
      </c>
      <c r="N198" s="22" t="n">
        <v>0</v>
      </c>
      <c r="O198" s="22" t="n">
        <v>0</v>
      </c>
      <c r="P198" s="22" t="n">
        <v>0</v>
      </c>
      <c r="Q198" s="22" t="n">
        <v>0</v>
      </c>
      <c r="R198" s="22" t="n">
        <v>0</v>
      </c>
      <c r="S198" s="22" t="n">
        <v>0</v>
      </c>
      <c r="T198" s="22" t="n">
        <v>0</v>
      </c>
      <c r="U198" s="3">
        <f>IF(OR(N198=1,Q198=1),1,0)</f>
        <v/>
      </c>
      <c r="V198" s="3">
        <f>IF(OR(T198=1,P198=1),1,0)</f>
        <v/>
      </c>
      <c r="W198" s="3">
        <f>IF(OR(J198=1),1,0)</f>
        <v/>
      </c>
      <c r="X198" s="3">
        <f>IF(OR(I198=1,H198=1),1,0)</f>
        <v/>
      </c>
      <c r="Y198" s="3">
        <f>IF(OR(G198=1),1,0)</f>
        <v/>
      </c>
      <c r="Z198" s="3">
        <f>IF(OR(F198=1),1,0)</f>
        <v/>
      </c>
      <c r="AA198" s="3">
        <f>IF(OR(M198=1),1,0)</f>
        <v/>
      </c>
    </row>
    <row r="199">
      <c r="A199" s="22" t="inlineStr">
        <is>
          <t>c597da6e09f457752e402c4b812d228126e06079</t>
        </is>
      </c>
      <c r="B199" s="22" t="inlineStr">
        <is>
          <t>2026-08</t>
        </is>
      </c>
      <c r="C199" s="22" t="inlineStr">
        <is>
          <t>YouTube</t>
        </is>
      </c>
      <c r="D199" s="22" t="n">
        <v>0</v>
      </c>
      <c r="E199" s="22" t="inlineStr">
        <is>
          <t>TVC News Nigeria</t>
        </is>
      </c>
      <c r="F199" s="22" t="inlineStr">
        <is>
          <t>4ORqpE7dbds</t>
        </is>
      </c>
      <c r="G199" s="22" t="n">
        <v>0</v>
      </c>
      <c r="H199" s="22" t="n">
        <v>0</v>
      </c>
      <c r="I199" s="22" t="n">
        <v>0</v>
      </c>
      <c r="J199" s="22" t="n">
        <v>0</v>
      </c>
      <c r="K199" s="22" t="n">
        <v>0</v>
      </c>
      <c r="L199" s="22" t="n">
        <v>0</v>
      </c>
      <c r="M199" s="22" t="n">
        <v>0</v>
      </c>
      <c r="N199" s="22" t="n">
        <v>0</v>
      </c>
      <c r="O199" s="22" t="n">
        <v>0</v>
      </c>
      <c r="P199" s="22" t="n">
        <v>0</v>
      </c>
      <c r="Q199" s="22" t="n">
        <v>0</v>
      </c>
      <c r="R199" s="22" t="n">
        <v>0</v>
      </c>
      <c r="S199" s="22" t="n">
        <v>0</v>
      </c>
      <c r="T199" s="22" t="n">
        <v>0</v>
      </c>
      <c r="U199" s="3">
        <f>IF(OR(N199=1,Q199=1),1,0)</f>
        <v/>
      </c>
      <c r="V199" s="3">
        <f>IF(OR(T199=1,P199=1),1,0)</f>
        <v/>
      </c>
      <c r="W199" s="3">
        <f>IF(OR(J199=1),1,0)</f>
        <v/>
      </c>
      <c r="X199" s="3">
        <f>IF(OR(I199=1,H199=1),1,0)</f>
        <v/>
      </c>
      <c r="Y199" s="3">
        <f>IF(OR(G199=1),1,0)</f>
        <v/>
      </c>
      <c r="Z199" s="3">
        <f>IF(OR(F199=1),1,0)</f>
        <v/>
      </c>
      <c r="AA199" s="3">
        <f>IF(OR(M199=1),1,0)</f>
        <v/>
      </c>
    </row>
    <row r="200">
      <c r="A200" s="22" t="inlineStr">
        <is>
          <t>a377b226ead4729b2bdb5a0ea0cd7f18ace8fc5b</t>
        </is>
      </c>
      <c r="B200" s="22" t="inlineStr">
        <is>
          <t>2026-08</t>
        </is>
      </c>
      <c r="C200" s="22" t="inlineStr">
        <is>
          <t>YouTube</t>
        </is>
      </c>
      <c r="D200" s="22" t="n">
        <v>0</v>
      </c>
      <c r="E200" s="22" t="inlineStr">
        <is>
          <t>UCQcXgs7lG68uM47Mfx468XQ</t>
        </is>
      </c>
      <c r="F200" s="22" t="inlineStr">
        <is>
          <t>jnEll1PAF7Y</t>
        </is>
      </c>
      <c r="G200" s="22" t="n">
        <v>-0.052</v>
      </c>
      <c r="H200" s="22" t="n">
        <v>0</v>
      </c>
      <c r="I200" s="22" t="n">
        <v>0</v>
      </c>
      <c r="J200" s="22" t="n">
        <v>0</v>
      </c>
      <c r="K200" s="22" t="n">
        <v>0</v>
      </c>
      <c r="L200" s="22" t="n">
        <v>1</v>
      </c>
      <c r="M200" s="22" t="n">
        <v>0</v>
      </c>
      <c r="N200" s="22" t="n">
        <v>0</v>
      </c>
      <c r="O200" s="22" t="n">
        <v>0</v>
      </c>
      <c r="P200" s="22" t="n">
        <v>0</v>
      </c>
      <c r="Q200" s="22" t="n">
        <v>0</v>
      </c>
      <c r="R200" s="22" t="n">
        <v>0</v>
      </c>
      <c r="S200" s="22" t="n">
        <v>0</v>
      </c>
      <c r="T200" s="22" t="n">
        <v>0</v>
      </c>
      <c r="U200" s="3">
        <f>IF(OR(N200=1,Q200=1),1,0)</f>
        <v/>
      </c>
      <c r="V200" s="3">
        <f>IF(OR(T200=1,P200=1),1,0)</f>
        <v/>
      </c>
      <c r="W200" s="3">
        <f>IF(OR(J200=1),1,0)</f>
        <v/>
      </c>
      <c r="X200" s="3">
        <f>IF(OR(I200=1,H200=1),1,0)</f>
        <v/>
      </c>
      <c r="Y200" s="3">
        <f>IF(OR(G200=1),1,0)</f>
        <v/>
      </c>
      <c r="Z200" s="3">
        <f>IF(OR(F200=1),1,0)</f>
        <v/>
      </c>
      <c r="AA200" s="3">
        <f>IF(OR(M200=1),1,0)</f>
        <v/>
      </c>
    </row>
    <row r="201">
      <c r="A201" s="22" t="inlineStr">
        <is>
          <t>b0d30d87cdf9ca4dee84ab6448259cc6318b8031</t>
        </is>
      </c>
      <c r="B201" s="22" t="inlineStr">
        <is>
          <t>2026-08</t>
        </is>
      </c>
      <c r="C201" s="22" t="inlineStr">
        <is>
          <t>YouTube</t>
        </is>
      </c>
      <c r="D201" s="22" t="n">
        <v>0</v>
      </c>
      <c r="E201" s="22" t="inlineStr">
        <is>
          <t>TVC News Nigeria</t>
        </is>
      </c>
      <c r="F201" s="22" t="inlineStr">
        <is>
          <t>4ORqpE7dbds</t>
        </is>
      </c>
      <c r="G201" s="22" t="n">
        <v>0.9320000000000001</v>
      </c>
      <c r="H201" s="22" t="n">
        <v>1</v>
      </c>
      <c r="I201" s="22" t="n">
        <v>0</v>
      </c>
      <c r="J201" s="22" t="n">
        <v>0</v>
      </c>
      <c r="K201" s="22" t="n">
        <v>0</v>
      </c>
      <c r="L201" s="22" t="n">
        <v>1</v>
      </c>
      <c r="M201" s="22" t="n">
        <v>0</v>
      </c>
      <c r="N201" s="22" t="n">
        <v>0</v>
      </c>
      <c r="O201" s="22" t="n">
        <v>0</v>
      </c>
      <c r="P201" s="22" t="n">
        <v>0</v>
      </c>
      <c r="Q201" s="22" t="n">
        <v>0</v>
      </c>
      <c r="R201" s="22" t="n">
        <v>0</v>
      </c>
      <c r="S201" s="22" t="n">
        <v>0</v>
      </c>
      <c r="T201" s="22" t="n">
        <v>0</v>
      </c>
      <c r="U201" s="3">
        <f>IF(OR(N201=1,Q201=1),1,0)</f>
        <v/>
      </c>
      <c r="V201" s="3">
        <f>IF(OR(T201=1,P201=1),1,0)</f>
        <v/>
      </c>
      <c r="W201" s="3">
        <f>IF(OR(J201=1),1,0)</f>
        <v/>
      </c>
      <c r="X201" s="3">
        <f>IF(OR(I201=1,H201=1),1,0)</f>
        <v/>
      </c>
      <c r="Y201" s="3">
        <f>IF(OR(G201=1),1,0)</f>
        <v/>
      </c>
      <c r="Z201" s="3">
        <f>IF(OR(F201=1),1,0)</f>
        <v/>
      </c>
      <c r="AA201" s="3">
        <f>IF(OR(M201=1),1,0)</f>
        <v/>
      </c>
    </row>
    <row r="202">
      <c r="A202" s="22" t="inlineStr">
        <is>
          <t>28e98c2fd24def765f2577f6189935a394bffbcb</t>
        </is>
      </c>
      <c r="B202" s="22" t="inlineStr">
        <is>
          <t>2026-08</t>
        </is>
      </c>
      <c r="C202" s="22" t="inlineStr">
        <is>
          <t>YouTube</t>
        </is>
      </c>
      <c r="D202" s="22" t="n">
        <v>0</v>
      </c>
      <c r="E202" s="22" t="inlineStr">
        <is>
          <t>TVC News Nigeria</t>
        </is>
      </c>
      <c r="F202" s="22" t="inlineStr">
        <is>
          <t>4ORqpE7dbds</t>
        </is>
      </c>
      <c r="G202" s="22" t="n">
        <v>0.959</v>
      </c>
      <c r="H202" s="22" t="n">
        <v>0</v>
      </c>
      <c r="I202" s="22" t="n">
        <v>0</v>
      </c>
      <c r="J202" s="22" t="n">
        <v>0</v>
      </c>
      <c r="K202" s="22" t="n">
        <v>0</v>
      </c>
      <c r="L202" s="22" t="n">
        <v>0</v>
      </c>
      <c r="M202" s="22" t="n">
        <v>0</v>
      </c>
      <c r="N202" s="22" t="n">
        <v>0</v>
      </c>
      <c r="O202" s="22" t="n">
        <v>0</v>
      </c>
      <c r="P202" s="22" t="n">
        <v>0</v>
      </c>
      <c r="Q202" s="22" t="n">
        <v>0</v>
      </c>
      <c r="R202" s="22" t="n">
        <v>0</v>
      </c>
      <c r="S202" s="22" t="n">
        <v>0</v>
      </c>
      <c r="T202" s="22" t="n">
        <v>0</v>
      </c>
      <c r="U202" s="3">
        <f>IF(OR(N202=1,Q202=1),1,0)</f>
        <v/>
      </c>
      <c r="V202" s="3">
        <f>IF(OR(T202=1,P202=1),1,0)</f>
        <v/>
      </c>
      <c r="W202" s="3">
        <f>IF(OR(J202=1),1,0)</f>
        <v/>
      </c>
      <c r="X202" s="3">
        <f>IF(OR(I202=1,H202=1),1,0)</f>
        <v/>
      </c>
      <c r="Y202" s="3">
        <f>IF(OR(G202=1),1,0)</f>
        <v/>
      </c>
      <c r="Z202" s="3">
        <f>IF(OR(F202=1),1,0)</f>
        <v/>
      </c>
      <c r="AA202" s="3">
        <f>IF(OR(M202=1),1,0)</f>
        <v/>
      </c>
    </row>
    <row r="203">
      <c r="A203" s="22" t="inlineStr">
        <is>
          <t>69714a998938675b3bd2114799550303ffb1a6cf</t>
        </is>
      </c>
      <c r="B203" s="22" t="inlineStr">
        <is>
          <t>2026-09</t>
        </is>
      </c>
      <c r="C203" s="22" t="inlineStr">
        <is>
          <t>YouTube</t>
        </is>
      </c>
      <c r="D203" s="22" t="n">
        <v>0</v>
      </c>
      <c r="E203" s="22" t="inlineStr">
        <is>
          <t>UCz79cjKSckANA3YLK4Uznxg</t>
        </is>
      </c>
      <c r="F203" s="22" t="inlineStr">
        <is>
          <t>T5Bw4cASDzk</t>
        </is>
      </c>
      <c r="G203" s="22" t="n">
        <v>-0.822</v>
      </c>
      <c r="H203" s="22" t="n">
        <v>1</v>
      </c>
      <c r="I203" s="22" t="n">
        <v>0</v>
      </c>
      <c r="J203" s="22" t="n">
        <v>0</v>
      </c>
      <c r="K203" s="22" t="n">
        <v>0</v>
      </c>
      <c r="L203" s="22" t="n">
        <v>0</v>
      </c>
      <c r="M203" s="22" t="n">
        <v>0</v>
      </c>
      <c r="N203" s="22" t="n">
        <v>0</v>
      </c>
      <c r="O203" s="22" t="n">
        <v>0</v>
      </c>
      <c r="P203" s="22" t="n">
        <v>0</v>
      </c>
      <c r="Q203" s="22" t="n">
        <v>0</v>
      </c>
      <c r="R203" s="22" t="n">
        <v>0</v>
      </c>
      <c r="S203" s="22" t="n">
        <v>0</v>
      </c>
      <c r="T203" s="22" t="n">
        <v>0</v>
      </c>
      <c r="U203" s="3">
        <f>IF(OR(N203=1,Q203=1),1,0)</f>
        <v/>
      </c>
      <c r="V203" s="3">
        <f>IF(OR(T203=1,P203=1),1,0)</f>
        <v/>
      </c>
      <c r="W203" s="3">
        <f>IF(OR(J203=1),1,0)</f>
        <v/>
      </c>
      <c r="X203" s="3">
        <f>IF(OR(I203=1,H203=1),1,0)</f>
        <v/>
      </c>
      <c r="Y203" s="3">
        <f>IF(OR(G203=1),1,0)</f>
        <v/>
      </c>
      <c r="Z203" s="3">
        <f>IF(OR(F203=1),1,0)</f>
        <v/>
      </c>
      <c r="AA203" s="3">
        <f>IF(OR(M203=1),1,0)</f>
        <v/>
      </c>
    </row>
    <row r="204">
      <c r="A204" s="22" t="inlineStr">
        <is>
          <t>6101a3c937440209a632a9f5323fc08aaa569e5b</t>
        </is>
      </c>
      <c r="B204" s="22" t="inlineStr">
        <is>
          <t>2026-09</t>
        </is>
      </c>
      <c r="C204" s="22" t="inlineStr">
        <is>
          <t>YouTube</t>
        </is>
      </c>
      <c r="D204" s="22" t="n">
        <v>0</v>
      </c>
      <c r="E204" s="22" t="inlineStr">
        <is>
          <t>Arise News</t>
        </is>
      </c>
      <c r="F204" s="22" t="inlineStr">
        <is>
          <t>QP1vBT5HmNs</t>
        </is>
      </c>
      <c r="G204" s="22" t="n">
        <v>-0.8070000000000001</v>
      </c>
      <c r="H204" s="22" t="n">
        <v>1</v>
      </c>
      <c r="I204" s="22" t="n">
        <v>0</v>
      </c>
      <c r="J204" s="22" t="n">
        <v>0</v>
      </c>
      <c r="K204" s="22" t="n">
        <v>0</v>
      </c>
      <c r="L204" s="22" t="n">
        <v>0</v>
      </c>
      <c r="M204" s="22" t="n">
        <v>0</v>
      </c>
      <c r="N204" s="22" t="n">
        <v>0</v>
      </c>
      <c r="O204" s="22" t="n">
        <v>0</v>
      </c>
      <c r="P204" s="22" t="n">
        <v>0</v>
      </c>
      <c r="Q204" s="22" t="n">
        <v>0</v>
      </c>
      <c r="R204" s="22" t="n">
        <v>0</v>
      </c>
      <c r="S204" s="22" t="n">
        <v>0</v>
      </c>
      <c r="T204" s="22" t="n">
        <v>0</v>
      </c>
      <c r="U204" s="3">
        <f>IF(OR(N204=1,Q204=1),1,0)</f>
        <v/>
      </c>
      <c r="V204" s="3">
        <f>IF(OR(T204=1,P204=1),1,0)</f>
        <v/>
      </c>
      <c r="W204" s="3">
        <f>IF(OR(J204=1),1,0)</f>
        <v/>
      </c>
      <c r="X204" s="3">
        <f>IF(OR(I204=1,H204=1),1,0)</f>
        <v/>
      </c>
      <c r="Y204" s="3">
        <f>IF(OR(G204=1),1,0)</f>
        <v/>
      </c>
      <c r="Z204" s="3">
        <f>IF(OR(F204=1),1,0)</f>
        <v/>
      </c>
      <c r="AA204" s="3">
        <f>IF(OR(M204=1),1,0)</f>
        <v/>
      </c>
    </row>
    <row r="205">
      <c r="A205" s="22" t="inlineStr">
        <is>
          <t>4db9feafd25b308305a43153b970beefbf607374</t>
        </is>
      </c>
      <c r="B205" s="22" t="inlineStr">
        <is>
          <t>2026-09</t>
        </is>
      </c>
      <c r="C205" s="22" t="inlineStr">
        <is>
          <t>YouTube</t>
        </is>
      </c>
      <c r="D205" s="22" t="n">
        <v>0</v>
      </c>
      <c r="E205" s="22" t="inlineStr">
        <is>
          <t>UCs7QjQxteWFxnW29VMJwVVA</t>
        </is>
      </c>
      <c r="F205" s="22" t="inlineStr">
        <is>
          <t>OfNvlJvJUjQ</t>
        </is>
      </c>
      <c r="G205" s="22" t="n">
        <v>0.731</v>
      </c>
      <c r="H205" s="22" t="n">
        <v>1</v>
      </c>
      <c r="I205" s="22" t="n">
        <v>0</v>
      </c>
      <c r="J205" s="22" t="n">
        <v>0</v>
      </c>
      <c r="K205" s="22" t="n">
        <v>0</v>
      </c>
      <c r="L205" s="22" t="n">
        <v>0</v>
      </c>
      <c r="M205" s="22" t="n">
        <v>0</v>
      </c>
      <c r="N205" s="22" t="n">
        <v>0</v>
      </c>
      <c r="O205" s="22" t="n">
        <v>0</v>
      </c>
      <c r="P205" s="22" t="n">
        <v>0</v>
      </c>
      <c r="Q205" s="22" t="n">
        <v>0</v>
      </c>
      <c r="R205" s="22" t="n">
        <v>0</v>
      </c>
      <c r="S205" s="22" t="n">
        <v>0</v>
      </c>
      <c r="T205" s="22" t="n">
        <v>0</v>
      </c>
      <c r="U205" s="3">
        <f>IF(OR(N205=1,Q205=1),1,0)</f>
        <v/>
      </c>
      <c r="V205" s="3">
        <f>IF(OR(T205=1,P205=1),1,0)</f>
        <v/>
      </c>
      <c r="W205" s="3">
        <f>IF(OR(J205=1),1,0)</f>
        <v/>
      </c>
      <c r="X205" s="3">
        <f>IF(OR(I205=1,H205=1),1,0)</f>
        <v/>
      </c>
      <c r="Y205" s="3">
        <f>IF(OR(G205=1),1,0)</f>
        <v/>
      </c>
      <c r="Z205" s="3">
        <f>IF(OR(F205=1),1,0)</f>
        <v/>
      </c>
      <c r="AA205" s="3">
        <f>IF(OR(M205=1),1,0)</f>
        <v/>
      </c>
    </row>
    <row r="206">
      <c r="A206" s="22" t="inlineStr">
        <is>
          <t>d0f5baef6e4bd75220810016a468f5a0d14bdba4</t>
        </is>
      </c>
      <c r="B206" s="22" t="inlineStr">
        <is>
          <t>2026-09</t>
        </is>
      </c>
      <c r="C206" s="22" t="inlineStr">
        <is>
          <t>YouTube</t>
        </is>
      </c>
      <c r="D206" s="22" t="n">
        <v>0</v>
      </c>
      <c r="E206" s="22" t="inlineStr">
        <is>
          <t>Channels Television</t>
        </is>
      </c>
      <c r="F206" s="22" t="inlineStr">
        <is>
          <t>QR3zUutNa3Y</t>
        </is>
      </c>
      <c r="G206" s="22" t="n">
        <v>-0.883</v>
      </c>
      <c r="H206" s="22" t="n">
        <v>0</v>
      </c>
      <c r="I206" s="22" t="n">
        <v>0</v>
      </c>
      <c r="J206" s="22" t="n">
        <v>0</v>
      </c>
      <c r="K206" s="22" t="n">
        <v>0</v>
      </c>
      <c r="L206" s="22" t="n">
        <v>0</v>
      </c>
      <c r="M206" s="22" t="n">
        <v>1</v>
      </c>
      <c r="N206" s="22" t="n">
        <v>0</v>
      </c>
      <c r="O206" s="22" t="n">
        <v>0</v>
      </c>
      <c r="P206" s="22" t="n">
        <v>0</v>
      </c>
      <c r="Q206" s="22" t="n">
        <v>0</v>
      </c>
      <c r="R206" s="22" t="n">
        <v>0</v>
      </c>
      <c r="S206" s="22" t="n">
        <v>0</v>
      </c>
      <c r="T206" s="22" t="n">
        <v>0</v>
      </c>
      <c r="U206" s="3">
        <f>IF(OR(N206=1,Q206=1),1,0)</f>
        <v/>
      </c>
      <c r="V206" s="3">
        <f>IF(OR(T206=1,P206=1),1,0)</f>
        <v/>
      </c>
      <c r="W206" s="3">
        <f>IF(OR(J206=1),1,0)</f>
        <v/>
      </c>
      <c r="X206" s="3">
        <f>IF(OR(I206=1,H206=1),1,0)</f>
        <v/>
      </c>
      <c r="Y206" s="3">
        <f>IF(OR(G206=1),1,0)</f>
        <v/>
      </c>
      <c r="Z206" s="3">
        <f>IF(OR(F206=1),1,0)</f>
        <v/>
      </c>
      <c r="AA206" s="3">
        <f>IF(OR(M206=1),1,0)</f>
        <v/>
      </c>
    </row>
    <row r="207">
      <c r="A207" s="22" t="inlineStr">
        <is>
          <t>8d2ddb2f0efcfd78d3e09c24c4e6968c343da376</t>
        </is>
      </c>
      <c r="B207" s="22" t="inlineStr">
        <is>
          <t>2026-09</t>
        </is>
      </c>
      <c r="C207" s="22" t="inlineStr">
        <is>
          <t>YouTube</t>
        </is>
      </c>
      <c r="D207" s="22" t="n">
        <v>0</v>
      </c>
      <c r="E207" s="22" t="inlineStr">
        <is>
          <t>Channels Television</t>
        </is>
      </c>
      <c r="F207" s="22" t="inlineStr">
        <is>
          <t>QR3zUutNa3Y</t>
        </is>
      </c>
      <c r="G207" s="22" t="n">
        <v>-0.477</v>
      </c>
      <c r="H207" s="22" t="n">
        <v>0</v>
      </c>
      <c r="I207" s="22" t="n">
        <v>0</v>
      </c>
      <c r="J207" s="22" t="n">
        <v>0</v>
      </c>
      <c r="K207" s="22" t="n">
        <v>0</v>
      </c>
      <c r="L207" s="22" t="n">
        <v>0</v>
      </c>
      <c r="M207" s="22" t="n">
        <v>1</v>
      </c>
      <c r="N207" s="22" t="n">
        <v>0</v>
      </c>
      <c r="O207" s="22" t="n">
        <v>0</v>
      </c>
      <c r="P207" s="22" t="n">
        <v>0</v>
      </c>
      <c r="Q207" s="22" t="n">
        <v>0</v>
      </c>
      <c r="R207" s="22" t="n">
        <v>0</v>
      </c>
      <c r="S207" s="22" t="n">
        <v>0</v>
      </c>
      <c r="T207" s="22" t="n">
        <v>0</v>
      </c>
      <c r="U207" s="3">
        <f>IF(OR(N207=1,Q207=1),1,0)</f>
        <v/>
      </c>
      <c r="V207" s="3">
        <f>IF(OR(T207=1,P207=1),1,0)</f>
        <v/>
      </c>
      <c r="W207" s="3">
        <f>IF(OR(J207=1),1,0)</f>
        <v/>
      </c>
      <c r="X207" s="3">
        <f>IF(OR(I207=1,H207=1),1,0)</f>
        <v/>
      </c>
      <c r="Y207" s="3">
        <f>IF(OR(G207=1),1,0)</f>
        <v/>
      </c>
      <c r="Z207" s="3">
        <f>IF(OR(F207=1),1,0)</f>
        <v/>
      </c>
      <c r="AA207" s="3">
        <f>IF(OR(M207=1),1,0)</f>
        <v/>
      </c>
    </row>
    <row r="208">
      <c r="A208" s="22" t="inlineStr">
        <is>
          <t>357a1b46ceb7217d3723dad1a9fa5852c8f3b312</t>
        </is>
      </c>
      <c r="B208" s="22" t="inlineStr">
        <is>
          <t>2026-09</t>
        </is>
      </c>
      <c r="C208" s="22" t="inlineStr">
        <is>
          <t>YouTube</t>
        </is>
      </c>
      <c r="D208" s="22" t="n">
        <v>0</v>
      </c>
      <c r="E208" s="22" t="inlineStr">
        <is>
          <t>Channels Television</t>
        </is>
      </c>
      <c r="F208" s="22" t="inlineStr">
        <is>
          <t>QR3zUutNa3Y</t>
        </is>
      </c>
      <c r="G208" s="22" t="n">
        <v>-0.586</v>
      </c>
      <c r="H208" s="22" t="n">
        <v>1</v>
      </c>
      <c r="I208" s="22" t="n">
        <v>0</v>
      </c>
      <c r="J208" s="22" t="n">
        <v>0</v>
      </c>
      <c r="K208" s="22" t="n">
        <v>0</v>
      </c>
      <c r="L208" s="22" t="n">
        <v>0</v>
      </c>
      <c r="M208" s="22" t="n">
        <v>0</v>
      </c>
      <c r="N208" s="22" t="n">
        <v>0</v>
      </c>
      <c r="O208" s="22" t="n">
        <v>0</v>
      </c>
      <c r="P208" s="22" t="n">
        <v>0</v>
      </c>
      <c r="Q208" s="22" t="n">
        <v>0</v>
      </c>
      <c r="R208" s="22" t="n">
        <v>0</v>
      </c>
      <c r="S208" s="22" t="n">
        <v>0</v>
      </c>
      <c r="T208" s="22" t="n">
        <v>0</v>
      </c>
      <c r="U208" s="3">
        <f>IF(OR(N208=1,Q208=1),1,0)</f>
        <v/>
      </c>
      <c r="V208" s="3">
        <f>IF(OR(T208=1,P208=1),1,0)</f>
        <v/>
      </c>
      <c r="W208" s="3">
        <f>IF(OR(J208=1),1,0)</f>
        <v/>
      </c>
      <c r="X208" s="3">
        <f>IF(OR(I208=1,H208=1),1,0)</f>
        <v/>
      </c>
      <c r="Y208" s="3">
        <f>IF(OR(G208=1),1,0)</f>
        <v/>
      </c>
      <c r="Z208" s="3">
        <f>IF(OR(F208=1),1,0)</f>
        <v/>
      </c>
      <c r="AA208" s="3">
        <f>IF(OR(M208=1),1,0)</f>
        <v/>
      </c>
    </row>
    <row r="209">
      <c r="A209" s="22" t="inlineStr">
        <is>
          <t>51f213ac286705e4a98fa44df7ab5fc7fc1c495b</t>
        </is>
      </c>
      <c r="B209" s="22" t="inlineStr">
        <is>
          <t>2026-09</t>
        </is>
      </c>
      <c r="C209" s="22" t="inlineStr">
        <is>
          <t>YouTube</t>
        </is>
      </c>
      <c r="D209" s="22" t="n">
        <v>0</v>
      </c>
      <c r="E209" s="22" t="inlineStr">
        <is>
          <t>Channels Television</t>
        </is>
      </c>
      <c r="F209" s="22" t="inlineStr">
        <is>
          <t>QR3zUutNa3Y</t>
        </is>
      </c>
      <c r="G209" s="22" t="n">
        <v>0</v>
      </c>
      <c r="H209" s="22" t="n">
        <v>1</v>
      </c>
      <c r="I209" s="22" t="n">
        <v>0</v>
      </c>
      <c r="J209" s="22" t="n">
        <v>0</v>
      </c>
      <c r="K209" s="22" t="n">
        <v>0</v>
      </c>
      <c r="L209" s="22" t="n">
        <v>0</v>
      </c>
      <c r="M209" s="22" t="n">
        <v>0</v>
      </c>
      <c r="N209" s="22" t="n">
        <v>0</v>
      </c>
      <c r="O209" s="22" t="n">
        <v>0</v>
      </c>
      <c r="P209" s="22" t="n">
        <v>0</v>
      </c>
      <c r="Q209" s="22" t="n">
        <v>0</v>
      </c>
      <c r="R209" s="22" t="n">
        <v>0</v>
      </c>
      <c r="S209" s="22" t="n">
        <v>0</v>
      </c>
      <c r="T209" s="22" t="n">
        <v>0</v>
      </c>
      <c r="U209" s="3">
        <f>IF(OR(N209=1,Q209=1),1,0)</f>
        <v/>
      </c>
      <c r="V209" s="3">
        <f>IF(OR(T209=1,P209=1),1,0)</f>
        <v/>
      </c>
      <c r="W209" s="3">
        <f>IF(OR(J209=1),1,0)</f>
        <v/>
      </c>
      <c r="X209" s="3">
        <f>IF(OR(I209=1,H209=1),1,0)</f>
        <v/>
      </c>
      <c r="Y209" s="3">
        <f>IF(OR(G209=1),1,0)</f>
        <v/>
      </c>
      <c r="Z209" s="3">
        <f>IF(OR(F209=1),1,0)</f>
        <v/>
      </c>
      <c r="AA209" s="3">
        <f>IF(OR(M209=1),1,0)</f>
        <v/>
      </c>
    </row>
    <row r="210">
      <c r="A210" s="22" t="inlineStr">
        <is>
          <t>b7755023cdbfdc030324b9eb12c5c72a667b1bde</t>
        </is>
      </c>
      <c r="B210" s="22" t="inlineStr">
        <is>
          <t>2026-09</t>
        </is>
      </c>
      <c r="C210" s="22" t="inlineStr">
        <is>
          <t>YouTube</t>
        </is>
      </c>
      <c r="D210" s="22" t="n">
        <v>0</v>
      </c>
      <c r="E210" s="22" t="inlineStr">
        <is>
          <t>Channels Television</t>
        </is>
      </c>
      <c r="F210" s="22" t="inlineStr">
        <is>
          <t>QR3zUutNa3Y</t>
        </is>
      </c>
      <c r="G210" s="22" t="n">
        <v>-0.302</v>
      </c>
      <c r="H210" s="22" t="n">
        <v>0</v>
      </c>
      <c r="I210" s="22" t="n">
        <v>1</v>
      </c>
      <c r="J210" s="22" t="n">
        <v>0</v>
      </c>
      <c r="K210" s="22" t="n">
        <v>0</v>
      </c>
      <c r="L210" s="22" t="n">
        <v>0</v>
      </c>
      <c r="M210" s="22" t="n">
        <v>1</v>
      </c>
      <c r="N210" s="22" t="n">
        <v>0</v>
      </c>
      <c r="O210" s="22" t="n">
        <v>0</v>
      </c>
      <c r="P210" s="22" t="n">
        <v>0</v>
      </c>
      <c r="Q210" s="22" t="n">
        <v>0</v>
      </c>
      <c r="R210" s="22" t="n">
        <v>0</v>
      </c>
      <c r="S210" s="22" t="n">
        <v>0</v>
      </c>
      <c r="T210" s="22" t="n">
        <v>0</v>
      </c>
      <c r="U210" s="3">
        <f>IF(OR(N210=1,Q210=1),1,0)</f>
        <v/>
      </c>
      <c r="V210" s="3">
        <f>IF(OR(T210=1,P210=1),1,0)</f>
        <v/>
      </c>
      <c r="W210" s="3">
        <f>IF(OR(J210=1),1,0)</f>
        <v/>
      </c>
      <c r="X210" s="3">
        <f>IF(OR(I210=1,H210=1),1,0)</f>
        <v/>
      </c>
      <c r="Y210" s="3">
        <f>IF(OR(G210=1),1,0)</f>
        <v/>
      </c>
      <c r="Z210" s="3">
        <f>IF(OR(F210=1),1,0)</f>
        <v/>
      </c>
      <c r="AA210" s="3">
        <f>IF(OR(M210=1),1,0)</f>
        <v/>
      </c>
    </row>
    <row r="211">
      <c r="A211" s="22" t="inlineStr">
        <is>
          <t>ee1d28556b20db38b35c5903ba081263126e2732</t>
        </is>
      </c>
      <c r="B211" s="22" t="inlineStr">
        <is>
          <t>2026-09</t>
        </is>
      </c>
      <c r="C211" s="22" t="inlineStr">
        <is>
          <t>YouTube</t>
        </is>
      </c>
      <c r="D211" s="22" t="n">
        <v>0</v>
      </c>
      <c r="E211" s="22" t="inlineStr">
        <is>
          <t>Channels Television</t>
        </is>
      </c>
      <c r="F211" s="22" t="inlineStr">
        <is>
          <t>QR3zUutNa3Y</t>
        </is>
      </c>
      <c r="G211" s="22" t="n">
        <v>-0.273</v>
      </c>
      <c r="H211" s="22" t="n">
        <v>0</v>
      </c>
      <c r="I211" s="22" t="n">
        <v>1</v>
      </c>
      <c r="J211" s="22" t="n">
        <v>0</v>
      </c>
      <c r="K211" s="22" t="n">
        <v>0</v>
      </c>
      <c r="L211" s="22" t="n">
        <v>0</v>
      </c>
      <c r="M211" s="22" t="n">
        <v>0</v>
      </c>
      <c r="N211" s="22" t="n">
        <v>0</v>
      </c>
      <c r="O211" s="22" t="n">
        <v>0</v>
      </c>
      <c r="P211" s="22" t="n">
        <v>0</v>
      </c>
      <c r="Q211" s="22" t="n">
        <v>0</v>
      </c>
      <c r="R211" s="22" t="n">
        <v>0</v>
      </c>
      <c r="S211" s="22" t="n">
        <v>0</v>
      </c>
      <c r="T211" s="22" t="n">
        <v>0</v>
      </c>
      <c r="U211" s="3">
        <f>IF(OR(N211=1,Q211=1),1,0)</f>
        <v/>
      </c>
      <c r="V211" s="3">
        <f>IF(OR(T211=1,P211=1),1,0)</f>
        <v/>
      </c>
      <c r="W211" s="3">
        <f>IF(OR(J211=1),1,0)</f>
        <v/>
      </c>
      <c r="X211" s="3">
        <f>IF(OR(I211=1,H211=1),1,0)</f>
        <v/>
      </c>
      <c r="Y211" s="3">
        <f>IF(OR(G211=1),1,0)</f>
        <v/>
      </c>
      <c r="Z211" s="3">
        <f>IF(OR(F211=1),1,0)</f>
        <v/>
      </c>
      <c r="AA211" s="3">
        <f>IF(OR(M211=1),1,0)</f>
        <v/>
      </c>
    </row>
    <row r="212">
      <c r="A212" s="22" t="inlineStr">
        <is>
          <t>a42599bf36057d60aee5248892cc4c10c4f7c642</t>
        </is>
      </c>
      <c r="B212" s="22" t="inlineStr">
        <is>
          <t>2026-09</t>
        </is>
      </c>
      <c r="C212" s="22" t="inlineStr">
        <is>
          <t>YouTube</t>
        </is>
      </c>
      <c r="D212" s="22" t="n">
        <v>0</v>
      </c>
      <c r="E212" s="22" t="inlineStr">
        <is>
          <t>Channels Television</t>
        </is>
      </c>
      <c r="F212" s="22" t="inlineStr">
        <is>
          <t>QR3zUutNa3Y</t>
        </is>
      </c>
      <c r="G212" s="22" t="n">
        <v>0.25</v>
      </c>
      <c r="H212" s="22" t="n">
        <v>0</v>
      </c>
      <c r="I212" s="22" t="n">
        <v>0</v>
      </c>
      <c r="J212" s="22" t="n">
        <v>0</v>
      </c>
      <c r="K212" s="22" t="n">
        <v>0</v>
      </c>
      <c r="L212" s="22" t="n">
        <v>0</v>
      </c>
      <c r="M212" s="22" t="n">
        <v>0</v>
      </c>
      <c r="N212" s="22" t="n">
        <v>0</v>
      </c>
      <c r="O212" s="22" t="n">
        <v>1</v>
      </c>
      <c r="P212" s="22" t="n">
        <v>0</v>
      </c>
      <c r="Q212" s="22" t="n">
        <v>0</v>
      </c>
      <c r="R212" s="22" t="n">
        <v>0</v>
      </c>
      <c r="S212" s="22" t="n">
        <v>0</v>
      </c>
      <c r="T212" s="22" t="n">
        <v>0</v>
      </c>
      <c r="U212" s="3">
        <f>IF(OR(N212=1,Q212=1),1,0)</f>
        <v/>
      </c>
      <c r="V212" s="3">
        <f>IF(OR(T212=1,P212=1),1,0)</f>
        <v/>
      </c>
      <c r="W212" s="3">
        <f>IF(OR(J212=1),1,0)</f>
        <v/>
      </c>
      <c r="X212" s="3">
        <f>IF(OR(I212=1,H212=1),1,0)</f>
        <v/>
      </c>
      <c r="Y212" s="3">
        <f>IF(OR(G212=1),1,0)</f>
        <v/>
      </c>
      <c r="Z212" s="3">
        <f>IF(OR(F212=1),1,0)</f>
        <v/>
      </c>
      <c r="AA212" s="3">
        <f>IF(OR(M212=1),1,0)</f>
        <v/>
      </c>
    </row>
    <row r="213">
      <c r="A213" s="22" t="inlineStr">
        <is>
          <t>a4102ca0f88d418aee21f607ad5a0d15f4f88f66</t>
        </is>
      </c>
      <c r="B213" s="22" t="inlineStr">
        <is>
          <t>2026-09</t>
        </is>
      </c>
      <c r="C213" s="22" t="inlineStr">
        <is>
          <t>YouTube</t>
        </is>
      </c>
      <c r="D213" s="22" t="n">
        <v>0</v>
      </c>
      <c r="E213" s="22" t="inlineStr">
        <is>
          <t>Channels Television</t>
        </is>
      </c>
      <c r="F213" s="22" t="inlineStr">
        <is>
          <t>QR3zUutNa3Y</t>
        </is>
      </c>
      <c r="G213" s="22" t="n">
        <v>0.38</v>
      </c>
      <c r="H213" s="22" t="n">
        <v>1</v>
      </c>
      <c r="I213" s="22" t="n">
        <v>1</v>
      </c>
      <c r="J213" s="22" t="n">
        <v>0</v>
      </c>
      <c r="K213" s="22" t="n">
        <v>0</v>
      </c>
      <c r="L213" s="22" t="n">
        <v>0</v>
      </c>
      <c r="M213" s="22" t="n">
        <v>0</v>
      </c>
      <c r="N213" s="22" t="n">
        <v>0</v>
      </c>
      <c r="O213" s="22" t="n">
        <v>0</v>
      </c>
      <c r="P213" s="22" t="n">
        <v>0</v>
      </c>
      <c r="Q213" s="22" t="n">
        <v>0</v>
      </c>
      <c r="R213" s="22" t="n">
        <v>0</v>
      </c>
      <c r="S213" s="22" t="n">
        <v>0</v>
      </c>
      <c r="T213" s="22" t="n">
        <v>0</v>
      </c>
      <c r="U213" s="3">
        <f>IF(OR(N213=1,Q213=1),1,0)</f>
        <v/>
      </c>
      <c r="V213" s="3">
        <f>IF(OR(T213=1,P213=1),1,0)</f>
        <v/>
      </c>
      <c r="W213" s="3">
        <f>IF(OR(J213=1),1,0)</f>
        <v/>
      </c>
      <c r="X213" s="3">
        <f>IF(OR(I213=1,H213=1),1,0)</f>
        <v/>
      </c>
      <c r="Y213" s="3">
        <f>IF(OR(G213=1),1,0)</f>
        <v/>
      </c>
      <c r="Z213" s="3">
        <f>IF(OR(F213=1),1,0)</f>
        <v/>
      </c>
      <c r="AA213" s="3">
        <f>IF(OR(M213=1),1,0)</f>
        <v/>
      </c>
    </row>
    <row r="214">
      <c r="A214" s="22" t="inlineStr">
        <is>
          <t>5282467ac7d8980b4eb2d59a2be33c0ac3fa58fe</t>
        </is>
      </c>
      <c r="B214" s="22" t="inlineStr">
        <is>
          <t>2026-09</t>
        </is>
      </c>
      <c r="C214" s="22" t="inlineStr">
        <is>
          <t>YouTube</t>
        </is>
      </c>
      <c r="D214" s="22" t="n">
        <v>0</v>
      </c>
      <c r="E214" s="22" t="inlineStr">
        <is>
          <t>Channels Television</t>
        </is>
      </c>
      <c r="F214" s="22" t="inlineStr">
        <is>
          <t>QR3zUutNa3Y</t>
        </is>
      </c>
      <c r="G214" s="22" t="n">
        <v>-0.897</v>
      </c>
      <c r="H214" s="22" t="n">
        <v>0</v>
      </c>
      <c r="I214" s="22" t="n">
        <v>0</v>
      </c>
      <c r="J214" s="22" t="n">
        <v>0</v>
      </c>
      <c r="K214" s="22" t="n">
        <v>0</v>
      </c>
      <c r="L214" s="22" t="n">
        <v>0</v>
      </c>
      <c r="M214" s="22" t="n">
        <v>1</v>
      </c>
      <c r="N214" s="22" t="n">
        <v>0</v>
      </c>
      <c r="O214" s="22" t="n">
        <v>0</v>
      </c>
      <c r="P214" s="22" t="n">
        <v>0</v>
      </c>
      <c r="Q214" s="22" t="n">
        <v>0</v>
      </c>
      <c r="R214" s="22" t="n">
        <v>0</v>
      </c>
      <c r="S214" s="22" t="n">
        <v>0</v>
      </c>
      <c r="T214" s="22" t="n">
        <v>0</v>
      </c>
      <c r="U214" s="3">
        <f>IF(OR(N214=1,Q214=1),1,0)</f>
        <v/>
      </c>
      <c r="V214" s="3">
        <f>IF(OR(T214=1,P214=1),1,0)</f>
        <v/>
      </c>
      <c r="W214" s="3">
        <f>IF(OR(J214=1),1,0)</f>
        <v/>
      </c>
      <c r="X214" s="3">
        <f>IF(OR(I214=1,H214=1),1,0)</f>
        <v/>
      </c>
      <c r="Y214" s="3">
        <f>IF(OR(G214=1),1,0)</f>
        <v/>
      </c>
      <c r="Z214" s="3">
        <f>IF(OR(F214=1),1,0)</f>
        <v/>
      </c>
      <c r="AA214" s="3">
        <f>IF(OR(M214=1),1,0)</f>
        <v/>
      </c>
    </row>
    <row r="215">
      <c r="A215" s="22" t="inlineStr">
        <is>
          <t>d60921a648b6fd8d244749ced9b663d268351cf0</t>
        </is>
      </c>
      <c r="B215" s="22" t="inlineStr">
        <is>
          <t>2026-09</t>
        </is>
      </c>
      <c r="C215" s="22" t="inlineStr">
        <is>
          <t>YouTube</t>
        </is>
      </c>
      <c r="D215" s="22" t="n">
        <v>0</v>
      </c>
      <c r="E215" s="22" t="inlineStr">
        <is>
          <t>Channels Television</t>
        </is>
      </c>
      <c r="F215" s="22" t="inlineStr">
        <is>
          <t>QR3zUutNa3Y</t>
        </is>
      </c>
      <c r="G215" s="22" t="n">
        <v>0.166</v>
      </c>
      <c r="H215" s="22" t="n">
        <v>1</v>
      </c>
      <c r="I215" s="22" t="n">
        <v>1</v>
      </c>
      <c r="J215" s="22" t="n">
        <v>0</v>
      </c>
      <c r="K215" s="22" t="n">
        <v>0</v>
      </c>
      <c r="L215" s="22" t="n">
        <v>0</v>
      </c>
      <c r="M215" s="22" t="n">
        <v>0</v>
      </c>
      <c r="N215" s="22" t="n">
        <v>0</v>
      </c>
      <c r="O215" s="22" t="n">
        <v>1</v>
      </c>
      <c r="P215" s="22" t="n">
        <v>0</v>
      </c>
      <c r="Q215" s="22" t="n">
        <v>0</v>
      </c>
      <c r="R215" s="22" t="n">
        <v>0</v>
      </c>
      <c r="S215" s="22" t="n">
        <v>0</v>
      </c>
      <c r="T215" s="22" t="n">
        <v>0</v>
      </c>
      <c r="U215" s="3">
        <f>IF(OR(N215=1,Q215=1),1,0)</f>
        <v/>
      </c>
      <c r="V215" s="3">
        <f>IF(OR(T215=1,P215=1),1,0)</f>
        <v/>
      </c>
      <c r="W215" s="3">
        <f>IF(OR(J215=1),1,0)</f>
        <v/>
      </c>
      <c r="X215" s="3">
        <f>IF(OR(I215=1,H215=1),1,0)</f>
        <v/>
      </c>
      <c r="Y215" s="3">
        <f>IF(OR(G215=1),1,0)</f>
        <v/>
      </c>
      <c r="Z215" s="3">
        <f>IF(OR(F215=1),1,0)</f>
        <v/>
      </c>
      <c r="AA215" s="3">
        <f>IF(OR(M215=1),1,0)</f>
        <v/>
      </c>
    </row>
    <row r="216">
      <c r="A216" s="22" t="inlineStr">
        <is>
          <t>5d05cf2c7d187fd454811258d9eeff877633b5cf</t>
        </is>
      </c>
      <c r="B216" s="22" t="inlineStr">
        <is>
          <t>2026-09</t>
        </is>
      </c>
      <c r="C216" s="22" t="inlineStr">
        <is>
          <t>YouTube</t>
        </is>
      </c>
      <c r="D216" s="22" t="n">
        <v>0</v>
      </c>
      <c r="E216" s="22" t="inlineStr">
        <is>
          <t>Channels Television</t>
        </is>
      </c>
      <c r="F216" s="22" t="inlineStr">
        <is>
          <t>QR3zUutNa3Y</t>
        </is>
      </c>
      <c r="G216" s="22" t="n">
        <v>-0.735</v>
      </c>
      <c r="H216" s="22" t="n">
        <v>0</v>
      </c>
      <c r="I216" s="22" t="n">
        <v>1</v>
      </c>
      <c r="J216" s="22" t="n">
        <v>0</v>
      </c>
      <c r="K216" s="22" t="n">
        <v>0</v>
      </c>
      <c r="L216" s="22" t="n">
        <v>0</v>
      </c>
      <c r="M216" s="22" t="n">
        <v>0</v>
      </c>
      <c r="N216" s="22" t="n">
        <v>0</v>
      </c>
      <c r="O216" s="22" t="n">
        <v>0</v>
      </c>
      <c r="P216" s="22" t="n">
        <v>0</v>
      </c>
      <c r="Q216" s="22" t="n">
        <v>0</v>
      </c>
      <c r="R216" s="22" t="n">
        <v>0</v>
      </c>
      <c r="S216" s="22" t="n">
        <v>0</v>
      </c>
      <c r="T216" s="22" t="n">
        <v>0</v>
      </c>
      <c r="U216" s="3">
        <f>IF(OR(N216=1,Q216=1),1,0)</f>
        <v/>
      </c>
      <c r="V216" s="3">
        <f>IF(OR(T216=1,P216=1),1,0)</f>
        <v/>
      </c>
      <c r="W216" s="3">
        <f>IF(OR(J216=1),1,0)</f>
        <v/>
      </c>
      <c r="X216" s="3">
        <f>IF(OR(I216=1,H216=1),1,0)</f>
        <v/>
      </c>
      <c r="Y216" s="3">
        <f>IF(OR(G216=1),1,0)</f>
        <v/>
      </c>
      <c r="Z216" s="3">
        <f>IF(OR(F216=1),1,0)</f>
        <v/>
      </c>
      <c r="AA216" s="3">
        <f>IF(OR(M216=1),1,0)</f>
        <v/>
      </c>
    </row>
    <row r="217">
      <c r="A217" s="22" t="inlineStr">
        <is>
          <t>230576a4d908921192e0292b31bf1f0e3e3de6e7</t>
        </is>
      </c>
      <c r="B217" s="22" t="inlineStr">
        <is>
          <t>2026-09</t>
        </is>
      </c>
      <c r="C217" s="22" t="inlineStr">
        <is>
          <t>YouTube</t>
        </is>
      </c>
      <c r="D217" s="22" t="n">
        <v>0</v>
      </c>
      <c r="E217" s="22" t="inlineStr">
        <is>
          <t>Channels Television</t>
        </is>
      </c>
      <c r="F217" s="22" t="inlineStr">
        <is>
          <t>QR3zUutNa3Y</t>
        </is>
      </c>
      <c r="G217" s="22" t="n">
        <v>0.875</v>
      </c>
      <c r="H217" s="22" t="n">
        <v>1</v>
      </c>
      <c r="I217" s="22" t="n">
        <v>0</v>
      </c>
      <c r="J217" s="22" t="n">
        <v>0</v>
      </c>
      <c r="K217" s="22" t="n">
        <v>0</v>
      </c>
      <c r="L217" s="22" t="n">
        <v>0</v>
      </c>
      <c r="M217" s="22" t="n">
        <v>0</v>
      </c>
      <c r="N217" s="22" t="n">
        <v>0</v>
      </c>
      <c r="O217" s="22" t="n">
        <v>1</v>
      </c>
      <c r="P217" s="22" t="n">
        <v>0</v>
      </c>
      <c r="Q217" s="22" t="n">
        <v>0</v>
      </c>
      <c r="R217" s="22" t="n">
        <v>0</v>
      </c>
      <c r="S217" s="22" t="n">
        <v>0</v>
      </c>
      <c r="T217" s="22" t="n">
        <v>0</v>
      </c>
      <c r="U217" s="3">
        <f>IF(OR(N217=1,Q217=1),1,0)</f>
        <v/>
      </c>
      <c r="V217" s="3">
        <f>IF(OR(T217=1,P217=1),1,0)</f>
        <v/>
      </c>
      <c r="W217" s="3">
        <f>IF(OR(J217=1),1,0)</f>
        <v/>
      </c>
      <c r="X217" s="3">
        <f>IF(OR(I217=1,H217=1),1,0)</f>
        <v/>
      </c>
      <c r="Y217" s="3">
        <f>IF(OR(G217=1),1,0)</f>
        <v/>
      </c>
      <c r="Z217" s="3">
        <f>IF(OR(F217=1),1,0)</f>
        <v/>
      </c>
      <c r="AA217" s="3">
        <f>IF(OR(M217=1),1,0)</f>
        <v/>
      </c>
    </row>
    <row r="218">
      <c r="A218" s="22" t="inlineStr">
        <is>
          <t>32ac92a4c8ce8061ecbe7c56957ae3b0239e19c2</t>
        </is>
      </c>
      <c r="B218" s="22" t="inlineStr">
        <is>
          <t>2026-09</t>
        </is>
      </c>
      <c r="C218" s="22" t="inlineStr">
        <is>
          <t>YouTube</t>
        </is>
      </c>
      <c r="D218" s="22" t="n">
        <v>0</v>
      </c>
      <c r="E218" s="22" t="inlineStr">
        <is>
          <t>Channels Television</t>
        </is>
      </c>
      <c r="F218" s="22" t="inlineStr">
        <is>
          <t>QR3zUutNa3Y</t>
        </is>
      </c>
      <c r="G218" s="22" t="n">
        <v>0.103</v>
      </c>
      <c r="H218" s="22" t="n">
        <v>1</v>
      </c>
      <c r="I218" s="22" t="n">
        <v>0</v>
      </c>
      <c r="J218" s="22" t="n">
        <v>0</v>
      </c>
      <c r="K218" s="22" t="n">
        <v>0</v>
      </c>
      <c r="L218" s="22" t="n">
        <v>0</v>
      </c>
      <c r="M218" s="22" t="n">
        <v>0</v>
      </c>
      <c r="N218" s="22" t="n">
        <v>0</v>
      </c>
      <c r="O218" s="22" t="n">
        <v>1</v>
      </c>
      <c r="P218" s="22" t="n">
        <v>0</v>
      </c>
      <c r="Q218" s="22" t="n">
        <v>0</v>
      </c>
      <c r="R218" s="22" t="n">
        <v>0</v>
      </c>
      <c r="S218" s="22" t="n">
        <v>0</v>
      </c>
      <c r="T218" s="22" t="n">
        <v>0</v>
      </c>
      <c r="U218" s="3">
        <f>IF(OR(N218=1,Q218=1),1,0)</f>
        <v/>
      </c>
      <c r="V218" s="3">
        <f>IF(OR(T218=1,P218=1),1,0)</f>
        <v/>
      </c>
      <c r="W218" s="3">
        <f>IF(OR(J218=1),1,0)</f>
        <v/>
      </c>
      <c r="X218" s="3">
        <f>IF(OR(I218=1,H218=1),1,0)</f>
        <v/>
      </c>
      <c r="Y218" s="3">
        <f>IF(OR(G218=1),1,0)</f>
        <v/>
      </c>
      <c r="Z218" s="3">
        <f>IF(OR(F218=1),1,0)</f>
        <v/>
      </c>
      <c r="AA218" s="3">
        <f>IF(OR(M218=1),1,0)</f>
        <v/>
      </c>
    </row>
    <row r="219">
      <c r="A219" s="22" t="inlineStr">
        <is>
          <t>ef3cadd13cda7c1214ae8101ad711b121cf7841e</t>
        </is>
      </c>
      <c r="B219" s="22" t="inlineStr">
        <is>
          <t>2026-09</t>
        </is>
      </c>
      <c r="C219" s="22" t="inlineStr">
        <is>
          <t>YouTube</t>
        </is>
      </c>
      <c r="D219" s="22" t="n">
        <v>0</v>
      </c>
      <c r="E219" s="22" t="inlineStr">
        <is>
          <t>Channels Television</t>
        </is>
      </c>
      <c r="F219" s="22" t="inlineStr">
        <is>
          <t>QR3zUutNa3Y</t>
        </is>
      </c>
      <c r="G219" s="22" t="n">
        <v>-0.7</v>
      </c>
      <c r="H219" s="22" t="n">
        <v>0</v>
      </c>
      <c r="I219" s="22" t="n">
        <v>0</v>
      </c>
      <c r="J219" s="22" t="n">
        <v>0</v>
      </c>
      <c r="K219" s="22" t="n">
        <v>0</v>
      </c>
      <c r="L219" s="22" t="n">
        <v>0</v>
      </c>
      <c r="M219" s="22" t="n">
        <v>0</v>
      </c>
      <c r="N219" s="22" t="n">
        <v>0</v>
      </c>
      <c r="O219" s="22" t="n">
        <v>1</v>
      </c>
      <c r="P219" s="22" t="n">
        <v>0</v>
      </c>
      <c r="Q219" s="22" t="n">
        <v>0</v>
      </c>
      <c r="R219" s="22" t="n">
        <v>0</v>
      </c>
      <c r="S219" s="22" t="n">
        <v>0</v>
      </c>
      <c r="T219" s="22" t="n">
        <v>0</v>
      </c>
      <c r="U219" s="3">
        <f>IF(OR(N219=1,Q219=1),1,0)</f>
        <v/>
      </c>
      <c r="V219" s="3">
        <f>IF(OR(T219=1,P219=1),1,0)</f>
        <v/>
      </c>
      <c r="W219" s="3">
        <f>IF(OR(J219=1),1,0)</f>
        <v/>
      </c>
      <c r="X219" s="3">
        <f>IF(OR(I219=1,H219=1),1,0)</f>
        <v/>
      </c>
      <c r="Y219" s="3">
        <f>IF(OR(G219=1),1,0)</f>
        <v/>
      </c>
      <c r="Z219" s="3">
        <f>IF(OR(F219=1),1,0)</f>
        <v/>
      </c>
      <c r="AA219" s="3">
        <f>IF(OR(M219=1),1,0)</f>
        <v/>
      </c>
    </row>
    <row r="220">
      <c r="A220" s="22" t="inlineStr">
        <is>
          <t>9dedb55ad3148c322b34c40f458d44fb46535aab</t>
        </is>
      </c>
      <c r="B220" s="22" t="inlineStr">
        <is>
          <t>2026-09</t>
        </is>
      </c>
      <c r="C220" s="22" t="inlineStr">
        <is>
          <t>YouTube</t>
        </is>
      </c>
      <c r="D220" s="22" t="n">
        <v>0</v>
      </c>
      <c r="E220" s="22" t="inlineStr">
        <is>
          <t>Channels Television</t>
        </is>
      </c>
      <c r="F220" s="22" t="inlineStr">
        <is>
          <t>QR3zUutNa3Y</t>
        </is>
      </c>
      <c r="G220" s="22" t="n">
        <v>0.848</v>
      </c>
      <c r="H220" s="22" t="n">
        <v>0</v>
      </c>
      <c r="I220" s="22" t="n">
        <v>1</v>
      </c>
      <c r="J220" s="22" t="n">
        <v>0</v>
      </c>
      <c r="K220" s="22" t="n">
        <v>0</v>
      </c>
      <c r="L220" s="22" t="n">
        <v>0</v>
      </c>
      <c r="M220" s="22" t="n">
        <v>0</v>
      </c>
      <c r="N220" s="22" t="n">
        <v>0</v>
      </c>
      <c r="O220" s="22" t="n">
        <v>0</v>
      </c>
      <c r="P220" s="22" t="n">
        <v>0</v>
      </c>
      <c r="Q220" s="22" t="n">
        <v>0</v>
      </c>
      <c r="R220" s="22" t="n">
        <v>0</v>
      </c>
      <c r="S220" s="22" t="n">
        <v>0</v>
      </c>
      <c r="T220" s="22" t="n">
        <v>0</v>
      </c>
      <c r="U220" s="3">
        <f>IF(OR(N220=1,Q220=1),1,0)</f>
        <v/>
      </c>
      <c r="V220" s="3">
        <f>IF(OR(T220=1,P220=1),1,0)</f>
        <v/>
      </c>
      <c r="W220" s="3">
        <f>IF(OR(J220=1),1,0)</f>
        <v/>
      </c>
      <c r="X220" s="3">
        <f>IF(OR(I220=1,H220=1),1,0)</f>
        <v/>
      </c>
      <c r="Y220" s="3">
        <f>IF(OR(G220=1),1,0)</f>
        <v/>
      </c>
      <c r="Z220" s="3">
        <f>IF(OR(F220=1),1,0)</f>
        <v/>
      </c>
      <c r="AA220" s="3">
        <f>IF(OR(M220=1),1,0)</f>
        <v/>
      </c>
    </row>
    <row r="221">
      <c r="A221" s="22" t="inlineStr">
        <is>
          <t>721bac6b4a07b61084405b4bdde6917bdb9bf9dd</t>
        </is>
      </c>
      <c r="B221" s="22" t="inlineStr">
        <is>
          <t>2026-09</t>
        </is>
      </c>
      <c r="C221" s="22" t="inlineStr">
        <is>
          <t>YouTube</t>
        </is>
      </c>
      <c r="D221" s="22" t="n">
        <v>0</v>
      </c>
      <c r="E221" s="22" t="inlineStr">
        <is>
          <t>Channels Television</t>
        </is>
      </c>
      <c r="F221" s="22" t="inlineStr">
        <is>
          <t>QR3zUutNa3Y</t>
        </is>
      </c>
      <c r="G221" s="22" t="n">
        <v>-0.9330000000000001</v>
      </c>
      <c r="H221" s="22" t="n">
        <v>0</v>
      </c>
      <c r="I221" s="22" t="n">
        <v>0</v>
      </c>
      <c r="J221" s="22" t="n">
        <v>0</v>
      </c>
      <c r="K221" s="22" t="n">
        <v>0</v>
      </c>
      <c r="L221" s="22" t="n">
        <v>0</v>
      </c>
      <c r="M221" s="22" t="n">
        <v>1</v>
      </c>
      <c r="N221" s="22" t="n">
        <v>0</v>
      </c>
      <c r="O221" s="22" t="n">
        <v>0</v>
      </c>
      <c r="P221" s="22" t="n">
        <v>0</v>
      </c>
      <c r="Q221" s="22" t="n">
        <v>0</v>
      </c>
      <c r="R221" s="22" t="n">
        <v>0</v>
      </c>
      <c r="S221" s="22" t="n">
        <v>0</v>
      </c>
      <c r="T221" s="22" t="n">
        <v>0</v>
      </c>
      <c r="U221" s="3">
        <f>IF(OR(N221=1,Q221=1),1,0)</f>
        <v/>
      </c>
      <c r="V221" s="3">
        <f>IF(OR(T221=1,P221=1),1,0)</f>
        <v/>
      </c>
      <c r="W221" s="3">
        <f>IF(OR(J221=1),1,0)</f>
        <v/>
      </c>
      <c r="X221" s="3">
        <f>IF(OR(I221=1,H221=1),1,0)</f>
        <v/>
      </c>
      <c r="Y221" s="3">
        <f>IF(OR(G221=1),1,0)</f>
        <v/>
      </c>
      <c r="Z221" s="3">
        <f>IF(OR(F221=1),1,0)</f>
        <v/>
      </c>
      <c r="AA221" s="3">
        <f>IF(OR(M221=1),1,0)</f>
        <v/>
      </c>
    </row>
    <row r="222">
      <c r="A222" s="22" t="inlineStr">
        <is>
          <t>c1e3e27c76f9a0219fc19c79e5064b99d5ab4e9b</t>
        </is>
      </c>
      <c r="B222" s="22" t="inlineStr">
        <is>
          <t>2026-09</t>
        </is>
      </c>
      <c r="C222" s="22" t="inlineStr">
        <is>
          <t>YouTube</t>
        </is>
      </c>
      <c r="D222" s="22" t="n">
        <v>0</v>
      </c>
      <c r="E222" s="22" t="inlineStr">
        <is>
          <t>Channels Television</t>
        </is>
      </c>
      <c r="F222" s="22" t="inlineStr">
        <is>
          <t>QR3zUutNa3Y</t>
        </is>
      </c>
      <c r="G222" s="22" t="n">
        <v>0.361</v>
      </c>
      <c r="H222" s="22" t="n">
        <v>0</v>
      </c>
      <c r="I222" s="22" t="n">
        <v>1</v>
      </c>
      <c r="J222" s="22" t="n">
        <v>0</v>
      </c>
      <c r="K222" s="22" t="n">
        <v>0</v>
      </c>
      <c r="L222" s="22" t="n">
        <v>0</v>
      </c>
      <c r="M222" s="22" t="n">
        <v>0</v>
      </c>
      <c r="N222" s="22" t="n">
        <v>0</v>
      </c>
      <c r="O222" s="22" t="n">
        <v>0</v>
      </c>
      <c r="P222" s="22" t="n">
        <v>0</v>
      </c>
      <c r="Q222" s="22" t="n">
        <v>0</v>
      </c>
      <c r="R222" s="22" t="n">
        <v>0</v>
      </c>
      <c r="S222" s="22" t="n">
        <v>0</v>
      </c>
      <c r="T222" s="22" t="n">
        <v>0</v>
      </c>
      <c r="U222" s="3">
        <f>IF(OR(N222=1,Q222=1),1,0)</f>
        <v/>
      </c>
      <c r="V222" s="3">
        <f>IF(OR(T222=1,P222=1),1,0)</f>
        <v/>
      </c>
      <c r="W222" s="3">
        <f>IF(OR(J222=1),1,0)</f>
        <v/>
      </c>
      <c r="X222" s="3">
        <f>IF(OR(I222=1,H222=1),1,0)</f>
        <v/>
      </c>
      <c r="Y222" s="3">
        <f>IF(OR(G222=1),1,0)</f>
        <v/>
      </c>
      <c r="Z222" s="3">
        <f>IF(OR(F222=1),1,0)</f>
        <v/>
      </c>
      <c r="AA222" s="3">
        <f>IF(OR(M222=1),1,0)</f>
        <v/>
      </c>
    </row>
    <row r="223">
      <c r="A223" s="22" t="inlineStr">
        <is>
          <t>5b322f34d4692d11b2b1185e05eeac3dece080ac</t>
        </is>
      </c>
      <c r="B223" s="22" t="inlineStr">
        <is>
          <t>2026-09</t>
        </is>
      </c>
      <c r="C223" s="22" t="inlineStr">
        <is>
          <t>YouTube</t>
        </is>
      </c>
      <c r="D223" s="22" t="n">
        <v>0</v>
      </c>
      <c r="E223" s="22" t="inlineStr">
        <is>
          <t>Channels Television</t>
        </is>
      </c>
      <c r="F223" s="22" t="inlineStr">
        <is>
          <t>QR3zUutNa3Y</t>
        </is>
      </c>
      <c r="G223" s="22" t="n">
        <v>-0.44</v>
      </c>
      <c r="H223" s="22" t="n">
        <v>0</v>
      </c>
      <c r="I223" s="22" t="n">
        <v>0</v>
      </c>
      <c r="J223" s="22" t="n">
        <v>0</v>
      </c>
      <c r="K223" s="22" t="n">
        <v>0</v>
      </c>
      <c r="L223" s="22" t="n">
        <v>0</v>
      </c>
      <c r="M223" s="22" t="n">
        <v>1</v>
      </c>
      <c r="N223" s="22" t="n">
        <v>0</v>
      </c>
      <c r="O223" s="22" t="n">
        <v>0</v>
      </c>
      <c r="P223" s="22" t="n">
        <v>0</v>
      </c>
      <c r="Q223" s="22" t="n">
        <v>0</v>
      </c>
      <c r="R223" s="22" t="n">
        <v>0</v>
      </c>
      <c r="S223" s="22" t="n">
        <v>0</v>
      </c>
      <c r="T223" s="22" t="n">
        <v>0</v>
      </c>
      <c r="U223" s="3">
        <f>IF(OR(N223=1,Q223=1),1,0)</f>
        <v/>
      </c>
      <c r="V223" s="3">
        <f>IF(OR(T223=1,P223=1),1,0)</f>
        <v/>
      </c>
      <c r="W223" s="3">
        <f>IF(OR(J223=1),1,0)</f>
        <v/>
      </c>
      <c r="X223" s="3">
        <f>IF(OR(I223=1,H223=1),1,0)</f>
        <v/>
      </c>
      <c r="Y223" s="3">
        <f>IF(OR(G223=1),1,0)</f>
        <v/>
      </c>
      <c r="Z223" s="3">
        <f>IF(OR(F223=1),1,0)</f>
        <v/>
      </c>
      <c r="AA223" s="3">
        <f>IF(OR(M223=1),1,0)</f>
        <v/>
      </c>
    </row>
    <row r="224">
      <c r="A224" s="22" t="inlineStr">
        <is>
          <t>f3dbff34062079be502ce2f9e84990b46c94cc5b</t>
        </is>
      </c>
      <c r="B224" s="22" t="inlineStr">
        <is>
          <t>2026-09</t>
        </is>
      </c>
      <c r="C224" s="22" t="inlineStr">
        <is>
          <t>YouTube</t>
        </is>
      </c>
      <c r="D224" s="22" t="n">
        <v>0</v>
      </c>
      <c r="E224" s="22" t="inlineStr">
        <is>
          <t>Channels Television</t>
        </is>
      </c>
      <c r="F224" s="22" t="inlineStr">
        <is>
          <t>QR3zUutNa3Y</t>
        </is>
      </c>
      <c r="G224" s="22" t="n">
        <v>-0.71</v>
      </c>
      <c r="H224" s="22" t="n">
        <v>0</v>
      </c>
      <c r="I224" s="22" t="n">
        <v>0</v>
      </c>
      <c r="J224" s="22" t="n">
        <v>0</v>
      </c>
      <c r="K224" s="22" t="n">
        <v>0</v>
      </c>
      <c r="L224" s="22" t="n">
        <v>0</v>
      </c>
      <c r="M224" s="22" t="n">
        <v>1</v>
      </c>
      <c r="N224" s="22" t="n">
        <v>0</v>
      </c>
      <c r="O224" s="22" t="n">
        <v>0</v>
      </c>
      <c r="P224" s="22" t="n">
        <v>0</v>
      </c>
      <c r="Q224" s="22" t="n">
        <v>0</v>
      </c>
      <c r="R224" s="22" t="n">
        <v>0</v>
      </c>
      <c r="S224" s="22" t="n">
        <v>0</v>
      </c>
      <c r="T224" s="22" t="n">
        <v>0</v>
      </c>
      <c r="U224" s="3">
        <f>IF(OR(N224=1,Q224=1),1,0)</f>
        <v/>
      </c>
      <c r="V224" s="3">
        <f>IF(OR(T224=1,P224=1),1,0)</f>
        <v/>
      </c>
      <c r="W224" s="3">
        <f>IF(OR(J224=1),1,0)</f>
        <v/>
      </c>
      <c r="X224" s="3">
        <f>IF(OR(I224=1,H224=1),1,0)</f>
        <v/>
      </c>
      <c r="Y224" s="3">
        <f>IF(OR(G224=1),1,0)</f>
        <v/>
      </c>
      <c r="Z224" s="3">
        <f>IF(OR(F224=1),1,0)</f>
        <v/>
      </c>
      <c r="AA224" s="3">
        <f>IF(OR(M224=1),1,0)</f>
        <v/>
      </c>
    </row>
    <row r="225">
      <c r="A225" s="22" t="inlineStr">
        <is>
          <t>470f7f0a4089477bdd58f87d61844f2071194187</t>
        </is>
      </c>
      <c r="B225" s="22" t="inlineStr">
        <is>
          <t>2026-09</t>
        </is>
      </c>
      <c r="C225" s="22" t="inlineStr">
        <is>
          <t>YouTube</t>
        </is>
      </c>
      <c r="D225" s="22" t="n">
        <v>0</v>
      </c>
      <c r="E225" s="22" t="inlineStr">
        <is>
          <t>Channels Television</t>
        </is>
      </c>
      <c r="F225" s="22" t="inlineStr">
        <is>
          <t>QR3zUutNa3Y</t>
        </is>
      </c>
      <c r="G225" s="22" t="n">
        <v>0</v>
      </c>
      <c r="H225" s="22" t="n">
        <v>0</v>
      </c>
      <c r="I225" s="22" t="n">
        <v>1</v>
      </c>
      <c r="J225" s="22" t="n">
        <v>0</v>
      </c>
      <c r="K225" s="22" t="n">
        <v>0</v>
      </c>
      <c r="L225" s="22" t="n">
        <v>0</v>
      </c>
      <c r="M225" s="22" t="n">
        <v>0</v>
      </c>
      <c r="N225" s="22" t="n">
        <v>0</v>
      </c>
      <c r="O225" s="22" t="n">
        <v>0</v>
      </c>
      <c r="P225" s="22" t="n">
        <v>0</v>
      </c>
      <c r="Q225" s="22" t="n">
        <v>0</v>
      </c>
      <c r="R225" s="22" t="n">
        <v>0</v>
      </c>
      <c r="S225" s="22" t="n">
        <v>0</v>
      </c>
      <c r="T225" s="22" t="n">
        <v>0</v>
      </c>
      <c r="U225" s="3">
        <f>IF(OR(N225=1,Q225=1),1,0)</f>
        <v/>
      </c>
      <c r="V225" s="3">
        <f>IF(OR(T225=1,P225=1),1,0)</f>
        <v/>
      </c>
      <c r="W225" s="3">
        <f>IF(OR(J225=1),1,0)</f>
        <v/>
      </c>
      <c r="X225" s="3">
        <f>IF(OR(I225=1,H225=1),1,0)</f>
        <v/>
      </c>
      <c r="Y225" s="3">
        <f>IF(OR(G225=1),1,0)</f>
        <v/>
      </c>
      <c r="Z225" s="3">
        <f>IF(OR(F225=1),1,0)</f>
        <v/>
      </c>
      <c r="AA225" s="3">
        <f>IF(OR(M225=1),1,0)</f>
        <v/>
      </c>
    </row>
    <row r="226">
      <c r="A226" s="22" t="inlineStr">
        <is>
          <t>a2b1607a484364c66ad21c8cee474eceb9c14f77</t>
        </is>
      </c>
      <c r="B226" s="22" t="inlineStr">
        <is>
          <t>2026-09</t>
        </is>
      </c>
      <c r="C226" s="22" t="inlineStr">
        <is>
          <t>YouTube</t>
        </is>
      </c>
      <c r="D226" s="22" t="n">
        <v>0</v>
      </c>
      <c r="E226" s="22" t="inlineStr">
        <is>
          <t>Channels Television</t>
        </is>
      </c>
      <c r="F226" s="22" t="inlineStr">
        <is>
          <t>QR3zUutNa3Y</t>
        </is>
      </c>
      <c r="G226" s="22" t="n">
        <v>0.052</v>
      </c>
      <c r="H226" s="22" t="n">
        <v>0</v>
      </c>
      <c r="I226" s="22" t="n">
        <v>0</v>
      </c>
      <c r="J226" s="22" t="n">
        <v>0</v>
      </c>
      <c r="K226" s="22" t="n">
        <v>0</v>
      </c>
      <c r="L226" s="22" t="n">
        <v>0</v>
      </c>
      <c r="M226" s="22" t="n">
        <v>0</v>
      </c>
      <c r="N226" s="22" t="n">
        <v>0</v>
      </c>
      <c r="O226" s="22" t="n">
        <v>0</v>
      </c>
      <c r="P226" s="22" t="n">
        <v>1</v>
      </c>
      <c r="Q226" s="22" t="n">
        <v>0</v>
      </c>
      <c r="R226" s="22" t="n">
        <v>0</v>
      </c>
      <c r="S226" s="22" t="n">
        <v>0</v>
      </c>
      <c r="T226" s="22" t="n">
        <v>0</v>
      </c>
      <c r="U226" s="3">
        <f>IF(OR(N226=1,Q226=1),1,0)</f>
        <v/>
      </c>
      <c r="V226" s="3">
        <f>IF(OR(T226=1,P226=1),1,0)</f>
        <v/>
      </c>
      <c r="W226" s="3">
        <f>IF(OR(J226=1),1,0)</f>
        <v/>
      </c>
      <c r="X226" s="3">
        <f>IF(OR(I226=1,H226=1),1,0)</f>
        <v/>
      </c>
      <c r="Y226" s="3">
        <f>IF(OR(G226=1),1,0)</f>
        <v/>
      </c>
      <c r="Z226" s="3">
        <f>IF(OR(F226=1),1,0)</f>
        <v/>
      </c>
      <c r="AA226" s="3">
        <f>IF(OR(M226=1),1,0)</f>
        <v/>
      </c>
    </row>
    <row r="227">
      <c r="A227" s="22" t="inlineStr">
        <is>
          <t>a50a757de53bd2721da4ef6eff3d1c8e3699129d</t>
        </is>
      </c>
      <c r="B227" s="22" t="inlineStr">
        <is>
          <t>2026-09</t>
        </is>
      </c>
      <c r="C227" s="22" t="inlineStr">
        <is>
          <t>YouTube</t>
        </is>
      </c>
      <c r="D227" s="22" t="n">
        <v>0</v>
      </c>
      <c r="E227" s="22" t="inlineStr">
        <is>
          <t>Channels Television</t>
        </is>
      </c>
      <c r="F227" s="22" t="inlineStr">
        <is>
          <t>QR3zUutNa3Y</t>
        </is>
      </c>
      <c r="G227" s="22" t="n">
        <v>0</v>
      </c>
      <c r="H227" s="22" t="n">
        <v>0</v>
      </c>
      <c r="I227" s="22" t="n">
        <v>0</v>
      </c>
      <c r="J227" s="22" t="n">
        <v>0</v>
      </c>
      <c r="K227" s="22" t="n">
        <v>0</v>
      </c>
      <c r="L227" s="22" t="n">
        <v>0</v>
      </c>
      <c r="M227" s="22" t="n">
        <v>0</v>
      </c>
      <c r="N227" s="22" t="n">
        <v>0</v>
      </c>
      <c r="O227" s="22" t="n">
        <v>1</v>
      </c>
      <c r="P227" s="22" t="n">
        <v>0</v>
      </c>
      <c r="Q227" s="22" t="n">
        <v>0</v>
      </c>
      <c r="R227" s="22" t="n">
        <v>0</v>
      </c>
      <c r="S227" s="22" t="n">
        <v>0</v>
      </c>
      <c r="T227" s="22" t="n">
        <v>0</v>
      </c>
      <c r="U227" s="3">
        <f>IF(OR(N227=1,Q227=1),1,0)</f>
        <v/>
      </c>
      <c r="V227" s="3">
        <f>IF(OR(T227=1,P227=1),1,0)</f>
        <v/>
      </c>
      <c r="W227" s="3">
        <f>IF(OR(J227=1),1,0)</f>
        <v/>
      </c>
      <c r="X227" s="3">
        <f>IF(OR(I227=1,H227=1),1,0)</f>
        <v/>
      </c>
      <c r="Y227" s="3">
        <f>IF(OR(G227=1),1,0)</f>
        <v/>
      </c>
      <c r="Z227" s="3">
        <f>IF(OR(F227=1),1,0)</f>
        <v/>
      </c>
      <c r="AA227" s="3">
        <f>IF(OR(M227=1),1,0)</f>
        <v/>
      </c>
    </row>
    <row r="228">
      <c r="A228" s="22" t="inlineStr">
        <is>
          <t>a08fa9a900b72fb00d7017e126a4433491136bef</t>
        </is>
      </c>
      <c r="B228" s="22" t="inlineStr">
        <is>
          <t>2026-09</t>
        </is>
      </c>
      <c r="C228" s="22" t="inlineStr">
        <is>
          <t>YouTube</t>
        </is>
      </c>
      <c r="D228" s="22" t="n">
        <v>0</v>
      </c>
      <c r="E228" s="22" t="inlineStr">
        <is>
          <t>Channels Television</t>
        </is>
      </c>
      <c r="F228" s="22" t="inlineStr">
        <is>
          <t>QR3zUutNa3Y</t>
        </is>
      </c>
      <c r="G228" s="22" t="n">
        <v>-0.077</v>
      </c>
      <c r="H228" s="22" t="n">
        <v>0</v>
      </c>
      <c r="I228" s="22" t="n">
        <v>0</v>
      </c>
      <c r="J228" s="22" t="n">
        <v>0</v>
      </c>
      <c r="K228" s="22" t="n">
        <v>0</v>
      </c>
      <c r="L228" s="22" t="n">
        <v>0</v>
      </c>
      <c r="M228" s="22" t="n">
        <v>0</v>
      </c>
      <c r="N228" s="22" t="n">
        <v>0</v>
      </c>
      <c r="O228" s="22" t="n">
        <v>1</v>
      </c>
      <c r="P228" s="22" t="n">
        <v>0</v>
      </c>
      <c r="Q228" s="22" t="n">
        <v>0</v>
      </c>
      <c r="R228" s="22" t="n">
        <v>0</v>
      </c>
      <c r="S228" s="22" t="n">
        <v>0</v>
      </c>
      <c r="T228" s="22" t="n">
        <v>0</v>
      </c>
      <c r="U228" s="3">
        <f>IF(OR(N228=1,Q228=1),1,0)</f>
        <v/>
      </c>
      <c r="V228" s="3">
        <f>IF(OR(T228=1,P228=1),1,0)</f>
        <v/>
      </c>
      <c r="W228" s="3">
        <f>IF(OR(J228=1),1,0)</f>
        <v/>
      </c>
      <c r="X228" s="3">
        <f>IF(OR(I228=1,H228=1),1,0)</f>
        <v/>
      </c>
      <c r="Y228" s="3">
        <f>IF(OR(G228=1),1,0)</f>
        <v/>
      </c>
      <c r="Z228" s="3">
        <f>IF(OR(F228=1),1,0)</f>
        <v/>
      </c>
      <c r="AA228" s="3">
        <f>IF(OR(M228=1),1,0)</f>
        <v/>
      </c>
    </row>
    <row r="229">
      <c r="A229" s="22" t="inlineStr">
        <is>
          <t>811abe2afdd74073c416544c98ab94e70c1f576b</t>
        </is>
      </c>
      <c r="B229" s="22" t="inlineStr">
        <is>
          <t>2026-09</t>
        </is>
      </c>
      <c r="C229" s="22" t="inlineStr">
        <is>
          <t>YouTube</t>
        </is>
      </c>
      <c r="D229" s="22" t="n">
        <v>0</v>
      </c>
      <c r="E229" s="22" t="inlineStr">
        <is>
          <t>Channels Television</t>
        </is>
      </c>
      <c r="F229" s="22" t="inlineStr">
        <is>
          <t>QR3zUutNa3Y</t>
        </is>
      </c>
      <c r="G229" s="22" t="n">
        <v>0.077</v>
      </c>
      <c r="H229" s="22" t="n">
        <v>0</v>
      </c>
      <c r="I229" s="22" t="n">
        <v>1</v>
      </c>
      <c r="J229" s="22" t="n">
        <v>0</v>
      </c>
      <c r="K229" s="22" t="n">
        <v>0</v>
      </c>
      <c r="L229" s="22" t="n">
        <v>0</v>
      </c>
      <c r="M229" s="22" t="n">
        <v>0</v>
      </c>
      <c r="N229" s="22" t="n">
        <v>0</v>
      </c>
      <c r="O229" s="22" t="n">
        <v>0</v>
      </c>
      <c r="P229" s="22" t="n">
        <v>0</v>
      </c>
      <c r="Q229" s="22" t="n">
        <v>0</v>
      </c>
      <c r="R229" s="22" t="n">
        <v>0</v>
      </c>
      <c r="S229" s="22" t="n">
        <v>0</v>
      </c>
      <c r="T229" s="22" t="n">
        <v>0</v>
      </c>
      <c r="U229" s="3">
        <f>IF(OR(N229=1,Q229=1),1,0)</f>
        <v/>
      </c>
      <c r="V229" s="3">
        <f>IF(OR(T229=1,P229=1),1,0)</f>
        <v/>
      </c>
      <c r="W229" s="3">
        <f>IF(OR(J229=1),1,0)</f>
        <v/>
      </c>
      <c r="X229" s="3">
        <f>IF(OR(I229=1,H229=1),1,0)</f>
        <v/>
      </c>
      <c r="Y229" s="3">
        <f>IF(OR(G229=1),1,0)</f>
        <v/>
      </c>
      <c r="Z229" s="3">
        <f>IF(OR(F229=1),1,0)</f>
        <v/>
      </c>
      <c r="AA229" s="3">
        <f>IF(OR(M229=1),1,0)</f>
        <v/>
      </c>
    </row>
    <row r="230">
      <c r="A230" s="22" t="inlineStr">
        <is>
          <t>0e4c48a2d0f094f91fce25ed8be63b1625a2130a</t>
        </is>
      </c>
      <c r="B230" s="22" t="inlineStr">
        <is>
          <t>2026-09</t>
        </is>
      </c>
      <c r="C230" s="22" t="inlineStr">
        <is>
          <t>YouTube</t>
        </is>
      </c>
      <c r="D230" s="22" t="n">
        <v>0</v>
      </c>
      <c r="E230" s="22" t="inlineStr">
        <is>
          <t>Channels Television</t>
        </is>
      </c>
      <c r="F230" s="22" t="inlineStr">
        <is>
          <t>QR3zUutNa3Y</t>
        </is>
      </c>
      <c r="G230" s="22" t="n">
        <v>-0.44</v>
      </c>
      <c r="H230" s="22" t="n">
        <v>1</v>
      </c>
      <c r="I230" s="22" t="n">
        <v>0</v>
      </c>
      <c r="J230" s="22" t="n">
        <v>0</v>
      </c>
      <c r="K230" s="22" t="n">
        <v>0</v>
      </c>
      <c r="L230" s="22" t="n">
        <v>0</v>
      </c>
      <c r="M230" s="22" t="n">
        <v>1</v>
      </c>
      <c r="N230" s="22" t="n">
        <v>0</v>
      </c>
      <c r="O230" s="22" t="n">
        <v>0</v>
      </c>
      <c r="P230" s="22" t="n">
        <v>0</v>
      </c>
      <c r="Q230" s="22" t="n">
        <v>0</v>
      </c>
      <c r="R230" s="22" t="n">
        <v>0</v>
      </c>
      <c r="S230" s="22" t="n">
        <v>0</v>
      </c>
      <c r="T230" s="22" t="n">
        <v>0</v>
      </c>
      <c r="U230" s="3">
        <f>IF(OR(N230=1,Q230=1),1,0)</f>
        <v/>
      </c>
      <c r="V230" s="3">
        <f>IF(OR(T230=1,P230=1),1,0)</f>
        <v/>
      </c>
      <c r="W230" s="3">
        <f>IF(OR(J230=1),1,0)</f>
        <v/>
      </c>
      <c r="X230" s="3">
        <f>IF(OR(I230=1,H230=1),1,0)</f>
        <v/>
      </c>
      <c r="Y230" s="3">
        <f>IF(OR(G230=1),1,0)</f>
        <v/>
      </c>
      <c r="Z230" s="3">
        <f>IF(OR(F230=1),1,0)</f>
        <v/>
      </c>
      <c r="AA230" s="3">
        <f>IF(OR(M230=1),1,0)</f>
        <v/>
      </c>
    </row>
    <row r="231">
      <c r="A231" s="22" t="inlineStr">
        <is>
          <t>a9cf926e123824f06f1a6b424be3b5e6f9216009</t>
        </is>
      </c>
      <c r="B231" s="22" t="inlineStr">
        <is>
          <t>2026-09</t>
        </is>
      </c>
      <c r="C231" s="22" t="inlineStr">
        <is>
          <t>YouTube</t>
        </is>
      </c>
      <c r="D231" s="22" t="n">
        <v>0</v>
      </c>
      <c r="E231" s="22" t="inlineStr">
        <is>
          <t>Channels Television</t>
        </is>
      </c>
      <c r="F231" s="22" t="inlineStr">
        <is>
          <t>QR3zUutNa3Y</t>
        </is>
      </c>
      <c r="G231" s="22" t="n">
        <v>-0.477</v>
      </c>
      <c r="H231" s="22" t="n">
        <v>0</v>
      </c>
      <c r="I231" s="22" t="n">
        <v>1</v>
      </c>
      <c r="J231" s="22" t="n">
        <v>0</v>
      </c>
      <c r="K231" s="22" t="n">
        <v>0</v>
      </c>
      <c r="L231" s="22" t="n">
        <v>0</v>
      </c>
      <c r="M231" s="22" t="n">
        <v>1</v>
      </c>
      <c r="N231" s="22" t="n">
        <v>0</v>
      </c>
      <c r="O231" s="22" t="n">
        <v>1</v>
      </c>
      <c r="P231" s="22" t="n">
        <v>0</v>
      </c>
      <c r="Q231" s="22" t="n">
        <v>0</v>
      </c>
      <c r="R231" s="22" t="n">
        <v>0</v>
      </c>
      <c r="S231" s="22" t="n">
        <v>0</v>
      </c>
      <c r="T231" s="22" t="n">
        <v>0</v>
      </c>
      <c r="U231" s="3">
        <f>IF(OR(N231=1,Q231=1),1,0)</f>
        <v/>
      </c>
      <c r="V231" s="3">
        <f>IF(OR(T231=1,P231=1),1,0)</f>
        <v/>
      </c>
      <c r="W231" s="3">
        <f>IF(OR(J231=1),1,0)</f>
        <v/>
      </c>
      <c r="X231" s="3">
        <f>IF(OR(I231=1,H231=1),1,0)</f>
        <v/>
      </c>
      <c r="Y231" s="3">
        <f>IF(OR(G231=1),1,0)</f>
        <v/>
      </c>
      <c r="Z231" s="3">
        <f>IF(OR(F231=1),1,0)</f>
        <v/>
      </c>
      <c r="AA231" s="3">
        <f>IF(OR(M231=1),1,0)</f>
        <v/>
      </c>
    </row>
    <row r="232">
      <c r="A232" s="22" t="inlineStr">
        <is>
          <t>e952a6e2331643ffd6420c4278e949aa2242789d</t>
        </is>
      </c>
      <c r="B232" s="22" t="inlineStr">
        <is>
          <t>2026-09</t>
        </is>
      </c>
      <c r="C232" s="22" t="inlineStr">
        <is>
          <t>YouTube</t>
        </is>
      </c>
      <c r="D232" s="22" t="n">
        <v>0</v>
      </c>
      <c r="E232" s="22" t="inlineStr">
        <is>
          <t>UCz79cjKSckANA3YLK4Uznxg</t>
        </is>
      </c>
      <c r="F232" s="22" t="inlineStr">
        <is>
          <t>KS9nNe_wrRQ</t>
        </is>
      </c>
      <c r="G232" s="22" t="n">
        <v>0.778</v>
      </c>
      <c r="H232" s="22" t="n">
        <v>0</v>
      </c>
      <c r="I232" s="22" t="n">
        <v>0</v>
      </c>
      <c r="J232" s="22" t="n">
        <v>0</v>
      </c>
      <c r="K232" s="22" t="n">
        <v>0</v>
      </c>
      <c r="L232" s="22" t="n">
        <v>0</v>
      </c>
      <c r="M232" s="22" t="n">
        <v>0</v>
      </c>
      <c r="N232" s="22" t="n">
        <v>0</v>
      </c>
      <c r="O232" s="22" t="n">
        <v>0</v>
      </c>
      <c r="P232" s="22" t="n">
        <v>0</v>
      </c>
      <c r="Q232" s="22" t="n">
        <v>0</v>
      </c>
      <c r="R232" s="22" t="n">
        <v>0</v>
      </c>
      <c r="S232" s="22" t="n">
        <v>0</v>
      </c>
      <c r="T232" s="22" t="n">
        <v>0</v>
      </c>
      <c r="U232" s="3">
        <f>IF(OR(N232=1,Q232=1),1,0)</f>
        <v/>
      </c>
      <c r="V232" s="3">
        <f>IF(OR(T232=1,P232=1),1,0)</f>
        <v/>
      </c>
      <c r="W232" s="3">
        <f>IF(OR(J232=1),1,0)</f>
        <v/>
      </c>
      <c r="X232" s="3">
        <f>IF(OR(I232=1,H232=1),1,0)</f>
        <v/>
      </c>
      <c r="Y232" s="3">
        <f>IF(OR(G232=1),1,0)</f>
        <v/>
      </c>
      <c r="Z232" s="3">
        <f>IF(OR(F232=1),1,0)</f>
        <v/>
      </c>
      <c r="AA232" s="3">
        <f>IF(OR(M232=1),1,0)</f>
        <v/>
      </c>
    </row>
    <row r="233">
      <c r="A233" s="22" t="inlineStr">
        <is>
          <t>f079e845de3ab93c4c4ab0f2ecc83668a1b1ba34</t>
        </is>
      </c>
      <c r="B233" s="22" t="inlineStr">
        <is>
          <t>2026-10</t>
        </is>
      </c>
      <c r="C233" s="22" t="inlineStr">
        <is>
          <t>YouTube</t>
        </is>
      </c>
      <c r="D233" s="22" t="n">
        <v>0</v>
      </c>
      <c r="E233" s="22" t="inlineStr">
        <is>
          <t>Arise News</t>
        </is>
      </c>
      <c r="F233" s="22" t="inlineStr">
        <is>
          <t>32K6xdF0lnA</t>
        </is>
      </c>
      <c r="G233" s="22" t="n">
        <v>-0.898</v>
      </c>
      <c r="H233" s="22" t="n">
        <v>1</v>
      </c>
      <c r="I233" s="22" t="n">
        <v>0</v>
      </c>
      <c r="J233" s="22" t="n">
        <v>0</v>
      </c>
      <c r="K233" s="22" t="n">
        <v>0</v>
      </c>
      <c r="L233" s="22" t="n">
        <v>0</v>
      </c>
      <c r="M233" s="22" t="n">
        <v>1</v>
      </c>
      <c r="N233" s="22" t="n">
        <v>0</v>
      </c>
      <c r="O233" s="22" t="n">
        <v>0</v>
      </c>
      <c r="P233" s="22" t="n">
        <v>0</v>
      </c>
      <c r="Q233" s="22" t="n">
        <v>0</v>
      </c>
      <c r="R233" s="22" t="n">
        <v>0</v>
      </c>
      <c r="S233" s="22" t="n">
        <v>0</v>
      </c>
      <c r="T233" s="22" t="n">
        <v>0</v>
      </c>
      <c r="U233" s="3">
        <f>IF(OR(N233=1,Q233=1),1,0)</f>
        <v/>
      </c>
      <c r="V233" s="3">
        <f>IF(OR(T233=1,P233=1),1,0)</f>
        <v/>
      </c>
      <c r="W233" s="3">
        <f>IF(OR(J233=1),1,0)</f>
        <v/>
      </c>
      <c r="X233" s="3">
        <f>IF(OR(I233=1,H233=1),1,0)</f>
        <v/>
      </c>
      <c r="Y233" s="3">
        <f>IF(OR(G233=1),1,0)</f>
        <v/>
      </c>
      <c r="Z233" s="3">
        <f>IF(OR(F233=1),1,0)</f>
        <v/>
      </c>
      <c r="AA233" s="3">
        <f>IF(OR(M233=1),1,0)</f>
        <v/>
      </c>
    </row>
    <row r="234">
      <c r="A234" s="22" t="inlineStr">
        <is>
          <t>9500df75f98f1d5f5f3009226f84eb77e9a715bb</t>
        </is>
      </c>
      <c r="B234" s="22" t="inlineStr">
        <is>
          <t>2026-10</t>
        </is>
      </c>
      <c r="C234" s="22" t="inlineStr">
        <is>
          <t>YouTube</t>
        </is>
      </c>
      <c r="D234" s="22" t="n">
        <v>0</v>
      </c>
      <c r="E234" s="22" t="inlineStr">
        <is>
          <t>Arise News</t>
        </is>
      </c>
      <c r="F234" s="22" t="inlineStr">
        <is>
          <t>32K6xdF0lnA</t>
        </is>
      </c>
      <c r="G234" s="22" t="n">
        <v>-0.453</v>
      </c>
      <c r="H234" s="22" t="n">
        <v>0</v>
      </c>
      <c r="I234" s="22" t="n">
        <v>0</v>
      </c>
      <c r="J234" s="22" t="n">
        <v>0</v>
      </c>
      <c r="K234" s="22" t="n">
        <v>0</v>
      </c>
      <c r="L234" s="22" t="n">
        <v>0</v>
      </c>
      <c r="M234" s="22" t="n">
        <v>1</v>
      </c>
      <c r="N234" s="22" t="n">
        <v>0</v>
      </c>
      <c r="O234" s="22" t="n">
        <v>0</v>
      </c>
      <c r="P234" s="22" t="n">
        <v>0</v>
      </c>
      <c r="Q234" s="22" t="n">
        <v>0</v>
      </c>
      <c r="R234" s="22" t="n">
        <v>0</v>
      </c>
      <c r="S234" s="22" t="n">
        <v>0</v>
      </c>
      <c r="T234" s="22" t="n">
        <v>0</v>
      </c>
      <c r="U234" s="3">
        <f>IF(OR(N234=1,Q234=1),1,0)</f>
        <v/>
      </c>
      <c r="V234" s="3">
        <f>IF(OR(T234=1,P234=1),1,0)</f>
        <v/>
      </c>
      <c r="W234" s="3">
        <f>IF(OR(J234=1),1,0)</f>
        <v/>
      </c>
      <c r="X234" s="3">
        <f>IF(OR(I234=1,H234=1),1,0)</f>
        <v/>
      </c>
      <c r="Y234" s="3">
        <f>IF(OR(G234=1),1,0)</f>
        <v/>
      </c>
      <c r="Z234" s="3">
        <f>IF(OR(F234=1),1,0)</f>
        <v/>
      </c>
      <c r="AA234" s="3">
        <f>IF(OR(M234=1),1,0)</f>
        <v/>
      </c>
    </row>
    <row r="235">
      <c r="A235" s="22" t="inlineStr">
        <is>
          <t>cfc2b909a448ef928661b8d1dc380aefac1b2d31</t>
        </is>
      </c>
      <c r="B235" s="22" t="inlineStr">
        <is>
          <t>2026-10</t>
        </is>
      </c>
      <c r="C235" s="22" t="inlineStr">
        <is>
          <t>YouTube</t>
        </is>
      </c>
      <c r="D235" s="22" t="n">
        <v>0</v>
      </c>
      <c r="E235" s="22" t="inlineStr">
        <is>
          <t>Arise News</t>
        </is>
      </c>
      <c r="F235" s="22" t="inlineStr">
        <is>
          <t>32K6xdF0lnA</t>
        </is>
      </c>
      <c r="G235" s="22" t="n">
        <v>0.077</v>
      </c>
      <c r="H235" s="22" t="n">
        <v>0</v>
      </c>
      <c r="I235" s="22" t="n">
        <v>0</v>
      </c>
      <c r="J235" s="22" t="n">
        <v>0</v>
      </c>
      <c r="K235" s="22" t="n">
        <v>0</v>
      </c>
      <c r="L235" s="22" t="n">
        <v>0</v>
      </c>
      <c r="M235" s="22" t="n">
        <v>0</v>
      </c>
      <c r="N235" s="22" t="n">
        <v>0</v>
      </c>
      <c r="O235" s="22" t="n">
        <v>1</v>
      </c>
      <c r="P235" s="22" t="n">
        <v>0</v>
      </c>
      <c r="Q235" s="22" t="n">
        <v>0</v>
      </c>
      <c r="R235" s="22" t="n">
        <v>0</v>
      </c>
      <c r="S235" s="22" t="n">
        <v>0</v>
      </c>
      <c r="T235" s="22" t="n">
        <v>0</v>
      </c>
      <c r="U235" s="3">
        <f>IF(OR(N235=1,Q235=1),1,0)</f>
        <v/>
      </c>
      <c r="V235" s="3">
        <f>IF(OR(T235=1,P235=1),1,0)</f>
        <v/>
      </c>
      <c r="W235" s="3">
        <f>IF(OR(J235=1),1,0)</f>
        <v/>
      </c>
      <c r="X235" s="3">
        <f>IF(OR(I235=1,H235=1),1,0)</f>
        <v/>
      </c>
      <c r="Y235" s="3">
        <f>IF(OR(G235=1),1,0)</f>
        <v/>
      </c>
      <c r="Z235" s="3">
        <f>IF(OR(F235=1),1,0)</f>
        <v/>
      </c>
      <c r="AA235" s="3">
        <f>IF(OR(M235=1),1,0)</f>
        <v/>
      </c>
    </row>
    <row r="236">
      <c r="A236" s="22" t="inlineStr">
        <is>
          <t>8182af039ba8f6a53f6d8f757d4c82941bf6791c</t>
        </is>
      </c>
      <c r="B236" s="22" t="inlineStr">
        <is>
          <t>2026-10</t>
        </is>
      </c>
      <c r="C236" s="22" t="inlineStr">
        <is>
          <t>YouTube</t>
        </is>
      </c>
      <c r="D236" s="22" t="n">
        <v>0</v>
      </c>
      <c r="E236" s="22" t="inlineStr">
        <is>
          <t>Arise News</t>
        </is>
      </c>
      <c r="F236" s="22" t="inlineStr">
        <is>
          <t>32K6xdF0lnA</t>
        </is>
      </c>
      <c r="G236" s="22" t="n">
        <v>0.273</v>
      </c>
      <c r="H236" s="22" t="n">
        <v>1</v>
      </c>
      <c r="I236" s="22" t="n">
        <v>0</v>
      </c>
      <c r="J236" s="22" t="n">
        <v>0</v>
      </c>
      <c r="K236" s="22" t="n">
        <v>0</v>
      </c>
      <c r="L236" s="22" t="n">
        <v>0</v>
      </c>
      <c r="M236" s="22" t="n">
        <v>0</v>
      </c>
      <c r="N236" s="22" t="n">
        <v>1</v>
      </c>
      <c r="O236" s="22" t="n">
        <v>0</v>
      </c>
      <c r="P236" s="22" t="n">
        <v>0</v>
      </c>
      <c r="Q236" s="22" t="n">
        <v>0</v>
      </c>
      <c r="R236" s="22" t="n">
        <v>0</v>
      </c>
      <c r="S236" s="22" t="n">
        <v>0</v>
      </c>
      <c r="T236" s="22" t="n">
        <v>0</v>
      </c>
      <c r="U236" s="3">
        <f>IF(OR(N236=1,Q236=1),1,0)</f>
        <v/>
      </c>
      <c r="V236" s="3">
        <f>IF(OR(T236=1,P236=1),1,0)</f>
        <v/>
      </c>
      <c r="W236" s="3">
        <f>IF(OR(J236=1),1,0)</f>
        <v/>
      </c>
      <c r="X236" s="3">
        <f>IF(OR(I236=1,H236=1),1,0)</f>
        <v/>
      </c>
      <c r="Y236" s="3">
        <f>IF(OR(G236=1),1,0)</f>
        <v/>
      </c>
      <c r="Z236" s="3">
        <f>IF(OR(F236=1),1,0)</f>
        <v/>
      </c>
      <c r="AA236" s="3">
        <f>IF(OR(M236=1),1,0)</f>
        <v/>
      </c>
    </row>
    <row r="237">
      <c r="A237" s="22" t="inlineStr">
        <is>
          <t>6417b9587682267a07573855dca29654119decfd</t>
        </is>
      </c>
      <c r="B237" s="22" t="inlineStr">
        <is>
          <t>2026-10</t>
        </is>
      </c>
      <c r="C237" s="22" t="inlineStr">
        <is>
          <t>YouTube</t>
        </is>
      </c>
      <c r="D237" s="22" t="n">
        <v>0</v>
      </c>
      <c r="E237" s="22" t="inlineStr">
        <is>
          <t>Arise News</t>
        </is>
      </c>
      <c r="F237" s="22" t="inlineStr">
        <is>
          <t>32K6xdF0lnA</t>
        </is>
      </c>
      <c r="G237" s="22" t="n">
        <v>-0.295</v>
      </c>
      <c r="H237" s="22" t="n">
        <v>0</v>
      </c>
      <c r="I237" s="22" t="n">
        <v>0</v>
      </c>
      <c r="J237" s="22" t="n">
        <v>0</v>
      </c>
      <c r="K237" s="22" t="n">
        <v>0</v>
      </c>
      <c r="L237" s="22" t="n">
        <v>0</v>
      </c>
      <c r="M237" s="22" t="n">
        <v>1</v>
      </c>
      <c r="N237" s="22" t="n">
        <v>0</v>
      </c>
      <c r="O237" s="22" t="n">
        <v>0</v>
      </c>
      <c r="P237" s="22" t="n">
        <v>0</v>
      </c>
      <c r="Q237" s="22" t="n">
        <v>0</v>
      </c>
      <c r="R237" s="22" t="n">
        <v>0</v>
      </c>
      <c r="S237" s="22" t="n">
        <v>0</v>
      </c>
      <c r="T237" s="22" t="n">
        <v>0</v>
      </c>
      <c r="U237" s="3">
        <f>IF(OR(N237=1,Q237=1),1,0)</f>
        <v/>
      </c>
      <c r="V237" s="3">
        <f>IF(OR(T237=1,P237=1),1,0)</f>
        <v/>
      </c>
      <c r="W237" s="3">
        <f>IF(OR(J237=1),1,0)</f>
        <v/>
      </c>
      <c r="X237" s="3">
        <f>IF(OR(I237=1,H237=1),1,0)</f>
        <v/>
      </c>
      <c r="Y237" s="3">
        <f>IF(OR(G237=1),1,0)</f>
        <v/>
      </c>
      <c r="Z237" s="3">
        <f>IF(OR(F237=1),1,0)</f>
        <v/>
      </c>
      <c r="AA237" s="3">
        <f>IF(OR(M237=1),1,0)</f>
        <v/>
      </c>
    </row>
    <row r="238">
      <c r="A238" s="22" t="inlineStr">
        <is>
          <t>00ba40fd70eee601e584d11ed5401a0255376ad3</t>
        </is>
      </c>
      <c r="B238" s="22" t="inlineStr">
        <is>
          <t>2026-10</t>
        </is>
      </c>
      <c r="C238" s="22" t="inlineStr">
        <is>
          <t>YouTube</t>
        </is>
      </c>
      <c r="D238" s="22" t="n">
        <v>0</v>
      </c>
      <c r="E238" s="22" t="inlineStr">
        <is>
          <t>Arise News</t>
        </is>
      </c>
      <c r="F238" s="22" t="inlineStr">
        <is>
          <t>32K6xdF0lnA</t>
        </is>
      </c>
      <c r="G238" s="22" t="n">
        <v>-0.357</v>
      </c>
      <c r="H238" s="22" t="n">
        <v>0</v>
      </c>
      <c r="I238" s="22" t="n">
        <v>0</v>
      </c>
      <c r="J238" s="22" t="n">
        <v>0</v>
      </c>
      <c r="K238" s="22" t="n">
        <v>0</v>
      </c>
      <c r="L238" s="22" t="n">
        <v>0</v>
      </c>
      <c r="M238" s="22" t="n">
        <v>1</v>
      </c>
      <c r="N238" s="22" t="n">
        <v>0</v>
      </c>
      <c r="O238" s="22" t="n">
        <v>0</v>
      </c>
      <c r="P238" s="22" t="n">
        <v>0</v>
      </c>
      <c r="Q238" s="22" t="n">
        <v>0</v>
      </c>
      <c r="R238" s="22" t="n">
        <v>0</v>
      </c>
      <c r="S238" s="22" t="n">
        <v>0</v>
      </c>
      <c r="T238" s="22" t="n">
        <v>0</v>
      </c>
      <c r="U238" s="3">
        <f>IF(OR(N238=1,Q238=1),1,0)</f>
        <v/>
      </c>
      <c r="V238" s="3">
        <f>IF(OR(T238=1,P238=1),1,0)</f>
        <v/>
      </c>
      <c r="W238" s="3">
        <f>IF(OR(J238=1),1,0)</f>
        <v/>
      </c>
      <c r="X238" s="3">
        <f>IF(OR(I238=1,H238=1),1,0)</f>
        <v/>
      </c>
      <c r="Y238" s="3">
        <f>IF(OR(G238=1),1,0)</f>
        <v/>
      </c>
      <c r="Z238" s="3">
        <f>IF(OR(F238=1),1,0)</f>
        <v/>
      </c>
      <c r="AA238" s="3">
        <f>IF(OR(M238=1),1,0)</f>
        <v/>
      </c>
    </row>
    <row r="239">
      <c r="A239" s="22" t="inlineStr">
        <is>
          <t>7c4fa9d05cdb5718f36579fe06e1533960b215ab</t>
        </is>
      </c>
      <c r="B239" s="22" t="inlineStr">
        <is>
          <t>2026-10</t>
        </is>
      </c>
      <c r="C239" s="22" t="inlineStr">
        <is>
          <t>YouTube</t>
        </is>
      </c>
      <c r="D239" s="22" t="n">
        <v>0</v>
      </c>
      <c r="E239" s="22" t="inlineStr">
        <is>
          <t>Arise News</t>
        </is>
      </c>
      <c r="F239" s="22" t="inlineStr">
        <is>
          <t>32K6xdF0lnA</t>
        </is>
      </c>
      <c r="G239" s="22" t="n">
        <v>-0.66</v>
      </c>
      <c r="H239" s="22" t="n">
        <v>0</v>
      </c>
      <c r="I239" s="22" t="n">
        <v>1</v>
      </c>
      <c r="J239" s="22" t="n">
        <v>0</v>
      </c>
      <c r="K239" s="22" t="n">
        <v>0</v>
      </c>
      <c r="L239" s="22" t="n">
        <v>0</v>
      </c>
      <c r="M239" s="22" t="n">
        <v>1</v>
      </c>
      <c r="N239" s="22" t="n">
        <v>0</v>
      </c>
      <c r="O239" s="22" t="n">
        <v>0</v>
      </c>
      <c r="P239" s="22" t="n">
        <v>0</v>
      </c>
      <c r="Q239" s="22" t="n">
        <v>0</v>
      </c>
      <c r="R239" s="22" t="n">
        <v>0</v>
      </c>
      <c r="S239" s="22" t="n">
        <v>0</v>
      </c>
      <c r="T239" s="22" t="n">
        <v>0</v>
      </c>
      <c r="U239" s="3">
        <f>IF(OR(N239=1,Q239=1),1,0)</f>
        <v/>
      </c>
      <c r="V239" s="3">
        <f>IF(OR(T239=1,P239=1),1,0)</f>
        <v/>
      </c>
      <c r="W239" s="3">
        <f>IF(OR(J239=1),1,0)</f>
        <v/>
      </c>
      <c r="X239" s="3">
        <f>IF(OR(I239=1,H239=1),1,0)</f>
        <v/>
      </c>
      <c r="Y239" s="3">
        <f>IF(OR(G239=1),1,0)</f>
        <v/>
      </c>
      <c r="Z239" s="3">
        <f>IF(OR(F239=1),1,0)</f>
        <v/>
      </c>
      <c r="AA239" s="3">
        <f>IF(OR(M239=1),1,0)</f>
        <v/>
      </c>
    </row>
    <row r="240">
      <c r="A240" s="22" t="inlineStr">
        <is>
          <t>20107b7b7410756c66c6db1e4edc33664425f99d</t>
        </is>
      </c>
      <c r="B240" s="22" t="inlineStr">
        <is>
          <t>2026-10</t>
        </is>
      </c>
      <c r="C240" s="22" t="inlineStr">
        <is>
          <t>YouTube</t>
        </is>
      </c>
      <c r="D240" s="22" t="n">
        <v>0</v>
      </c>
      <c r="E240" s="22" t="inlineStr">
        <is>
          <t>Arise News</t>
        </is>
      </c>
      <c r="F240" s="22" t="inlineStr">
        <is>
          <t>32K6xdF0lnA</t>
        </is>
      </c>
      <c r="G240" s="22" t="n">
        <v>0.202</v>
      </c>
      <c r="H240" s="22" t="n">
        <v>0</v>
      </c>
      <c r="I240" s="22" t="n">
        <v>0</v>
      </c>
      <c r="J240" s="22" t="n">
        <v>0</v>
      </c>
      <c r="K240" s="22" t="n">
        <v>1</v>
      </c>
      <c r="L240" s="22" t="n">
        <v>0</v>
      </c>
      <c r="M240" s="22" t="n">
        <v>0</v>
      </c>
      <c r="N240" s="22" t="n">
        <v>0</v>
      </c>
      <c r="O240" s="22" t="n">
        <v>0</v>
      </c>
      <c r="P240" s="22" t="n">
        <v>0</v>
      </c>
      <c r="Q240" s="22" t="n">
        <v>0</v>
      </c>
      <c r="R240" s="22" t="n">
        <v>0</v>
      </c>
      <c r="S240" s="22" t="n">
        <v>0</v>
      </c>
      <c r="T240" s="22" t="n">
        <v>0</v>
      </c>
      <c r="U240" s="3">
        <f>IF(OR(N240=1,Q240=1),1,0)</f>
        <v/>
      </c>
      <c r="V240" s="3">
        <f>IF(OR(T240=1,P240=1),1,0)</f>
        <v/>
      </c>
      <c r="W240" s="3">
        <f>IF(OR(J240=1),1,0)</f>
        <v/>
      </c>
      <c r="X240" s="3">
        <f>IF(OR(I240=1,H240=1),1,0)</f>
        <v/>
      </c>
      <c r="Y240" s="3">
        <f>IF(OR(G240=1),1,0)</f>
        <v/>
      </c>
      <c r="Z240" s="3">
        <f>IF(OR(F240=1),1,0)</f>
        <v/>
      </c>
      <c r="AA240" s="3">
        <f>IF(OR(M240=1),1,0)</f>
        <v/>
      </c>
    </row>
    <row r="241">
      <c r="A241" s="22" t="inlineStr">
        <is>
          <t>ccf66a0d44dc8ab5aa2d03253476ad2c90fdf21a</t>
        </is>
      </c>
      <c r="B241" s="22" t="inlineStr">
        <is>
          <t>2026-10</t>
        </is>
      </c>
      <c r="C241" s="22" t="inlineStr">
        <is>
          <t>YouTube</t>
        </is>
      </c>
      <c r="D241" s="22" t="n">
        <v>0</v>
      </c>
      <c r="E241" s="22" t="inlineStr">
        <is>
          <t>Arise News</t>
        </is>
      </c>
      <c r="F241" s="22" t="inlineStr">
        <is>
          <t>32K6xdF0lnA</t>
        </is>
      </c>
      <c r="G241" s="22" t="n">
        <v>-0.318</v>
      </c>
      <c r="H241" s="22" t="n">
        <v>0</v>
      </c>
      <c r="I241" s="22" t="n">
        <v>0</v>
      </c>
      <c r="J241" s="22" t="n">
        <v>0</v>
      </c>
      <c r="K241" s="22" t="n">
        <v>0</v>
      </c>
      <c r="L241" s="22" t="n">
        <v>0</v>
      </c>
      <c r="M241" s="22" t="n">
        <v>1</v>
      </c>
      <c r="N241" s="22" t="n">
        <v>0</v>
      </c>
      <c r="O241" s="22" t="n">
        <v>0</v>
      </c>
      <c r="P241" s="22" t="n">
        <v>0</v>
      </c>
      <c r="Q241" s="22" t="n">
        <v>0</v>
      </c>
      <c r="R241" s="22" t="n">
        <v>0</v>
      </c>
      <c r="S241" s="22" t="n">
        <v>0</v>
      </c>
      <c r="T241" s="22" t="n">
        <v>0</v>
      </c>
      <c r="U241" s="3">
        <f>IF(OR(N241=1,Q241=1),1,0)</f>
        <v/>
      </c>
      <c r="V241" s="3">
        <f>IF(OR(T241=1,P241=1),1,0)</f>
        <v/>
      </c>
      <c r="W241" s="3">
        <f>IF(OR(J241=1),1,0)</f>
        <v/>
      </c>
      <c r="X241" s="3">
        <f>IF(OR(I241=1,H241=1),1,0)</f>
        <v/>
      </c>
      <c r="Y241" s="3">
        <f>IF(OR(G241=1),1,0)</f>
        <v/>
      </c>
      <c r="Z241" s="3">
        <f>IF(OR(F241=1),1,0)</f>
        <v/>
      </c>
      <c r="AA241" s="3">
        <f>IF(OR(M241=1),1,0)</f>
        <v/>
      </c>
    </row>
    <row r="242">
      <c r="A242" s="22" t="inlineStr">
        <is>
          <t>042bed9a7091f868c76533fd366f1a9e1650a78e</t>
        </is>
      </c>
      <c r="B242" s="22" t="inlineStr">
        <is>
          <t>2026-10</t>
        </is>
      </c>
      <c r="C242" s="22" t="inlineStr">
        <is>
          <t>YouTube</t>
        </is>
      </c>
      <c r="D242" s="22" t="n">
        <v>0</v>
      </c>
      <c r="E242" s="22" t="inlineStr">
        <is>
          <t>Arise News</t>
        </is>
      </c>
      <c r="F242" s="22" t="inlineStr">
        <is>
          <t>32K6xdF0lnA</t>
        </is>
      </c>
      <c r="G242" s="22" t="n">
        <v>-0.802</v>
      </c>
      <c r="H242" s="22" t="n">
        <v>1</v>
      </c>
      <c r="I242" s="22" t="n">
        <v>0</v>
      </c>
      <c r="J242" s="22" t="n">
        <v>0</v>
      </c>
      <c r="K242" s="22" t="n">
        <v>0</v>
      </c>
      <c r="L242" s="22" t="n">
        <v>0</v>
      </c>
      <c r="M242" s="22" t="n">
        <v>1</v>
      </c>
      <c r="N242" s="22" t="n">
        <v>0</v>
      </c>
      <c r="O242" s="22" t="n">
        <v>0</v>
      </c>
      <c r="P242" s="22" t="n">
        <v>0</v>
      </c>
      <c r="Q242" s="22" t="n">
        <v>0</v>
      </c>
      <c r="R242" s="22" t="n">
        <v>0</v>
      </c>
      <c r="S242" s="22" t="n">
        <v>0</v>
      </c>
      <c r="T242" s="22" t="n">
        <v>0</v>
      </c>
      <c r="U242" s="3">
        <f>IF(OR(N242=1,Q242=1),1,0)</f>
        <v/>
      </c>
      <c r="V242" s="3">
        <f>IF(OR(T242=1,P242=1),1,0)</f>
        <v/>
      </c>
      <c r="W242" s="3">
        <f>IF(OR(J242=1),1,0)</f>
        <v/>
      </c>
      <c r="X242" s="3">
        <f>IF(OR(I242=1,H242=1),1,0)</f>
        <v/>
      </c>
      <c r="Y242" s="3">
        <f>IF(OR(G242=1),1,0)</f>
        <v/>
      </c>
      <c r="Z242" s="3">
        <f>IF(OR(F242=1),1,0)</f>
        <v/>
      </c>
      <c r="AA242" s="3">
        <f>IF(OR(M242=1),1,0)</f>
        <v/>
      </c>
    </row>
    <row r="243">
      <c r="A243" s="22" t="inlineStr">
        <is>
          <t>8a31738fdc37594341ad11c4ef8fd9b467053b1e</t>
        </is>
      </c>
      <c r="B243" s="22" t="inlineStr">
        <is>
          <t>2026-10</t>
        </is>
      </c>
      <c r="C243" s="22" t="inlineStr">
        <is>
          <t>YouTube</t>
        </is>
      </c>
      <c r="D243" s="22" t="n">
        <v>0</v>
      </c>
      <c r="E243" s="22" t="inlineStr">
        <is>
          <t>Arise News</t>
        </is>
      </c>
      <c r="F243" s="22" t="inlineStr">
        <is>
          <t>32K6xdF0lnA</t>
        </is>
      </c>
      <c r="G243" s="22" t="n">
        <v>0.796</v>
      </c>
      <c r="H243" s="22" t="n">
        <v>0</v>
      </c>
      <c r="I243" s="22" t="n">
        <v>0</v>
      </c>
      <c r="J243" s="22" t="n">
        <v>0</v>
      </c>
      <c r="K243" s="22" t="n">
        <v>0</v>
      </c>
      <c r="L243" s="22" t="n">
        <v>0</v>
      </c>
      <c r="M243" s="22" t="n">
        <v>1</v>
      </c>
      <c r="N243" s="22" t="n">
        <v>0</v>
      </c>
      <c r="O243" s="22" t="n">
        <v>0</v>
      </c>
      <c r="P243" s="22" t="n">
        <v>0</v>
      </c>
      <c r="Q243" s="22" t="n">
        <v>0</v>
      </c>
      <c r="R243" s="22" t="n">
        <v>0</v>
      </c>
      <c r="S243" s="22" t="n">
        <v>0</v>
      </c>
      <c r="T243" s="22" t="n">
        <v>0</v>
      </c>
      <c r="U243" s="3">
        <f>IF(OR(N243=1,Q243=1),1,0)</f>
        <v/>
      </c>
      <c r="V243" s="3">
        <f>IF(OR(T243=1,P243=1),1,0)</f>
        <v/>
      </c>
      <c r="W243" s="3">
        <f>IF(OR(J243=1),1,0)</f>
        <v/>
      </c>
      <c r="X243" s="3">
        <f>IF(OR(I243=1,H243=1),1,0)</f>
        <v/>
      </c>
      <c r="Y243" s="3">
        <f>IF(OR(G243=1),1,0)</f>
        <v/>
      </c>
      <c r="Z243" s="3">
        <f>IF(OR(F243=1),1,0)</f>
        <v/>
      </c>
      <c r="AA243" s="3">
        <f>IF(OR(M243=1),1,0)</f>
        <v/>
      </c>
    </row>
    <row r="244">
      <c r="A244" s="22" t="inlineStr">
        <is>
          <t>8d59f0e424dfd7c3ca5cf528dd3739cc30df0062</t>
        </is>
      </c>
      <c r="B244" s="22" t="inlineStr">
        <is>
          <t>2026-10</t>
        </is>
      </c>
      <c r="C244" s="22" t="inlineStr">
        <is>
          <t>YouTube</t>
        </is>
      </c>
      <c r="D244" s="22" t="n">
        <v>0</v>
      </c>
      <c r="E244" s="22" t="inlineStr">
        <is>
          <t>Arise News</t>
        </is>
      </c>
      <c r="F244" s="22" t="inlineStr">
        <is>
          <t>32K6xdF0lnA</t>
        </is>
      </c>
      <c r="G244" s="22" t="n">
        <v>-0.791</v>
      </c>
      <c r="H244" s="22" t="n">
        <v>1</v>
      </c>
      <c r="I244" s="22" t="n">
        <v>0</v>
      </c>
      <c r="J244" s="22" t="n">
        <v>0</v>
      </c>
      <c r="K244" s="22" t="n">
        <v>0</v>
      </c>
      <c r="L244" s="22" t="n">
        <v>0</v>
      </c>
      <c r="M244" s="22" t="n">
        <v>0</v>
      </c>
      <c r="N244" s="22" t="n">
        <v>0</v>
      </c>
      <c r="O244" s="22" t="n">
        <v>0</v>
      </c>
      <c r="P244" s="22" t="n">
        <v>0</v>
      </c>
      <c r="Q244" s="22" t="n">
        <v>0</v>
      </c>
      <c r="R244" s="22" t="n">
        <v>0</v>
      </c>
      <c r="S244" s="22" t="n">
        <v>0</v>
      </c>
      <c r="T244" s="22" t="n">
        <v>0</v>
      </c>
      <c r="U244" s="3">
        <f>IF(OR(N244=1,Q244=1),1,0)</f>
        <v/>
      </c>
      <c r="V244" s="3">
        <f>IF(OR(T244=1,P244=1),1,0)</f>
        <v/>
      </c>
      <c r="W244" s="3">
        <f>IF(OR(J244=1),1,0)</f>
        <v/>
      </c>
      <c r="X244" s="3">
        <f>IF(OR(I244=1,H244=1),1,0)</f>
        <v/>
      </c>
      <c r="Y244" s="3">
        <f>IF(OR(G244=1),1,0)</f>
        <v/>
      </c>
      <c r="Z244" s="3">
        <f>IF(OR(F244=1),1,0)</f>
        <v/>
      </c>
      <c r="AA244" s="3">
        <f>IF(OR(M244=1),1,0)</f>
        <v/>
      </c>
    </row>
    <row r="245">
      <c r="A245" s="22" t="inlineStr">
        <is>
          <t>a5b7845da23aa50d85ccf8e1a513a250655a94dd</t>
        </is>
      </c>
      <c r="B245" s="22" t="inlineStr">
        <is>
          <t>2026-10</t>
        </is>
      </c>
      <c r="C245" s="22" t="inlineStr">
        <is>
          <t>YouTube</t>
        </is>
      </c>
      <c r="D245" s="22" t="n">
        <v>0</v>
      </c>
      <c r="E245" s="22" t="inlineStr">
        <is>
          <t>Arise News</t>
        </is>
      </c>
      <c r="F245" s="22" t="inlineStr">
        <is>
          <t>32K6xdF0lnA</t>
        </is>
      </c>
      <c r="G245" s="22" t="n">
        <v>0.733</v>
      </c>
      <c r="H245" s="22" t="n">
        <v>1</v>
      </c>
      <c r="I245" s="22" t="n">
        <v>0</v>
      </c>
      <c r="J245" s="22" t="n">
        <v>0</v>
      </c>
      <c r="K245" s="22" t="n">
        <v>0</v>
      </c>
      <c r="L245" s="22" t="n">
        <v>0</v>
      </c>
      <c r="M245" s="22" t="n">
        <v>0</v>
      </c>
      <c r="N245" s="22" t="n">
        <v>0</v>
      </c>
      <c r="O245" s="22" t="n">
        <v>0</v>
      </c>
      <c r="P245" s="22" t="n">
        <v>0</v>
      </c>
      <c r="Q245" s="22" t="n">
        <v>0</v>
      </c>
      <c r="R245" s="22" t="n">
        <v>0</v>
      </c>
      <c r="S245" s="22" t="n">
        <v>0</v>
      </c>
      <c r="T245" s="22" t="n">
        <v>0</v>
      </c>
      <c r="U245" s="3">
        <f>IF(OR(N245=1,Q245=1),1,0)</f>
        <v/>
      </c>
      <c r="V245" s="3">
        <f>IF(OR(T245=1,P245=1),1,0)</f>
        <v/>
      </c>
      <c r="W245" s="3">
        <f>IF(OR(J245=1),1,0)</f>
        <v/>
      </c>
      <c r="X245" s="3">
        <f>IF(OR(I245=1,H245=1),1,0)</f>
        <v/>
      </c>
      <c r="Y245" s="3">
        <f>IF(OR(G245=1),1,0)</f>
        <v/>
      </c>
      <c r="Z245" s="3">
        <f>IF(OR(F245=1),1,0)</f>
        <v/>
      </c>
      <c r="AA245" s="3">
        <f>IF(OR(M245=1),1,0)</f>
        <v/>
      </c>
    </row>
    <row r="246">
      <c r="A246" s="22" t="inlineStr">
        <is>
          <t>2d66dce2ed5b80e102d0bfff2cae22f2af99c13e</t>
        </is>
      </c>
      <c r="B246" s="22" t="inlineStr">
        <is>
          <t>2026-10</t>
        </is>
      </c>
      <c r="C246" s="22" t="inlineStr">
        <is>
          <t>YouTube</t>
        </is>
      </c>
      <c r="D246" s="22" t="n">
        <v>0</v>
      </c>
      <c r="E246" s="22" t="inlineStr">
        <is>
          <t>Arise News</t>
        </is>
      </c>
      <c r="F246" s="22" t="inlineStr">
        <is>
          <t>32K6xdF0lnA</t>
        </is>
      </c>
      <c r="G246" s="22" t="n">
        <v>0.296</v>
      </c>
      <c r="H246" s="22" t="n">
        <v>1</v>
      </c>
      <c r="I246" s="22" t="n">
        <v>0</v>
      </c>
      <c r="J246" s="22" t="n">
        <v>0</v>
      </c>
      <c r="K246" s="22" t="n">
        <v>0</v>
      </c>
      <c r="L246" s="22" t="n">
        <v>0</v>
      </c>
      <c r="M246" s="22" t="n">
        <v>0</v>
      </c>
      <c r="N246" s="22" t="n">
        <v>0</v>
      </c>
      <c r="O246" s="22" t="n">
        <v>0</v>
      </c>
      <c r="P246" s="22" t="n">
        <v>0</v>
      </c>
      <c r="Q246" s="22" t="n">
        <v>0</v>
      </c>
      <c r="R246" s="22" t="n">
        <v>0</v>
      </c>
      <c r="S246" s="22" t="n">
        <v>0</v>
      </c>
      <c r="T246" s="22" t="n">
        <v>0</v>
      </c>
      <c r="U246" s="3">
        <f>IF(OR(N246=1,Q246=1),1,0)</f>
        <v/>
      </c>
      <c r="V246" s="3">
        <f>IF(OR(T246=1,P246=1),1,0)</f>
        <v/>
      </c>
      <c r="W246" s="3">
        <f>IF(OR(J246=1),1,0)</f>
        <v/>
      </c>
      <c r="X246" s="3">
        <f>IF(OR(I246=1,H246=1),1,0)</f>
        <v/>
      </c>
      <c r="Y246" s="3">
        <f>IF(OR(G246=1),1,0)</f>
        <v/>
      </c>
      <c r="Z246" s="3">
        <f>IF(OR(F246=1),1,0)</f>
        <v/>
      </c>
      <c r="AA246" s="3">
        <f>IF(OR(M246=1),1,0)</f>
        <v/>
      </c>
    </row>
    <row r="247">
      <c r="A247" s="22" t="inlineStr">
        <is>
          <t>5968be7ccc8ec48c02a047c82acdc596e3b63c91</t>
        </is>
      </c>
      <c r="B247" s="22" t="inlineStr">
        <is>
          <t>2026-10</t>
        </is>
      </c>
      <c r="C247" s="22" t="inlineStr">
        <is>
          <t>YouTube</t>
        </is>
      </c>
      <c r="D247" s="22" t="n">
        <v>0</v>
      </c>
      <c r="E247" s="22" t="inlineStr">
        <is>
          <t>Arise News</t>
        </is>
      </c>
      <c r="F247" s="22" t="inlineStr">
        <is>
          <t>32K6xdF0lnA</t>
        </is>
      </c>
      <c r="G247" s="22" t="n">
        <v>-0.893</v>
      </c>
      <c r="H247" s="22" t="n">
        <v>0</v>
      </c>
      <c r="I247" s="22" t="n">
        <v>0</v>
      </c>
      <c r="J247" s="22" t="n">
        <v>0</v>
      </c>
      <c r="K247" s="22" t="n">
        <v>0</v>
      </c>
      <c r="L247" s="22" t="n">
        <v>0</v>
      </c>
      <c r="M247" s="22" t="n">
        <v>1</v>
      </c>
      <c r="N247" s="22" t="n">
        <v>0</v>
      </c>
      <c r="O247" s="22" t="n">
        <v>0</v>
      </c>
      <c r="P247" s="22" t="n">
        <v>0</v>
      </c>
      <c r="Q247" s="22" t="n">
        <v>0</v>
      </c>
      <c r="R247" s="22" t="n">
        <v>0</v>
      </c>
      <c r="S247" s="22" t="n">
        <v>0</v>
      </c>
      <c r="T247" s="22" t="n">
        <v>0</v>
      </c>
      <c r="U247" s="3">
        <f>IF(OR(N247=1,Q247=1),1,0)</f>
        <v/>
      </c>
      <c r="V247" s="3">
        <f>IF(OR(T247=1,P247=1),1,0)</f>
        <v/>
      </c>
      <c r="W247" s="3">
        <f>IF(OR(J247=1),1,0)</f>
        <v/>
      </c>
      <c r="X247" s="3">
        <f>IF(OR(I247=1,H247=1),1,0)</f>
        <v/>
      </c>
      <c r="Y247" s="3">
        <f>IF(OR(G247=1),1,0)</f>
        <v/>
      </c>
      <c r="Z247" s="3">
        <f>IF(OR(F247=1),1,0)</f>
        <v/>
      </c>
      <c r="AA247" s="3">
        <f>IF(OR(M247=1),1,0)</f>
        <v/>
      </c>
    </row>
    <row r="248">
      <c r="A248" s="22" t="inlineStr">
        <is>
          <t>729f1cee386cd7c0de05898a2648f907077ab470</t>
        </is>
      </c>
      <c r="B248" s="22" t="inlineStr">
        <is>
          <t>2026-10</t>
        </is>
      </c>
      <c r="C248" s="22" t="inlineStr">
        <is>
          <t>YouTube</t>
        </is>
      </c>
      <c r="D248" s="22" t="n">
        <v>0</v>
      </c>
      <c r="E248" s="22" t="inlineStr">
        <is>
          <t>Arise News</t>
        </is>
      </c>
      <c r="F248" s="22" t="inlineStr">
        <is>
          <t>32K6xdF0lnA</t>
        </is>
      </c>
      <c r="G248" s="22" t="n">
        <v>0.827</v>
      </c>
      <c r="H248" s="22" t="n">
        <v>0</v>
      </c>
      <c r="I248" s="22" t="n">
        <v>1</v>
      </c>
      <c r="J248" s="22" t="n">
        <v>0</v>
      </c>
      <c r="K248" s="22" t="n">
        <v>0</v>
      </c>
      <c r="L248" s="22" t="n">
        <v>0</v>
      </c>
      <c r="M248" s="22" t="n">
        <v>0</v>
      </c>
      <c r="N248" s="22" t="n">
        <v>0</v>
      </c>
      <c r="O248" s="22" t="n">
        <v>0</v>
      </c>
      <c r="P248" s="22" t="n">
        <v>0</v>
      </c>
      <c r="Q248" s="22" t="n">
        <v>0</v>
      </c>
      <c r="R248" s="22" t="n">
        <v>0</v>
      </c>
      <c r="S248" s="22" t="n">
        <v>0</v>
      </c>
      <c r="T248" s="22" t="n">
        <v>0</v>
      </c>
      <c r="U248" s="3">
        <f>IF(OR(N248=1,Q248=1),1,0)</f>
        <v/>
      </c>
      <c r="V248" s="3">
        <f>IF(OR(T248=1,P248=1),1,0)</f>
        <v/>
      </c>
      <c r="W248" s="3">
        <f>IF(OR(J248=1),1,0)</f>
        <v/>
      </c>
      <c r="X248" s="3">
        <f>IF(OR(I248=1,H248=1),1,0)</f>
        <v/>
      </c>
      <c r="Y248" s="3">
        <f>IF(OR(G248=1),1,0)</f>
        <v/>
      </c>
      <c r="Z248" s="3">
        <f>IF(OR(F248=1),1,0)</f>
        <v/>
      </c>
      <c r="AA248" s="3">
        <f>IF(OR(M248=1),1,0)</f>
        <v/>
      </c>
    </row>
    <row r="249">
      <c r="A249" s="22" t="inlineStr">
        <is>
          <t>20b8a3da7871db6b097cf57613d597f7d2e3f1d5</t>
        </is>
      </c>
      <c r="B249" s="22" t="inlineStr">
        <is>
          <t>2026-10</t>
        </is>
      </c>
      <c r="C249" s="22" t="inlineStr">
        <is>
          <t>YouTube</t>
        </is>
      </c>
      <c r="D249" s="22" t="n">
        <v>0</v>
      </c>
      <c r="E249" s="22" t="inlineStr">
        <is>
          <t>Arise News</t>
        </is>
      </c>
      <c r="F249" s="22" t="inlineStr">
        <is>
          <t>32K6xdF0lnA</t>
        </is>
      </c>
      <c r="G249" s="22" t="n">
        <v>-0.325</v>
      </c>
      <c r="H249" s="22" t="n">
        <v>0</v>
      </c>
      <c r="I249" s="22" t="n">
        <v>0</v>
      </c>
      <c r="J249" s="22" t="n">
        <v>0</v>
      </c>
      <c r="K249" s="22" t="n">
        <v>0</v>
      </c>
      <c r="L249" s="22" t="n">
        <v>0</v>
      </c>
      <c r="M249" s="22" t="n">
        <v>1</v>
      </c>
      <c r="N249" s="22" t="n">
        <v>0</v>
      </c>
      <c r="O249" s="22" t="n">
        <v>0</v>
      </c>
      <c r="P249" s="22" t="n">
        <v>0</v>
      </c>
      <c r="Q249" s="22" t="n">
        <v>0</v>
      </c>
      <c r="R249" s="22" t="n">
        <v>0</v>
      </c>
      <c r="S249" s="22" t="n">
        <v>0</v>
      </c>
      <c r="T249" s="22" t="n">
        <v>0</v>
      </c>
      <c r="U249" s="3">
        <f>IF(OR(N249=1,Q249=1),1,0)</f>
        <v/>
      </c>
      <c r="V249" s="3">
        <f>IF(OR(T249=1,P249=1),1,0)</f>
        <v/>
      </c>
      <c r="W249" s="3">
        <f>IF(OR(J249=1),1,0)</f>
        <v/>
      </c>
      <c r="X249" s="3">
        <f>IF(OR(I249=1,H249=1),1,0)</f>
        <v/>
      </c>
      <c r="Y249" s="3">
        <f>IF(OR(G249=1),1,0)</f>
        <v/>
      </c>
      <c r="Z249" s="3">
        <f>IF(OR(F249=1),1,0)</f>
        <v/>
      </c>
      <c r="AA249" s="3">
        <f>IF(OR(M249=1),1,0)</f>
        <v/>
      </c>
    </row>
    <row r="250">
      <c r="A250" s="22" t="inlineStr">
        <is>
          <t>e7dd39be004dbdbb094d1dc86fff64123d67c513</t>
        </is>
      </c>
      <c r="B250" s="22" t="inlineStr">
        <is>
          <t>2026-10</t>
        </is>
      </c>
      <c r="C250" s="22" t="inlineStr">
        <is>
          <t>YouTube</t>
        </is>
      </c>
      <c r="D250" s="22" t="n">
        <v>0</v>
      </c>
      <c r="E250" s="22" t="inlineStr">
        <is>
          <t>Arise News</t>
        </is>
      </c>
      <c r="F250" s="22" t="inlineStr">
        <is>
          <t>32K6xdF0lnA</t>
        </is>
      </c>
      <c r="G250" s="22" t="n">
        <v>-0.422</v>
      </c>
      <c r="H250" s="22" t="n">
        <v>1</v>
      </c>
      <c r="I250" s="22" t="n">
        <v>0</v>
      </c>
      <c r="J250" s="22" t="n">
        <v>0</v>
      </c>
      <c r="K250" s="22" t="n">
        <v>0</v>
      </c>
      <c r="L250" s="22" t="n">
        <v>0</v>
      </c>
      <c r="M250" s="22" t="n">
        <v>1</v>
      </c>
      <c r="N250" s="22" t="n">
        <v>0</v>
      </c>
      <c r="O250" s="22" t="n">
        <v>0</v>
      </c>
      <c r="P250" s="22" t="n">
        <v>0</v>
      </c>
      <c r="Q250" s="22" t="n">
        <v>0</v>
      </c>
      <c r="R250" s="22" t="n">
        <v>0</v>
      </c>
      <c r="S250" s="22" t="n">
        <v>0</v>
      </c>
      <c r="T250" s="22" t="n">
        <v>0</v>
      </c>
      <c r="U250" s="3">
        <f>IF(OR(N250=1,Q250=1),1,0)</f>
        <v/>
      </c>
      <c r="V250" s="3">
        <f>IF(OR(T250=1,P250=1),1,0)</f>
        <v/>
      </c>
      <c r="W250" s="3">
        <f>IF(OR(J250=1),1,0)</f>
        <v/>
      </c>
      <c r="X250" s="3">
        <f>IF(OR(I250=1,H250=1),1,0)</f>
        <v/>
      </c>
      <c r="Y250" s="3">
        <f>IF(OR(G250=1),1,0)</f>
        <v/>
      </c>
      <c r="Z250" s="3">
        <f>IF(OR(F250=1),1,0)</f>
        <v/>
      </c>
      <c r="AA250" s="3">
        <f>IF(OR(M250=1),1,0)</f>
        <v/>
      </c>
    </row>
    <row r="251">
      <c r="A251" s="22" t="inlineStr">
        <is>
          <t>9d6207ea9e8ab46f6da4826077f65ab86886dc68</t>
        </is>
      </c>
      <c r="B251" s="22" t="inlineStr">
        <is>
          <t>2026-10</t>
        </is>
      </c>
      <c r="C251" s="22" t="inlineStr">
        <is>
          <t>YouTube</t>
        </is>
      </c>
      <c r="D251" s="22" t="n">
        <v>0</v>
      </c>
      <c r="E251" s="22" t="inlineStr">
        <is>
          <t>Arise News</t>
        </is>
      </c>
      <c r="F251" s="22" t="inlineStr">
        <is>
          <t>32K6xdF0lnA</t>
        </is>
      </c>
      <c r="G251" s="22" t="n">
        <v>0</v>
      </c>
      <c r="H251" s="22" t="n">
        <v>0</v>
      </c>
      <c r="I251" s="22" t="n">
        <v>0</v>
      </c>
      <c r="J251" s="22" t="n">
        <v>0</v>
      </c>
      <c r="K251" s="22" t="n">
        <v>0</v>
      </c>
      <c r="L251" s="22" t="n">
        <v>0</v>
      </c>
      <c r="M251" s="22" t="n">
        <v>0</v>
      </c>
      <c r="N251" s="22" t="n">
        <v>0</v>
      </c>
      <c r="O251" s="22" t="n">
        <v>0</v>
      </c>
      <c r="P251" s="22" t="n">
        <v>1</v>
      </c>
      <c r="Q251" s="22" t="n">
        <v>0</v>
      </c>
      <c r="R251" s="22" t="n">
        <v>0</v>
      </c>
      <c r="S251" s="22" t="n">
        <v>0</v>
      </c>
      <c r="T251" s="22" t="n">
        <v>0</v>
      </c>
      <c r="U251" s="3">
        <f>IF(OR(N251=1,Q251=1),1,0)</f>
        <v/>
      </c>
      <c r="V251" s="3">
        <f>IF(OR(T251=1,P251=1),1,0)</f>
        <v/>
      </c>
      <c r="W251" s="3">
        <f>IF(OR(J251=1),1,0)</f>
        <v/>
      </c>
      <c r="X251" s="3">
        <f>IF(OR(I251=1,H251=1),1,0)</f>
        <v/>
      </c>
      <c r="Y251" s="3">
        <f>IF(OR(G251=1),1,0)</f>
        <v/>
      </c>
      <c r="Z251" s="3">
        <f>IF(OR(F251=1),1,0)</f>
        <v/>
      </c>
      <c r="AA251" s="3">
        <f>IF(OR(M251=1),1,0)</f>
        <v/>
      </c>
    </row>
    <row r="252">
      <c r="A252" s="22" t="inlineStr">
        <is>
          <t>42568ef0f1f540afd8986f7e29d068251cd75082</t>
        </is>
      </c>
      <c r="B252" s="22" t="inlineStr">
        <is>
          <t>2026-10</t>
        </is>
      </c>
      <c r="C252" s="22" t="inlineStr">
        <is>
          <t>YouTube</t>
        </is>
      </c>
      <c r="D252" s="22" t="n">
        <v>0</v>
      </c>
      <c r="E252" s="22" t="inlineStr">
        <is>
          <t>Arise News</t>
        </is>
      </c>
      <c r="F252" s="22" t="inlineStr">
        <is>
          <t>32K6xdF0lnA</t>
        </is>
      </c>
      <c r="G252" s="22" t="n">
        <v>0.784</v>
      </c>
      <c r="H252" s="22" t="n">
        <v>1</v>
      </c>
      <c r="I252" s="22" t="n">
        <v>0</v>
      </c>
      <c r="J252" s="22" t="n">
        <v>0</v>
      </c>
      <c r="K252" s="22" t="n">
        <v>0</v>
      </c>
      <c r="L252" s="22" t="n">
        <v>0</v>
      </c>
      <c r="M252" s="22" t="n">
        <v>0</v>
      </c>
      <c r="N252" s="22" t="n">
        <v>0</v>
      </c>
      <c r="O252" s="22" t="n">
        <v>0</v>
      </c>
      <c r="P252" s="22" t="n">
        <v>0</v>
      </c>
      <c r="Q252" s="22" t="n">
        <v>0</v>
      </c>
      <c r="R252" s="22" t="n">
        <v>0</v>
      </c>
      <c r="S252" s="22" t="n">
        <v>0</v>
      </c>
      <c r="T252" s="22" t="n">
        <v>0</v>
      </c>
      <c r="U252" s="3">
        <f>IF(OR(N252=1,Q252=1),1,0)</f>
        <v/>
      </c>
      <c r="V252" s="3">
        <f>IF(OR(T252=1,P252=1),1,0)</f>
        <v/>
      </c>
      <c r="W252" s="3">
        <f>IF(OR(J252=1),1,0)</f>
        <v/>
      </c>
      <c r="X252" s="3">
        <f>IF(OR(I252=1,H252=1),1,0)</f>
        <v/>
      </c>
      <c r="Y252" s="3">
        <f>IF(OR(G252=1),1,0)</f>
        <v/>
      </c>
      <c r="Z252" s="3">
        <f>IF(OR(F252=1),1,0)</f>
        <v/>
      </c>
      <c r="AA252" s="3">
        <f>IF(OR(M252=1),1,0)</f>
        <v/>
      </c>
    </row>
    <row r="253">
      <c r="A253" s="22" t="inlineStr">
        <is>
          <t>15dd817fcdd2052b8b1bddfaf3b1aa200045c443</t>
        </is>
      </c>
      <c r="B253" s="22" t="inlineStr">
        <is>
          <t>2026-10</t>
        </is>
      </c>
      <c r="C253" s="22" t="inlineStr">
        <is>
          <t>YouTube</t>
        </is>
      </c>
      <c r="D253" s="22" t="n">
        <v>0</v>
      </c>
      <c r="E253" s="22" t="inlineStr">
        <is>
          <t>Arise News</t>
        </is>
      </c>
      <c r="F253" s="22" t="inlineStr">
        <is>
          <t>32K6xdF0lnA</t>
        </is>
      </c>
      <c r="G253" s="22" t="n">
        <v>0.103</v>
      </c>
      <c r="H253" s="22" t="n">
        <v>0</v>
      </c>
      <c r="I253" s="22" t="n">
        <v>0</v>
      </c>
      <c r="J253" s="22" t="n">
        <v>0</v>
      </c>
      <c r="K253" s="22" t="n">
        <v>0</v>
      </c>
      <c r="L253" s="22" t="n">
        <v>0</v>
      </c>
      <c r="M253" s="22" t="n">
        <v>1</v>
      </c>
      <c r="N253" s="22" t="n">
        <v>0</v>
      </c>
      <c r="O253" s="22" t="n">
        <v>0</v>
      </c>
      <c r="P253" s="22" t="n">
        <v>0</v>
      </c>
      <c r="Q253" s="22" t="n">
        <v>0</v>
      </c>
      <c r="R253" s="22" t="n">
        <v>0</v>
      </c>
      <c r="S253" s="22" t="n">
        <v>0</v>
      </c>
      <c r="T253" s="22" t="n">
        <v>0</v>
      </c>
      <c r="U253" s="3">
        <f>IF(OR(N253=1,Q253=1),1,0)</f>
        <v/>
      </c>
      <c r="V253" s="3">
        <f>IF(OR(T253=1,P253=1),1,0)</f>
        <v/>
      </c>
      <c r="W253" s="3">
        <f>IF(OR(J253=1),1,0)</f>
        <v/>
      </c>
      <c r="X253" s="3">
        <f>IF(OR(I253=1,H253=1),1,0)</f>
        <v/>
      </c>
      <c r="Y253" s="3">
        <f>IF(OR(G253=1),1,0)</f>
        <v/>
      </c>
      <c r="Z253" s="3">
        <f>IF(OR(F253=1),1,0)</f>
        <v/>
      </c>
      <c r="AA253" s="3">
        <f>IF(OR(M253=1),1,0)</f>
        <v/>
      </c>
    </row>
    <row r="254">
      <c r="A254" s="22" t="inlineStr">
        <is>
          <t>9433f7a7f10af7188dc5bed2f345963e94f23e5e</t>
        </is>
      </c>
      <c r="B254" s="22" t="inlineStr">
        <is>
          <t>2026-10</t>
        </is>
      </c>
      <c r="C254" s="22" t="inlineStr">
        <is>
          <t>YouTube</t>
        </is>
      </c>
      <c r="D254" s="22" t="n">
        <v>0</v>
      </c>
      <c r="E254" s="22" t="inlineStr">
        <is>
          <t>Arise News</t>
        </is>
      </c>
      <c r="F254" s="22" t="inlineStr">
        <is>
          <t>32K6xdF0lnA</t>
        </is>
      </c>
      <c r="G254" s="22" t="n">
        <v>-0.6820000000000001</v>
      </c>
      <c r="H254" s="22" t="n">
        <v>1</v>
      </c>
      <c r="I254" s="22" t="n">
        <v>0</v>
      </c>
      <c r="J254" s="22" t="n">
        <v>0</v>
      </c>
      <c r="K254" s="22" t="n">
        <v>0</v>
      </c>
      <c r="L254" s="22" t="n">
        <v>0</v>
      </c>
      <c r="M254" s="22" t="n">
        <v>0</v>
      </c>
      <c r="N254" s="22" t="n">
        <v>0</v>
      </c>
      <c r="O254" s="22" t="n">
        <v>0</v>
      </c>
      <c r="P254" s="22" t="n">
        <v>0</v>
      </c>
      <c r="Q254" s="22" t="n">
        <v>0</v>
      </c>
      <c r="R254" s="22" t="n">
        <v>0</v>
      </c>
      <c r="S254" s="22" t="n">
        <v>0</v>
      </c>
      <c r="T254" s="22" t="n">
        <v>0</v>
      </c>
      <c r="U254" s="3">
        <f>IF(OR(N254=1,Q254=1),1,0)</f>
        <v/>
      </c>
      <c r="V254" s="3">
        <f>IF(OR(T254=1,P254=1),1,0)</f>
        <v/>
      </c>
      <c r="W254" s="3">
        <f>IF(OR(J254=1),1,0)</f>
        <v/>
      </c>
      <c r="X254" s="3">
        <f>IF(OR(I254=1,H254=1),1,0)</f>
        <v/>
      </c>
      <c r="Y254" s="3">
        <f>IF(OR(G254=1),1,0)</f>
        <v/>
      </c>
      <c r="Z254" s="3">
        <f>IF(OR(F254=1),1,0)</f>
        <v/>
      </c>
      <c r="AA254" s="3">
        <f>IF(OR(M254=1),1,0)</f>
        <v/>
      </c>
    </row>
    <row r="255">
      <c r="A255" s="22" t="inlineStr">
        <is>
          <t>bd43c3a26160494e0756e24ca48aa9106bd9abd8</t>
        </is>
      </c>
      <c r="B255" s="22" t="inlineStr">
        <is>
          <t>2026-10</t>
        </is>
      </c>
      <c r="C255" s="22" t="inlineStr">
        <is>
          <t>YouTube</t>
        </is>
      </c>
      <c r="D255" s="22" t="n">
        <v>0</v>
      </c>
      <c r="E255" s="22" t="inlineStr">
        <is>
          <t>Arise News</t>
        </is>
      </c>
      <c r="F255" s="22" t="inlineStr">
        <is>
          <t>32K6xdF0lnA</t>
        </is>
      </c>
      <c r="G255" s="22" t="n">
        <v>-0.637</v>
      </c>
      <c r="H255" s="22" t="n">
        <v>1</v>
      </c>
      <c r="I255" s="22" t="n">
        <v>0</v>
      </c>
      <c r="J255" s="22" t="n">
        <v>0</v>
      </c>
      <c r="K255" s="22" t="n">
        <v>0</v>
      </c>
      <c r="L255" s="22" t="n">
        <v>0</v>
      </c>
      <c r="M255" s="22" t="n">
        <v>1</v>
      </c>
      <c r="N255" s="22" t="n">
        <v>0</v>
      </c>
      <c r="O255" s="22" t="n">
        <v>0</v>
      </c>
      <c r="P255" s="22" t="n">
        <v>0</v>
      </c>
      <c r="Q255" s="22" t="n">
        <v>0</v>
      </c>
      <c r="R255" s="22" t="n">
        <v>0</v>
      </c>
      <c r="S255" s="22" t="n">
        <v>0</v>
      </c>
      <c r="T255" s="22" t="n">
        <v>0</v>
      </c>
      <c r="U255" s="3">
        <f>IF(OR(N255=1,Q255=1),1,0)</f>
        <v/>
      </c>
      <c r="V255" s="3">
        <f>IF(OR(T255=1,P255=1),1,0)</f>
        <v/>
      </c>
      <c r="W255" s="3">
        <f>IF(OR(J255=1),1,0)</f>
        <v/>
      </c>
      <c r="X255" s="3">
        <f>IF(OR(I255=1,H255=1),1,0)</f>
        <v/>
      </c>
      <c r="Y255" s="3">
        <f>IF(OR(G255=1),1,0)</f>
        <v/>
      </c>
      <c r="Z255" s="3">
        <f>IF(OR(F255=1),1,0)</f>
        <v/>
      </c>
      <c r="AA255" s="3">
        <f>IF(OR(M255=1),1,0)</f>
        <v/>
      </c>
    </row>
    <row r="256">
      <c r="A256" s="22" t="inlineStr">
        <is>
          <t>3bef01665c6ec3ac3c2c4c26698c410a79551d8d</t>
        </is>
      </c>
      <c r="B256" s="22" t="inlineStr">
        <is>
          <t>2026-02</t>
        </is>
      </c>
      <c r="C256" s="22" t="inlineStr">
        <is>
          <t>YouTube</t>
        </is>
      </c>
      <c r="D256" s="22" t="n">
        <v>0</v>
      </c>
      <c r="E256" s="22" t="inlineStr">
        <is>
          <t>Channels Television</t>
        </is>
      </c>
      <c r="F256" s="22" t="inlineStr">
        <is>
          <t>WIsZmOVRMHg</t>
        </is>
      </c>
      <c r="G256" s="22" t="n">
        <v>-0.71</v>
      </c>
      <c r="H256" s="22" t="n">
        <v>0</v>
      </c>
      <c r="I256" s="22" t="n">
        <v>0</v>
      </c>
      <c r="J256" s="22" t="n">
        <v>0</v>
      </c>
      <c r="K256" s="22" t="n">
        <v>0</v>
      </c>
      <c r="L256" s="22" t="n">
        <v>0</v>
      </c>
      <c r="M256" s="22" t="n">
        <v>1</v>
      </c>
      <c r="N256" s="22" t="n">
        <v>0</v>
      </c>
      <c r="O256" s="22" t="n">
        <v>0</v>
      </c>
      <c r="P256" s="22" t="n">
        <v>0</v>
      </c>
      <c r="Q256" s="22" t="n">
        <v>0</v>
      </c>
      <c r="R256" s="22" t="n">
        <v>0</v>
      </c>
      <c r="S256" s="22" t="n">
        <v>0</v>
      </c>
      <c r="T256" s="22" t="n">
        <v>0</v>
      </c>
      <c r="U256" s="3">
        <f>IF(OR(N256=1,Q256=1),1,0)</f>
        <v/>
      </c>
      <c r="V256" s="3">
        <f>IF(OR(T256=1,P256=1),1,0)</f>
        <v/>
      </c>
      <c r="W256" s="3">
        <f>IF(OR(J256=1),1,0)</f>
        <v/>
      </c>
      <c r="X256" s="3">
        <f>IF(OR(I256=1,H256=1),1,0)</f>
        <v/>
      </c>
      <c r="Y256" s="3">
        <f>IF(OR(G256=1),1,0)</f>
        <v/>
      </c>
      <c r="Z256" s="3">
        <f>IF(OR(F256=1),1,0)</f>
        <v/>
      </c>
      <c r="AA256" s="3">
        <f>IF(OR(M256=1),1,0)</f>
        <v/>
      </c>
    </row>
    <row r="257">
      <c r="A257" s="22" t="inlineStr">
        <is>
          <t>06f34b03f1541af16f4ac484061eee8ce01469e4</t>
        </is>
      </c>
      <c r="B257" s="22" t="inlineStr">
        <is>
          <t>2026-02</t>
        </is>
      </c>
      <c r="C257" s="22" t="inlineStr">
        <is>
          <t>YouTube</t>
        </is>
      </c>
      <c r="D257" s="22" t="n">
        <v>0</v>
      </c>
      <c r="E257" s="22" t="inlineStr">
        <is>
          <t>Channels Television</t>
        </is>
      </c>
      <c r="F257" s="22" t="inlineStr">
        <is>
          <t>WIsZmOVRMHg</t>
        </is>
      </c>
      <c r="G257" s="22" t="n">
        <v>-0.765</v>
      </c>
      <c r="H257" s="22" t="n">
        <v>0</v>
      </c>
      <c r="I257" s="22" t="n">
        <v>1</v>
      </c>
      <c r="J257" s="22" t="n">
        <v>0</v>
      </c>
      <c r="K257" s="22" t="n">
        <v>0</v>
      </c>
      <c r="L257" s="22" t="n">
        <v>0</v>
      </c>
      <c r="M257" s="22" t="n">
        <v>0</v>
      </c>
      <c r="N257" s="22" t="n">
        <v>0</v>
      </c>
      <c r="O257" s="22" t="n">
        <v>0</v>
      </c>
      <c r="P257" s="22" t="n">
        <v>0</v>
      </c>
      <c r="Q257" s="22" t="n">
        <v>0</v>
      </c>
      <c r="R257" s="22" t="n">
        <v>0</v>
      </c>
      <c r="S257" s="22" t="n">
        <v>0</v>
      </c>
      <c r="T257" s="22" t="n">
        <v>0</v>
      </c>
      <c r="U257" s="3">
        <f>IF(OR(N257=1,Q257=1),1,0)</f>
        <v/>
      </c>
      <c r="V257" s="3">
        <f>IF(OR(T257=1,P257=1),1,0)</f>
        <v/>
      </c>
      <c r="W257" s="3">
        <f>IF(OR(J257=1),1,0)</f>
        <v/>
      </c>
      <c r="X257" s="3">
        <f>IF(OR(I257=1,H257=1),1,0)</f>
        <v/>
      </c>
      <c r="Y257" s="3">
        <f>IF(OR(G257=1),1,0)</f>
        <v/>
      </c>
      <c r="Z257" s="3">
        <f>IF(OR(F257=1),1,0)</f>
        <v/>
      </c>
      <c r="AA257" s="3">
        <f>IF(OR(M257=1),1,0)</f>
        <v/>
      </c>
    </row>
    <row r="258">
      <c r="A258" s="22" t="inlineStr">
        <is>
          <t>ea61ba0d8941aff9da8e7396c3d4aeafc87ace83</t>
        </is>
      </c>
      <c r="B258" s="22" t="inlineStr">
        <is>
          <t>2026-02</t>
        </is>
      </c>
      <c r="C258" s="22" t="inlineStr">
        <is>
          <t>YouTube</t>
        </is>
      </c>
      <c r="D258" s="22" t="n">
        <v>0</v>
      </c>
      <c r="E258" s="22" t="inlineStr">
        <is>
          <t>Channels Television</t>
        </is>
      </c>
      <c r="F258" s="22" t="inlineStr">
        <is>
          <t>WIsZmOVRMHg</t>
        </is>
      </c>
      <c r="G258" s="22" t="n">
        <v>-0.7</v>
      </c>
      <c r="H258" s="22" t="n">
        <v>0</v>
      </c>
      <c r="I258" s="22" t="n">
        <v>0</v>
      </c>
      <c r="J258" s="22" t="n">
        <v>0</v>
      </c>
      <c r="K258" s="22" t="n">
        <v>0</v>
      </c>
      <c r="L258" s="22" t="n">
        <v>0</v>
      </c>
      <c r="M258" s="22" t="n">
        <v>1</v>
      </c>
      <c r="N258" s="22" t="n">
        <v>0</v>
      </c>
      <c r="O258" s="22" t="n">
        <v>0</v>
      </c>
      <c r="P258" s="22" t="n">
        <v>0</v>
      </c>
      <c r="Q258" s="22" t="n">
        <v>0</v>
      </c>
      <c r="R258" s="22" t="n">
        <v>0</v>
      </c>
      <c r="S258" s="22" t="n">
        <v>0</v>
      </c>
      <c r="T258" s="22" t="n">
        <v>0</v>
      </c>
      <c r="U258" s="3">
        <f>IF(OR(N258=1,Q258=1),1,0)</f>
        <v/>
      </c>
      <c r="V258" s="3">
        <f>IF(OR(T258=1,P258=1),1,0)</f>
        <v/>
      </c>
      <c r="W258" s="3">
        <f>IF(OR(J258=1),1,0)</f>
        <v/>
      </c>
      <c r="X258" s="3">
        <f>IF(OR(I258=1,H258=1),1,0)</f>
        <v/>
      </c>
      <c r="Y258" s="3">
        <f>IF(OR(G258=1),1,0)</f>
        <v/>
      </c>
      <c r="Z258" s="3">
        <f>IF(OR(F258=1),1,0)</f>
        <v/>
      </c>
      <c r="AA258" s="3">
        <f>IF(OR(M258=1),1,0)</f>
        <v/>
      </c>
    </row>
    <row r="259">
      <c r="A259" s="22" t="inlineStr">
        <is>
          <t>c78f0b23a3f223100ef2eb6b3b201d64527a4cc1</t>
        </is>
      </c>
      <c r="B259" s="22" t="inlineStr">
        <is>
          <t>2026-02</t>
        </is>
      </c>
      <c r="C259" s="22" t="inlineStr">
        <is>
          <t>YouTube</t>
        </is>
      </c>
      <c r="D259" s="22" t="n">
        <v>0</v>
      </c>
      <c r="E259" s="22" t="inlineStr">
        <is>
          <t>Channels Television</t>
        </is>
      </c>
      <c r="F259" s="22" t="inlineStr">
        <is>
          <t>WIsZmOVRMHg</t>
        </is>
      </c>
      <c r="G259" s="22" t="n">
        <v>-0.572</v>
      </c>
      <c r="H259" s="22" t="n">
        <v>0</v>
      </c>
      <c r="I259" s="22" t="n">
        <v>0</v>
      </c>
      <c r="J259" s="22" t="n">
        <v>0</v>
      </c>
      <c r="K259" s="22" t="n">
        <v>0</v>
      </c>
      <c r="L259" s="22" t="n">
        <v>0</v>
      </c>
      <c r="M259" s="22" t="n">
        <v>1</v>
      </c>
      <c r="N259" s="22" t="n">
        <v>0</v>
      </c>
      <c r="O259" s="22" t="n">
        <v>0</v>
      </c>
      <c r="P259" s="22" t="n">
        <v>0</v>
      </c>
      <c r="Q259" s="22" t="n">
        <v>0</v>
      </c>
      <c r="R259" s="22" t="n">
        <v>0</v>
      </c>
      <c r="S259" s="22" t="n">
        <v>0</v>
      </c>
      <c r="T259" s="22" t="n">
        <v>0</v>
      </c>
      <c r="U259" s="3">
        <f>IF(OR(N259=1,Q259=1),1,0)</f>
        <v/>
      </c>
      <c r="V259" s="3">
        <f>IF(OR(T259=1,P259=1),1,0)</f>
        <v/>
      </c>
      <c r="W259" s="3">
        <f>IF(OR(J259=1),1,0)</f>
        <v/>
      </c>
      <c r="X259" s="3">
        <f>IF(OR(I259=1,H259=1),1,0)</f>
        <v/>
      </c>
      <c r="Y259" s="3">
        <f>IF(OR(G259=1),1,0)</f>
        <v/>
      </c>
      <c r="Z259" s="3">
        <f>IF(OR(F259=1),1,0)</f>
        <v/>
      </c>
      <c r="AA259" s="3">
        <f>IF(OR(M259=1),1,0)</f>
        <v/>
      </c>
    </row>
    <row r="260">
      <c r="A260" s="22" t="inlineStr">
        <is>
          <t>1f93a75e62066c5860e0c3e939eed36836d15de7</t>
        </is>
      </c>
      <c r="B260" s="22" t="inlineStr">
        <is>
          <t>2026-02</t>
        </is>
      </c>
      <c r="C260" s="22" t="inlineStr">
        <is>
          <t>YouTube</t>
        </is>
      </c>
      <c r="D260" s="22" t="n">
        <v>0</v>
      </c>
      <c r="E260" s="22" t="inlineStr">
        <is>
          <t>Channels Television</t>
        </is>
      </c>
      <c r="F260" s="22" t="inlineStr">
        <is>
          <t>WIsZmOVRMHg</t>
        </is>
      </c>
      <c r="G260" s="22" t="n">
        <v>0.422</v>
      </c>
      <c r="H260" s="22" t="n">
        <v>0</v>
      </c>
      <c r="I260" s="22" t="n">
        <v>1</v>
      </c>
      <c r="J260" s="22" t="n">
        <v>0</v>
      </c>
      <c r="K260" s="22" t="n">
        <v>0</v>
      </c>
      <c r="L260" s="22" t="n">
        <v>0</v>
      </c>
      <c r="M260" s="22" t="n">
        <v>0</v>
      </c>
      <c r="N260" s="22" t="n">
        <v>0</v>
      </c>
      <c r="O260" s="22" t="n">
        <v>0</v>
      </c>
      <c r="P260" s="22" t="n">
        <v>0</v>
      </c>
      <c r="Q260" s="22" t="n">
        <v>0</v>
      </c>
      <c r="R260" s="22" t="n">
        <v>0</v>
      </c>
      <c r="S260" s="22" t="n">
        <v>0</v>
      </c>
      <c r="T260" s="22" t="n">
        <v>0</v>
      </c>
      <c r="U260" s="3">
        <f>IF(OR(N260=1,Q260=1),1,0)</f>
        <v/>
      </c>
      <c r="V260" s="3">
        <f>IF(OR(T260=1,P260=1),1,0)</f>
        <v/>
      </c>
      <c r="W260" s="3">
        <f>IF(OR(J260=1),1,0)</f>
        <v/>
      </c>
      <c r="X260" s="3">
        <f>IF(OR(I260=1,H260=1),1,0)</f>
        <v/>
      </c>
      <c r="Y260" s="3">
        <f>IF(OR(G260=1),1,0)</f>
        <v/>
      </c>
      <c r="Z260" s="3">
        <f>IF(OR(F260=1),1,0)</f>
        <v/>
      </c>
      <c r="AA260" s="3">
        <f>IF(OR(M260=1),1,0)</f>
        <v/>
      </c>
    </row>
    <row r="261">
      <c r="A261" s="22" t="inlineStr">
        <is>
          <t>19791d331805a76a8f97a81c23e784c7e760aa8f</t>
        </is>
      </c>
      <c r="B261" s="22" t="inlineStr">
        <is>
          <t>2026-02</t>
        </is>
      </c>
      <c r="C261" s="22" t="inlineStr">
        <is>
          <t>YouTube</t>
        </is>
      </c>
      <c r="D261" s="22" t="n">
        <v>0</v>
      </c>
      <c r="E261" s="22" t="inlineStr">
        <is>
          <t>Channels Television</t>
        </is>
      </c>
      <c r="F261" s="22" t="inlineStr">
        <is>
          <t>WIsZmOVRMHg</t>
        </is>
      </c>
      <c r="G261" s="22" t="n">
        <v>0.475</v>
      </c>
      <c r="H261" s="22" t="n">
        <v>0</v>
      </c>
      <c r="I261" s="22" t="n">
        <v>0</v>
      </c>
      <c r="J261" s="22" t="n">
        <v>0</v>
      </c>
      <c r="K261" s="22" t="n">
        <v>1</v>
      </c>
      <c r="L261" s="22" t="n">
        <v>0</v>
      </c>
      <c r="M261" s="22" t="n">
        <v>0</v>
      </c>
      <c r="N261" s="22" t="n">
        <v>0</v>
      </c>
      <c r="O261" s="22" t="n">
        <v>0</v>
      </c>
      <c r="P261" s="22" t="n">
        <v>0</v>
      </c>
      <c r="Q261" s="22" t="n">
        <v>0</v>
      </c>
      <c r="R261" s="22" t="n">
        <v>0</v>
      </c>
      <c r="S261" s="22" t="n">
        <v>0</v>
      </c>
      <c r="T261" s="22" t="n">
        <v>0</v>
      </c>
      <c r="U261" s="3">
        <f>IF(OR(N261=1,Q261=1),1,0)</f>
        <v/>
      </c>
      <c r="V261" s="3">
        <f>IF(OR(T261=1,P261=1),1,0)</f>
        <v/>
      </c>
      <c r="W261" s="3">
        <f>IF(OR(J261=1),1,0)</f>
        <v/>
      </c>
      <c r="X261" s="3">
        <f>IF(OR(I261=1,H261=1),1,0)</f>
        <v/>
      </c>
      <c r="Y261" s="3">
        <f>IF(OR(G261=1),1,0)</f>
        <v/>
      </c>
      <c r="Z261" s="3">
        <f>IF(OR(F261=1),1,0)</f>
        <v/>
      </c>
      <c r="AA261" s="3">
        <f>IF(OR(M261=1),1,0)</f>
        <v/>
      </c>
    </row>
    <row r="262">
      <c r="A262" s="22" t="inlineStr">
        <is>
          <t>2d4e7545c8d96b22124d4c3e7e8411c0e8ab9827</t>
        </is>
      </c>
      <c r="B262" s="22" t="inlineStr">
        <is>
          <t>2026-02</t>
        </is>
      </c>
      <c r="C262" s="22" t="inlineStr">
        <is>
          <t>YouTube</t>
        </is>
      </c>
      <c r="D262" s="22" t="n">
        <v>0</v>
      </c>
      <c r="E262" s="22" t="inlineStr">
        <is>
          <t>Channels Television</t>
        </is>
      </c>
      <c r="F262" s="22" t="inlineStr">
        <is>
          <t>WIsZmOVRMHg</t>
        </is>
      </c>
      <c r="G262" s="22" t="n">
        <v>-0.8070000000000001</v>
      </c>
      <c r="H262" s="22" t="n">
        <v>0</v>
      </c>
      <c r="I262" s="22" t="n">
        <v>1</v>
      </c>
      <c r="J262" s="22" t="n">
        <v>0</v>
      </c>
      <c r="K262" s="22" t="n">
        <v>0</v>
      </c>
      <c r="L262" s="22" t="n">
        <v>0</v>
      </c>
      <c r="M262" s="22" t="n">
        <v>1</v>
      </c>
      <c r="N262" s="22" t="n">
        <v>0</v>
      </c>
      <c r="O262" s="22" t="n">
        <v>0</v>
      </c>
      <c r="P262" s="22" t="n">
        <v>0</v>
      </c>
      <c r="Q262" s="22" t="n">
        <v>0</v>
      </c>
      <c r="R262" s="22" t="n">
        <v>0</v>
      </c>
      <c r="S262" s="22" t="n">
        <v>0</v>
      </c>
      <c r="T262" s="22" t="n">
        <v>0</v>
      </c>
      <c r="U262" s="3">
        <f>IF(OR(N262=1,Q262=1),1,0)</f>
        <v/>
      </c>
      <c r="V262" s="3">
        <f>IF(OR(T262=1,P262=1),1,0)</f>
        <v/>
      </c>
      <c r="W262" s="3">
        <f>IF(OR(J262=1),1,0)</f>
        <v/>
      </c>
      <c r="X262" s="3">
        <f>IF(OR(I262=1,H262=1),1,0)</f>
        <v/>
      </c>
      <c r="Y262" s="3">
        <f>IF(OR(G262=1),1,0)</f>
        <v/>
      </c>
      <c r="Z262" s="3">
        <f>IF(OR(F262=1),1,0)</f>
        <v/>
      </c>
      <c r="AA262" s="3">
        <f>IF(OR(M262=1),1,0)</f>
        <v/>
      </c>
    </row>
    <row r="263">
      <c r="A263" s="22" t="inlineStr">
        <is>
          <t>595671ef525047266f1c185a75bae8286bf4050c</t>
        </is>
      </c>
      <c r="B263" s="22" t="inlineStr">
        <is>
          <t>2026-02</t>
        </is>
      </c>
      <c r="C263" s="22" t="inlineStr">
        <is>
          <t>YouTube</t>
        </is>
      </c>
      <c r="D263" s="22" t="n">
        <v>0</v>
      </c>
      <c r="E263" s="22" t="inlineStr">
        <is>
          <t>Channels Television</t>
        </is>
      </c>
      <c r="F263" s="22" t="inlineStr">
        <is>
          <t>WIsZmOVRMHg</t>
        </is>
      </c>
      <c r="G263" s="22" t="n">
        <v>-0.535</v>
      </c>
      <c r="H263" s="22" t="n">
        <v>0</v>
      </c>
      <c r="I263" s="22" t="n">
        <v>1</v>
      </c>
      <c r="J263" s="22" t="n">
        <v>0</v>
      </c>
      <c r="K263" s="22" t="n">
        <v>0</v>
      </c>
      <c r="L263" s="22" t="n">
        <v>0</v>
      </c>
      <c r="M263" s="22" t="n">
        <v>0</v>
      </c>
      <c r="N263" s="22" t="n">
        <v>0</v>
      </c>
      <c r="O263" s="22" t="n">
        <v>0</v>
      </c>
      <c r="P263" s="22" t="n">
        <v>0</v>
      </c>
      <c r="Q263" s="22" t="n">
        <v>0</v>
      </c>
      <c r="R263" s="22" t="n">
        <v>0</v>
      </c>
      <c r="S263" s="22" t="n">
        <v>0</v>
      </c>
      <c r="T263" s="22" t="n">
        <v>0</v>
      </c>
      <c r="U263" s="3">
        <f>IF(OR(N263=1,Q263=1),1,0)</f>
        <v/>
      </c>
      <c r="V263" s="3">
        <f>IF(OR(T263=1,P263=1),1,0)</f>
        <v/>
      </c>
      <c r="W263" s="3">
        <f>IF(OR(J263=1),1,0)</f>
        <v/>
      </c>
      <c r="X263" s="3">
        <f>IF(OR(I263=1,H263=1),1,0)</f>
        <v/>
      </c>
      <c r="Y263" s="3">
        <f>IF(OR(G263=1),1,0)</f>
        <v/>
      </c>
      <c r="Z263" s="3">
        <f>IF(OR(F263=1),1,0)</f>
        <v/>
      </c>
      <c r="AA263" s="3">
        <f>IF(OR(M263=1),1,0)</f>
        <v/>
      </c>
    </row>
    <row r="264">
      <c r="A264" s="22" t="inlineStr">
        <is>
          <t>49fa64b05d0ef5ee45fb0d76bf91626545ea1abf</t>
        </is>
      </c>
      <c r="B264" s="22" t="inlineStr">
        <is>
          <t>2026-02</t>
        </is>
      </c>
      <c r="C264" s="22" t="inlineStr">
        <is>
          <t>YouTube</t>
        </is>
      </c>
      <c r="D264" s="22" t="n">
        <v>0</v>
      </c>
      <c r="E264" s="22" t="inlineStr">
        <is>
          <t>Channels Television</t>
        </is>
      </c>
      <c r="F264" s="22" t="inlineStr">
        <is>
          <t>WIsZmOVRMHg</t>
        </is>
      </c>
      <c r="G264" s="22" t="n">
        <v>-0.572</v>
      </c>
      <c r="H264" s="22" t="n">
        <v>0</v>
      </c>
      <c r="I264" s="22" t="n">
        <v>0</v>
      </c>
      <c r="J264" s="22" t="n">
        <v>0</v>
      </c>
      <c r="K264" s="22" t="n">
        <v>0</v>
      </c>
      <c r="L264" s="22" t="n">
        <v>0</v>
      </c>
      <c r="M264" s="22" t="n">
        <v>1</v>
      </c>
      <c r="N264" s="22" t="n">
        <v>0</v>
      </c>
      <c r="O264" s="22" t="n">
        <v>0</v>
      </c>
      <c r="P264" s="22" t="n">
        <v>0</v>
      </c>
      <c r="Q264" s="22" t="n">
        <v>0</v>
      </c>
      <c r="R264" s="22" t="n">
        <v>0</v>
      </c>
      <c r="S264" s="22" t="n">
        <v>0</v>
      </c>
      <c r="T264" s="22" t="n">
        <v>0</v>
      </c>
      <c r="U264" s="3">
        <f>IF(OR(N264=1,Q264=1),1,0)</f>
        <v/>
      </c>
      <c r="V264" s="3">
        <f>IF(OR(T264=1,P264=1),1,0)</f>
        <v/>
      </c>
      <c r="W264" s="3">
        <f>IF(OR(J264=1),1,0)</f>
        <v/>
      </c>
      <c r="X264" s="3">
        <f>IF(OR(I264=1,H264=1),1,0)</f>
        <v/>
      </c>
      <c r="Y264" s="3">
        <f>IF(OR(G264=1),1,0)</f>
        <v/>
      </c>
      <c r="Z264" s="3">
        <f>IF(OR(F264=1),1,0)</f>
        <v/>
      </c>
      <c r="AA264" s="3">
        <f>IF(OR(M264=1),1,0)</f>
        <v/>
      </c>
    </row>
    <row r="265">
      <c r="A265" s="22" t="inlineStr">
        <is>
          <t>ee5530d48a169ea7c34d462b4b4a26f0d5710360</t>
        </is>
      </c>
      <c r="B265" s="22" t="inlineStr">
        <is>
          <t>2026-02</t>
        </is>
      </c>
      <c r="C265" s="22" t="inlineStr">
        <is>
          <t>YouTube</t>
        </is>
      </c>
      <c r="D265" s="22" t="n">
        <v>0</v>
      </c>
      <c r="E265" s="22" t="inlineStr">
        <is>
          <t>Channels Television</t>
        </is>
      </c>
      <c r="F265" s="22" t="inlineStr">
        <is>
          <t>WIsZmOVRMHg</t>
        </is>
      </c>
      <c r="G265" s="22" t="n">
        <v>-0.477</v>
      </c>
      <c r="H265" s="22" t="n">
        <v>0</v>
      </c>
      <c r="I265" s="22" t="n">
        <v>0</v>
      </c>
      <c r="J265" s="22" t="n">
        <v>0</v>
      </c>
      <c r="K265" s="22" t="n">
        <v>0</v>
      </c>
      <c r="L265" s="22" t="n">
        <v>0</v>
      </c>
      <c r="M265" s="22" t="n">
        <v>1</v>
      </c>
      <c r="N265" s="22" t="n">
        <v>0</v>
      </c>
      <c r="O265" s="22" t="n">
        <v>0</v>
      </c>
      <c r="P265" s="22" t="n">
        <v>0</v>
      </c>
      <c r="Q265" s="22" t="n">
        <v>0</v>
      </c>
      <c r="R265" s="22" t="n">
        <v>0</v>
      </c>
      <c r="S265" s="22" t="n">
        <v>0</v>
      </c>
      <c r="T265" s="22" t="n">
        <v>0</v>
      </c>
      <c r="U265" s="3">
        <f>IF(OR(N265=1,Q265=1),1,0)</f>
        <v/>
      </c>
      <c r="V265" s="3">
        <f>IF(OR(T265=1,P265=1),1,0)</f>
        <v/>
      </c>
      <c r="W265" s="3">
        <f>IF(OR(J265=1),1,0)</f>
        <v/>
      </c>
      <c r="X265" s="3">
        <f>IF(OR(I265=1,H265=1),1,0)</f>
        <v/>
      </c>
      <c r="Y265" s="3">
        <f>IF(OR(G265=1),1,0)</f>
        <v/>
      </c>
      <c r="Z265" s="3">
        <f>IF(OR(F265=1),1,0)</f>
        <v/>
      </c>
      <c r="AA265" s="3">
        <f>IF(OR(M265=1),1,0)</f>
        <v/>
      </c>
    </row>
    <row r="266">
      <c r="A266" s="22" t="inlineStr">
        <is>
          <t>7b889dbae8a197e9ecbda1aef3e206fa3037a603</t>
        </is>
      </c>
      <c r="B266" s="22" t="inlineStr">
        <is>
          <t>2026-02</t>
        </is>
      </c>
      <c r="C266" s="22" t="inlineStr">
        <is>
          <t>YouTube</t>
        </is>
      </c>
      <c r="D266" s="22" t="n">
        <v>0</v>
      </c>
      <c r="E266" s="22" t="inlineStr">
        <is>
          <t>Channels Television</t>
        </is>
      </c>
      <c r="F266" s="22" t="inlineStr">
        <is>
          <t>WIsZmOVRMHg</t>
        </is>
      </c>
      <c r="G266" s="22" t="n">
        <v>0</v>
      </c>
      <c r="H266" s="22" t="n">
        <v>0</v>
      </c>
      <c r="I266" s="22" t="n">
        <v>1</v>
      </c>
      <c r="J266" s="22" t="n">
        <v>0</v>
      </c>
      <c r="K266" s="22" t="n">
        <v>0</v>
      </c>
      <c r="L266" s="22" t="n">
        <v>0</v>
      </c>
      <c r="M266" s="22" t="n">
        <v>0</v>
      </c>
      <c r="N266" s="22" t="n">
        <v>0</v>
      </c>
      <c r="O266" s="22" t="n">
        <v>0</v>
      </c>
      <c r="P266" s="22" t="n">
        <v>0</v>
      </c>
      <c r="Q266" s="22" t="n">
        <v>0</v>
      </c>
      <c r="R266" s="22" t="n">
        <v>0</v>
      </c>
      <c r="S266" s="22" t="n">
        <v>0</v>
      </c>
      <c r="T266" s="22" t="n">
        <v>0</v>
      </c>
      <c r="U266" s="3">
        <f>IF(OR(N266=1,Q266=1),1,0)</f>
        <v/>
      </c>
      <c r="V266" s="3">
        <f>IF(OR(T266=1,P266=1),1,0)</f>
        <v/>
      </c>
      <c r="W266" s="3">
        <f>IF(OR(J266=1),1,0)</f>
        <v/>
      </c>
      <c r="X266" s="3">
        <f>IF(OR(I266=1,H266=1),1,0)</f>
        <v/>
      </c>
      <c r="Y266" s="3">
        <f>IF(OR(G266=1),1,0)</f>
        <v/>
      </c>
      <c r="Z266" s="3">
        <f>IF(OR(F266=1),1,0)</f>
        <v/>
      </c>
      <c r="AA266" s="3">
        <f>IF(OR(M266=1),1,0)</f>
        <v/>
      </c>
    </row>
    <row r="267">
      <c r="A267" s="22" t="inlineStr">
        <is>
          <t>d79be0db523c4a6020c891591e1872259e73ff9d</t>
        </is>
      </c>
      <c r="B267" s="22" t="inlineStr">
        <is>
          <t>2026-02</t>
        </is>
      </c>
      <c r="C267" s="22" t="inlineStr">
        <is>
          <t>YouTube</t>
        </is>
      </c>
      <c r="D267" s="22" t="n">
        <v>0</v>
      </c>
      <c r="E267" s="22" t="inlineStr">
        <is>
          <t>Channels Television</t>
        </is>
      </c>
      <c r="F267" s="22" t="inlineStr">
        <is>
          <t>WIsZmOVRMHg</t>
        </is>
      </c>
      <c r="G267" s="22" t="n">
        <v>0</v>
      </c>
      <c r="H267" s="22" t="n">
        <v>0</v>
      </c>
      <c r="I267" s="22" t="n">
        <v>1</v>
      </c>
      <c r="J267" s="22" t="n">
        <v>0</v>
      </c>
      <c r="K267" s="22" t="n">
        <v>0</v>
      </c>
      <c r="L267" s="22" t="n">
        <v>0</v>
      </c>
      <c r="M267" s="22" t="n">
        <v>0</v>
      </c>
      <c r="N267" s="22" t="n">
        <v>0</v>
      </c>
      <c r="O267" s="22" t="n">
        <v>0</v>
      </c>
      <c r="P267" s="22" t="n">
        <v>0</v>
      </c>
      <c r="Q267" s="22" t="n">
        <v>0</v>
      </c>
      <c r="R267" s="22" t="n">
        <v>0</v>
      </c>
      <c r="S267" s="22" t="n">
        <v>0</v>
      </c>
      <c r="T267" s="22" t="n">
        <v>0</v>
      </c>
      <c r="U267" s="3">
        <f>IF(OR(N267=1,Q267=1),1,0)</f>
        <v/>
      </c>
      <c r="V267" s="3">
        <f>IF(OR(T267=1,P267=1),1,0)</f>
        <v/>
      </c>
      <c r="W267" s="3">
        <f>IF(OR(J267=1),1,0)</f>
        <v/>
      </c>
      <c r="X267" s="3">
        <f>IF(OR(I267=1,H267=1),1,0)</f>
        <v/>
      </c>
      <c r="Y267" s="3">
        <f>IF(OR(G267=1),1,0)</f>
        <v/>
      </c>
      <c r="Z267" s="3">
        <f>IF(OR(F267=1),1,0)</f>
        <v/>
      </c>
      <c r="AA267" s="3">
        <f>IF(OR(M267=1),1,0)</f>
        <v/>
      </c>
    </row>
    <row r="268">
      <c r="A268" s="22" t="inlineStr">
        <is>
          <t>009286265a6967350fad811891325dbfe10c8b77</t>
        </is>
      </c>
      <c r="B268" s="22" t="inlineStr">
        <is>
          <t>2026-02</t>
        </is>
      </c>
      <c r="C268" s="22" t="inlineStr">
        <is>
          <t>YouTube</t>
        </is>
      </c>
      <c r="D268" s="22" t="n">
        <v>0</v>
      </c>
      <c r="E268" s="22" t="inlineStr">
        <is>
          <t>Channels Television</t>
        </is>
      </c>
      <c r="F268" s="22" t="inlineStr">
        <is>
          <t>WIsZmOVRMHg</t>
        </is>
      </c>
      <c r="G268" s="22" t="n">
        <v>-0.871</v>
      </c>
      <c r="H268" s="22" t="n">
        <v>1</v>
      </c>
      <c r="I268" s="22" t="n">
        <v>1</v>
      </c>
      <c r="J268" s="22" t="n">
        <v>0</v>
      </c>
      <c r="K268" s="22" t="n">
        <v>0</v>
      </c>
      <c r="L268" s="22" t="n">
        <v>0</v>
      </c>
      <c r="M268" s="22" t="n">
        <v>1</v>
      </c>
      <c r="N268" s="22" t="n">
        <v>0</v>
      </c>
      <c r="O268" s="22" t="n">
        <v>0</v>
      </c>
      <c r="P268" s="22" t="n">
        <v>0</v>
      </c>
      <c r="Q268" s="22" t="n">
        <v>0</v>
      </c>
      <c r="R268" s="22" t="n">
        <v>0</v>
      </c>
      <c r="S268" s="22" t="n">
        <v>0</v>
      </c>
      <c r="T268" s="22" t="n">
        <v>0</v>
      </c>
      <c r="U268" s="3">
        <f>IF(OR(N268=1,Q268=1),1,0)</f>
        <v/>
      </c>
      <c r="V268" s="3">
        <f>IF(OR(T268=1,P268=1),1,0)</f>
        <v/>
      </c>
      <c r="W268" s="3">
        <f>IF(OR(J268=1),1,0)</f>
        <v/>
      </c>
      <c r="X268" s="3">
        <f>IF(OR(I268=1,H268=1),1,0)</f>
        <v/>
      </c>
      <c r="Y268" s="3">
        <f>IF(OR(G268=1),1,0)</f>
        <v/>
      </c>
      <c r="Z268" s="3">
        <f>IF(OR(F268=1),1,0)</f>
        <v/>
      </c>
      <c r="AA268" s="3">
        <f>IF(OR(M268=1),1,0)</f>
        <v/>
      </c>
    </row>
    <row r="269">
      <c r="A269" s="22" t="inlineStr">
        <is>
          <t>6c87213f95c03a692fc97679935407c6cbf1a33c</t>
        </is>
      </c>
      <c r="B269" s="22" t="inlineStr">
        <is>
          <t>2026-02</t>
        </is>
      </c>
      <c r="C269" s="22" t="inlineStr">
        <is>
          <t>YouTube</t>
        </is>
      </c>
      <c r="D269" s="22" t="n">
        <v>0</v>
      </c>
      <c r="E269" s="22" t="inlineStr">
        <is>
          <t>Channels Television</t>
        </is>
      </c>
      <c r="F269" s="22" t="inlineStr">
        <is>
          <t>WIsZmOVRMHg</t>
        </is>
      </c>
      <c r="G269" s="22" t="n">
        <v>0.077</v>
      </c>
      <c r="H269" s="22" t="n">
        <v>0</v>
      </c>
      <c r="I269" s="22" t="n">
        <v>1</v>
      </c>
      <c r="J269" s="22" t="n">
        <v>0</v>
      </c>
      <c r="K269" s="22" t="n">
        <v>0</v>
      </c>
      <c r="L269" s="22" t="n">
        <v>0</v>
      </c>
      <c r="M269" s="22" t="n">
        <v>0</v>
      </c>
      <c r="N269" s="22" t="n">
        <v>0</v>
      </c>
      <c r="O269" s="22" t="n">
        <v>0</v>
      </c>
      <c r="P269" s="22" t="n">
        <v>0</v>
      </c>
      <c r="Q269" s="22" t="n">
        <v>0</v>
      </c>
      <c r="R269" s="22" t="n">
        <v>0</v>
      </c>
      <c r="S269" s="22" t="n">
        <v>0</v>
      </c>
      <c r="T269" s="22" t="n">
        <v>0</v>
      </c>
      <c r="U269" s="3">
        <f>IF(OR(N269=1,Q269=1),1,0)</f>
        <v/>
      </c>
      <c r="V269" s="3">
        <f>IF(OR(T269=1,P269=1),1,0)</f>
        <v/>
      </c>
      <c r="W269" s="3">
        <f>IF(OR(J269=1),1,0)</f>
        <v/>
      </c>
      <c r="X269" s="3">
        <f>IF(OR(I269=1,H269=1),1,0)</f>
        <v/>
      </c>
      <c r="Y269" s="3">
        <f>IF(OR(G269=1),1,0)</f>
        <v/>
      </c>
      <c r="Z269" s="3">
        <f>IF(OR(F269=1),1,0)</f>
        <v/>
      </c>
      <c r="AA269" s="3">
        <f>IF(OR(M269=1),1,0)</f>
        <v/>
      </c>
    </row>
    <row r="270">
      <c r="A270" s="22" t="inlineStr">
        <is>
          <t>2506e2702d3b6bdfbcccb77c0b73bdedb78f6173</t>
        </is>
      </c>
      <c r="B270" s="22" t="inlineStr">
        <is>
          <t>2026-02</t>
        </is>
      </c>
      <c r="C270" s="22" t="inlineStr">
        <is>
          <t>YouTube</t>
        </is>
      </c>
      <c r="D270" s="22" t="n">
        <v>0</v>
      </c>
      <c r="E270" s="22" t="inlineStr">
        <is>
          <t>Channels Television</t>
        </is>
      </c>
      <c r="F270" s="22" t="inlineStr">
        <is>
          <t>WIsZmOVRMHg</t>
        </is>
      </c>
      <c r="G270" s="22" t="n">
        <v>0.925</v>
      </c>
      <c r="H270" s="22" t="n">
        <v>1</v>
      </c>
      <c r="I270" s="22" t="n">
        <v>0</v>
      </c>
      <c r="J270" s="22" t="n">
        <v>0</v>
      </c>
      <c r="K270" s="22" t="n">
        <v>0</v>
      </c>
      <c r="L270" s="22" t="n">
        <v>0</v>
      </c>
      <c r="M270" s="22" t="n">
        <v>0</v>
      </c>
      <c r="N270" s="22" t="n">
        <v>0</v>
      </c>
      <c r="O270" s="22" t="n">
        <v>0</v>
      </c>
      <c r="P270" s="22" t="n">
        <v>0</v>
      </c>
      <c r="Q270" s="22" t="n">
        <v>0</v>
      </c>
      <c r="R270" s="22" t="n">
        <v>0</v>
      </c>
      <c r="S270" s="22" t="n">
        <v>0</v>
      </c>
      <c r="T270" s="22" t="n">
        <v>0</v>
      </c>
      <c r="U270" s="3">
        <f>IF(OR(N270=1,Q270=1),1,0)</f>
        <v/>
      </c>
      <c r="V270" s="3">
        <f>IF(OR(T270=1,P270=1),1,0)</f>
        <v/>
      </c>
      <c r="W270" s="3">
        <f>IF(OR(J270=1),1,0)</f>
        <v/>
      </c>
      <c r="X270" s="3">
        <f>IF(OR(I270=1,H270=1),1,0)</f>
        <v/>
      </c>
      <c r="Y270" s="3">
        <f>IF(OR(G270=1),1,0)</f>
        <v/>
      </c>
      <c r="Z270" s="3">
        <f>IF(OR(F270=1),1,0)</f>
        <v/>
      </c>
      <c r="AA270" s="3">
        <f>IF(OR(M270=1),1,0)</f>
        <v/>
      </c>
    </row>
    <row r="271">
      <c r="A271" s="22" t="inlineStr">
        <is>
          <t>7195393097e1c062507debf3b7fea4007a13b34e</t>
        </is>
      </c>
      <c r="B271" s="22" t="inlineStr">
        <is>
          <t>2026-02</t>
        </is>
      </c>
      <c r="C271" s="22" t="inlineStr">
        <is>
          <t>YouTube</t>
        </is>
      </c>
      <c r="D271" s="22" t="n">
        <v>0</v>
      </c>
      <c r="E271" s="22" t="inlineStr">
        <is>
          <t>Channels Television</t>
        </is>
      </c>
      <c r="F271" s="22" t="inlineStr">
        <is>
          <t>WIsZmOVRMHg</t>
        </is>
      </c>
      <c r="G271" s="22" t="n">
        <v>-0.66</v>
      </c>
      <c r="H271" s="22" t="n">
        <v>1</v>
      </c>
      <c r="I271" s="22" t="n">
        <v>0</v>
      </c>
      <c r="J271" s="22" t="n">
        <v>0</v>
      </c>
      <c r="K271" s="22" t="n">
        <v>0</v>
      </c>
      <c r="L271" s="22" t="n">
        <v>0</v>
      </c>
      <c r="M271" s="22" t="n">
        <v>0</v>
      </c>
      <c r="N271" s="22" t="n">
        <v>0</v>
      </c>
      <c r="O271" s="22" t="n">
        <v>0</v>
      </c>
      <c r="P271" s="22" t="n">
        <v>0</v>
      </c>
      <c r="Q271" s="22" t="n">
        <v>0</v>
      </c>
      <c r="R271" s="22" t="n">
        <v>0</v>
      </c>
      <c r="S271" s="22" t="n">
        <v>0</v>
      </c>
      <c r="T271" s="22" t="n">
        <v>0</v>
      </c>
      <c r="U271" s="3">
        <f>IF(OR(N271=1,Q271=1),1,0)</f>
        <v/>
      </c>
      <c r="V271" s="3">
        <f>IF(OR(T271=1,P271=1),1,0)</f>
        <v/>
      </c>
      <c r="W271" s="3">
        <f>IF(OR(J271=1),1,0)</f>
        <v/>
      </c>
      <c r="X271" s="3">
        <f>IF(OR(I271=1,H271=1),1,0)</f>
        <v/>
      </c>
      <c r="Y271" s="3">
        <f>IF(OR(G271=1),1,0)</f>
        <v/>
      </c>
      <c r="Z271" s="3">
        <f>IF(OR(F271=1),1,0)</f>
        <v/>
      </c>
      <c r="AA271" s="3">
        <f>IF(OR(M271=1),1,0)</f>
        <v/>
      </c>
    </row>
    <row r="272">
      <c r="A272" s="22" t="inlineStr">
        <is>
          <t>eb18563a768f2963934c9e2bf4505834a7e15a6e</t>
        </is>
      </c>
      <c r="B272" s="22" t="inlineStr">
        <is>
          <t>2026-02</t>
        </is>
      </c>
      <c r="C272" s="22" t="inlineStr">
        <is>
          <t>YouTube</t>
        </is>
      </c>
      <c r="D272" s="22" t="n">
        <v>0</v>
      </c>
      <c r="E272" s="22" t="inlineStr">
        <is>
          <t>Channels Television</t>
        </is>
      </c>
      <c r="F272" s="22" t="inlineStr">
        <is>
          <t>WIsZmOVRMHg</t>
        </is>
      </c>
      <c r="G272" s="22" t="n">
        <v>-0.896</v>
      </c>
      <c r="H272" s="22" t="n">
        <v>1</v>
      </c>
      <c r="I272" s="22" t="n">
        <v>1</v>
      </c>
      <c r="J272" s="22" t="n">
        <v>0</v>
      </c>
      <c r="K272" s="22" t="n">
        <v>0</v>
      </c>
      <c r="L272" s="22" t="n">
        <v>0</v>
      </c>
      <c r="M272" s="22" t="n">
        <v>0</v>
      </c>
      <c r="N272" s="22" t="n">
        <v>0</v>
      </c>
      <c r="O272" s="22" t="n">
        <v>0</v>
      </c>
      <c r="P272" s="22" t="n">
        <v>0</v>
      </c>
      <c r="Q272" s="22" t="n">
        <v>0</v>
      </c>
      <c r="R272" s="22" t="n">
        <v>0</v>
      </c>
      <c r="S272" s="22" t="n">
        <v>0</v>
      </c>
      <c r="T272" s="22" t="n">
        <v>0</v>
      </c>
      <c r="U272" s="3">
        <f>IF(OR(N272=1,Q272=1),1,0)</f>
        <v/>
      </c>
      <c r="V272" s="3">
        <f>IF(OR(T272=1,P272=1),1,0)</f>
        <v/>
      </c>
      <c r="W272" s="3">
        <f>IF(OR(J272=1),1,0)</f>
        <v/>
      </c>
      <c r="X272" s="3">
        <f>IF(OR(I272=1,H272=1),1,0)</f>
        <v/>
      </c>
      <c r="Y272" s="3">
        <f>IF(OR(G272=1),1,0)</f>
        <v/>
      </c>
      <c r="Z272" s="3">
        <f>IF(OR(F272=1),1,0)</f>
        <v/>
      </c>
      <c r="AA272" s="3">
        <f>IF(OR(M272=1),1,0)</f>
        <v/>
      </c>
    </row>
    <row r="273">
      <c r="A273" s="22" t="inlineStr">
        <is>
          <t>e22e40376e6e175c14278079e57b2563ddd79e1a</t>
        </is>
      </c>
      <c r="B273" s="22" t="inlineStr">
        <is>
          <t>2026-02</t>
        </is>
      </c>
      <c r="C273" s="22" t="inlineStr">
        <is>
          <t>YouTube</t>
        </is>
      </c>
      <c r="D273" s="22" t="n">
        <v>0</v>
      </c>
      <c r="E273" s="22" t="inlineStr">
        <is>
          <t>Channels Television</t>
        </is>
      </c>
      <c r="F273" s="22" t="inlineStr">
        <is>
          <t>WIsZmOVRMHg</t>
        </is>
      </c>
      <c r="G273" s="22" t="n">
        <v>-0.128</v>
      </c>
      <c r="H273" s="22" t="n">
        <v>0</v>
      </c>
      <c r="I273" s="22" t="n">
        <v>1</v>
      </c>
      <c r="J273" s="22" t="n">
        <v>0</v>
      </c>
      <c r="K273" s="22" t="n">
        <v>0</v>
      </c>
      <c r="L273" s="22" t="n">
        <v>0</v>
      </c>
      <c r="M273" s="22" t="n">
        <v>0</v>
      </c>
      <c r="N273" s="22" t="n">
        <v>0</v>
      </c>
      <c r="O273" s="22" t="n">
        <v>0</v>
      </c>
      <c r="P273" s="22" t="n">
        <v>0</v>
      </c>
      <c r="Q273" s="22" t="n">
        <v>0</v>
      </c>
      <c r="R273" s="22" t="n">
        <v>0</v>
      </c>
      <c r="S273" s="22" t="n">
        <v>0</v>
      </c>
      <c r="T273" s="22" t="n">
        <v>0</v>
      </c>
      <c r="U273" s="3">
        <f>IF(OR(N273=1,Q273=1),1,0)</f>
        <v/>
      </c>
      <c r="V273" s="3">
        <f>IF(OR(T273=1,P273=1),1,0)</f>
        <v/>
      </c>
      <c r="W273" s="3">
        <f>IF(OR(J273=1),1,0)</f>
        <v/>
      </c>
      <c r="X273" s="3">
        <f>IF(OR(I273=1,H273=1),1,0)</f>
        <v/>
      </c>
      <c r="Y273" s="3">
        <f>IF(OR(G273=1),1,0)</f>
        <v/>
      </c>
      <c r="Z273" s="3">
        <f>IF(OR(F273=1),1,0)</f>
        <v/>
      </c>
      <c r="AA273" s="3">
        <f>IF(OR(M273=1),1,0)</f>
        <v/>
      </c>
    </row>
    <row r="274">
      <c r="A274" s="22" t="inlineStr">
        <is>
          <t>20ec8302495110dabc6850f80205af7a15c30497</t>
        </is>
      </c>
      <c r="B274" s="22" t="inlineStr">
        <is>
          <t>2026-02</t>
        </is>
      </c>
      <c r="C274" s="22" t="inlineStr">
        <is>
          <t>YouTube</t>
        </is>
      </c>
      <c r="D274" s="22" t="n">
        <v>0</v>
      </c>
      <c r="E274" s="22" t="inlineStr">
        <is>
          <t>Channels Television</t>
        </is>
      </c>
      <c r="F274" s="22" t="inlineStr">
        <is>
          <t>WIsZmOVRMHg</t>
        </is>
      </c>
      <c r="G274" s="22" t="n">
        <v>-0.4</v>
      </c>
      <c r="H274" s="22" t="n">
        <v>0</v>
      </c>
      <c r="I274" s="22" t="n">
        <v>1</v>
      </c>
      <c r="J274" s="22" t="n">
        <v>0</v>
      </c>
      <c r="K274" s="22" t="n">
        <v>0</v>
      </c>
      <c r="L274" s="22" t="n">
        <v>0</v>
      </c>
      <c r="M274" s="22" t="n">
        <v>1</v>
      </c>
      <c r="N274" s="22" t="n">
        <v>0</v>
      </c>
      <c r="O274" s="22" t="n">
        <v>0</v>
      </c>
      <c r="P274" s="22" t="n">
        <v>0</v>
      </c>
      <c r="Q274" s="22" t="n">
        <v>0</v>
      </c>
      <c r="R274" s="22" t="n">
        <v>0</v>
      </c>
      <c r="S274" s="22" t="n">
        <v>0</v>
      </c>
      <c r="T274" s="22" t="n">
        <v>0</v>
      </c>
      <c r="U274" s="3">
        <f>IF(OR(N274=1,Q274=1),1,0)</f>
        <v/>
      </c>
      <c r="V274" s="3">
        <f>IF(OR(T274=1,P274=1),1,0)</f>
        <v/>
      </c>
      <c r="W274" s="3">
        <f>IF(OR(J274=1),1,0)</f>
        <v/>
      </c>
      <c r="X274" s="3">
        <f>IF(OR(I274=1,H274=1),1,0)</f>
        <v/>
      </c>
      <c r="Y274" s="3">
        <f>IF(OR(G274=1),1,0)</f>
        <v/>
      </c>
      <c r="Z274" s="3">
        <f>IF(OR(F274=1),1,0)</f>
        <v/>
      </c>
      <c r="AA274" s="3">
        <f>IF(OR(M274=1),1,0)</f>
        <v/>
      </c>
    </row>
    <row r="275">
      <c r="A275" s="22" t="inlineStr">
        <is>
          <t>f6e6d75e3163ea67c650be11a6ced9fbbb87ab6f</t>
        </is>
      </c>
      <c r="B275" s="22" t="inlineStr">
        <is>
          <t>2026-02</t>
        </is>
      </c>
      <c r="C275" s="22" t="inlineStr">
        <is>
          <t>YouTube</t>
        </is>
      </c>
      <c r="D275" s="22" t="n">
        <v>0</v>
      </c>
      <c r="E275" s="22" t="inlineStr">
        <is>
          <t>Channels Television</t>
        </is>
      </c>
      <c r="F275" s="22" t="inlineStr">
        <is>
          <t>WIsZmOVRMHg</t>
        </is>
      </c>
      <c r="G275" s="22" t="n">
        <v>0.25</v>
      </c>
      <c r="H275" s="22" t="n">
        <v>0</v>
      </c>
      <c r="I275" s="22" t="n">
        <v>1</v>
      </c>
      <c r="J275" s="22" t="n">
        <v>0</v>
      </c>
      <c r="K275" s="22" t="n">
        <v>0</v>
      </c>
      <c r="L275" s="22" t="n">
        <v>0</v>
      </c>
      <c r="M275" s="22" t="n">
        <v>0</v>
      </c>
      <c r="N275" s="22" t="n">
        <v>0</v>
      </c>
      <c r="O275" s="22" t="n">
        <v>0</v>
      </c>
      <c r="P275" s="22" t="n">
        <v>0</v>
      </c>
      <c r="Q275" s="22" t="n">
        <v>0</v>
      </c>
      <c r="R275" s="22" t="n">
        <v>0</v>
      </c>
      <c r="S275" s="22" t="n">
        <v>0</v>
      </c>
      <c r="T275" s="22" t="n">
        <v>0</v>
      </c>
      <c r="U275" s="3">
        <f>IF(OR(N275=1,Q275=1),1,0)</f>
        <v/>
      </c>
      <c r="V275" s="3">
        <f>IF(OR(T275=1,P275=1),1,0)</f>
        <v/>
      </c>
      <c r="W275" s="3">
        <f>IF(OR(J275=1),1,0)</f>
        <v/>
      </c>
      <c r="X275" s="3">
        <f>IF(OR(I275=1,H275=1),1,0)</f>
        <v/>
      </c>
      <c r="Y275" s="3">
        <f>IF(OR(G275=1),1,0)</f>
        <v/>
      </c>
      <c r="Z275" s="3">
        <f>IF(OR(F275=1),1,0)</f>
        <v/>
      </c>
      <c r="AA275" s="3">
        <f>IF(OR(M275=1),1,0)</f>
        <v/>
      </c>
    </row>
    <row r="276">
      <c r="A276" s="22" t="inlineStr">
        <is>
          <t>3c0d13c3539c0fc80f5f71a4357b4d407f92de26</t>
        </is>
      </c>
      <c r="B276" s="22" t="inlineStr">
        <is>
          <t>2026-02</t>
        </is>
      </c>
      <c r="C276" s="22" t="inlineStr">
        <is>
          <t>YouTube</t>
        </is>
      </c>
      <c r="D276" s="22" t="n">
        <v>0</v>
      </c>
      <c r="E276" s="22" t="inlineStr">
        <is>
          <t>Channels Television</t>
        </is>
      </c>
      <c r="F276" s="22" t="inlineStr">
        <is>
          <t>WIsZmOVRMHg</t>
        </is>
      </c>
      <c r="G276" s="22" t="n">
        <v>0.077</v>
      </c>
      <c r="H276" s="22" t="n">
        <v>0</v>
      </c>
      <c r="I276" s="22" t="n">
        <v>1</v>
      </c>
      <c r="J276" s="22" t="n">
        <v>0</v>
      </c>
      <c r="K276" s="22" t="n">
        <v>0</v>
      </c>
      <c r="L276" s="22" t="n">
        <v>0</v>
      </c>
      <c r="M276" s="22" t="n">
        <v>0</v>
      </c>
      <c r="N276" s="22" t="n">
        <v>0</v>
      </c>
      <c r="O276" s="22" t="n">
        <v>0</v>
      </c>
      <c r="P276" s="22" t="n">
        <v>0</v>
      </c>
      <c r="Q276" s="22" t="n">
        <v>0</v>
      </c>
      <c r="R276" s="22" t="n">
        <v>0</v>
      </c>
      <c r="S276" s="22" t="n">
        <v>0</v>
      </c>
      <c r="T276" s="22" t="n">
        <v>0</v>
      </c>
      <c r="U276" s="3">
        <f>IF(OR(N276=1,Q276=1),1,0)</f>
        <v/>
      </c>
      <c r="V276" s="3">
        <f>IF(OR(T276=1,P276=1),1,0)</f>
        <v/>
      </c>
      <c r="W276" s="3">
        <f>IF(OR(J276=1),1,0)</f>
        <v/>
      </c>
      <c r="X276" s="3">
        <f>IF(OR(I276=1,H276=1),1,0)</f>
        <v/>
      </c>
      <c r="Y276" s="3">
        <f>IF(OR(G276=1),1,0)</f>
        <v/>
      </c>
      <c r="Z276" s="3">
        <f>IF(OR(F276=1),1,0)</f>
        <v/>
      </c>
      <c r="AA276" s="3">
        <f>IF(OR(M276=1),1,0)</f>
        <v/>
      </c>
    </row>
    <row r="277">
      <c r="A277" s="22" t="inlineStr">
        <is>
          <t>830d8c7fa516b99409c68f504145b7920713f38c</t>
        </is>
      </c>
      <c r="B277" s="22" t="inlineStr">
        <is>
          <t>2026-02</t>
        </is>
      </c>
      <c r="C277" s="22" t="inlineStr">
        <is>
          <t>YouTube</t>
        </is>
      </c>
      <c r="D277" s="22" t="n">
        <v>0</v>
      </c>
      <c r="E277" s="22" t="inlineStr">
        <is>
          <t>Channels Television</t>
        </is>
      </c>
      <c r="F277" s="22" t="inlineStr">
        <is>
          <t>WIsZmOVRMHg</t>
        </is>
      </c>
      <c r="G277" s="22" t="n">
        <v>0.372</v>
      </c>
      <c r="H277" s="22" t="n">
        <v>0</v>
      </c>
      <c r="I277" s="22" t="n">
        <v>1</v>
      </c>
      <c r="J277" s="22" t="n">
        <v>0</v>
      </c>
      <c r="K277" s="22" t="n">
        <v>0</v>
      </c>
      <c r="L277" s="22" t="n">
        <v>0</v>
      </c>
      <c r="M277" s="22" t="n">
        <v>0</v>
      </c>
      <c r="N277" s="22" t="n">
        <v>0</v>
      </c>
      <c r="O277" s="22" t="n">
        <v>0</v>
      </c>
      <c r="P277" s="22" t="n">
        <v>0</v>
      </c>
      <c r="Q277" s="22" t="n">
        <v>0</v>
      </c>
      <c r="R277" s="22" t="n">
        <v>0</v>
      </c>
      <c r="S277" s="22" t="n">
        <v>0</v>
      </c>
      <c r="T277" s="22" t="n">
        <v>0</v>
      </c>
      <c r="U277" s="3">
        <f>IF(OR(N277=1,Q277=1),1,0)</f>
        <v/>
      </c>
      <c r="V277" s="3">
        <f>IF(OR(T277=1,P277=1),1,0)</f>
        <v/>
      </c>
      <c r="W277" s="3">
        <f>IF(OR(J277=1),1,0)</f>
        <v/>
      </c>
      <c r="X277" s="3">
        <f>IF(OR(I277=1,H277=1),1,0)</f>
        <v/>
      </c>
      <c r="Y277" s="3">
        <f>IF(OR(G277=1),1,0)</f>
        <v/>
      </c>
      <c r="Z277" s="3">
        <f>IF(OR(F277=1),1,0)</f>
        <v/>
      </c>
      <c r="AA277" s="3">
        <f>IF(OR(M277=1),1,0)</f>
        <v/>
      </c>
    </row>
    <row r="278">
      <c r="A278" s="22" t="inlineStr">
        <is>
          <t>e97d6c0bc44926e9ee749c969610de6598e141b5</t>
        </is>
      </c>
      <c r="B278" s="22" t="inlineStr">
        <is>
          <t>2026-02</t>
        </is>
      </c>
      <c r="C278" s="22" t="inlineStr">
        <is>
          <t>YouTube</t>
        </is>
      </c>
      <c r="D278" s="22" t="n">
        <v>0</v>
      </c>
      <c r="E278" s="22" t="inlineStr">
        <is>
          <t>Channels Television</t>
        </is>
      </c>
      <c r="F278" s="22" t="inlineStr">
        <is>
          <t>WIsZmOVRMHg</t>
        </is>
      </c>
      <c r="G278" s="22" t="n">
        <v>-0.83</v>
      </c>
      <c r="H278" s="22" t="n">
        <v>0</v>
      </c>
      <c r="I278" s="22" t="n">
        <v>1</v>
      </c>
      <c r="J278" s="22" t="n">
        <v>0</v>
      </c>
      <c r="K278" s="22" t="n">
        <v>0</v>
      </c>
      <c r="L278" s="22" t="n">
        <v>0</v>
      </c>
      <c r="M278" s="22" t="n">
        <v>1</v>
      </c>
      <c r="N278" s="22" t="n">
        <v>0</v>
      </c>
      <c r="O278" s="22" t="n">
        <v>0</v>
      </c>
      <c r="P278" s="22" t="n">
        <v>0</v>
      </c>
      <c r="Q278" s="22" t="n">
        <v>0</v>
      </c>
      <c r="R278" s="22" t="n">
        <v>0</v>
      </c>
      <c r="S278" s="22" t="n">
        <v>0</v>
      </c>
      <c r="T278" s="22" t="n">
        <v>0</v>
      </c>
      <c r="U278" s="3">
        <f>IF(OR(N278=1,Q278=1),1,0)</f>
        <v/>
      </c>
      <c r="V278" s="3">
        <f>IF(OR(T278=1,P278=1),1,0)</f>
        <v/>
      </c>
      <c r="W278" s="3">
        <f>IF(OR(J278=1),1,0)</f>
        <v/>
      </c>
      <c r="X278" s="3">
        <f>IF(OR(I278=1,H278=1),1,0)</f>
        <v/>
      </c>
      <c r="Y278" s="3">
        <f>IF(OR(G278=1),1,0)</f>
        <v/>
      </c>
      <c r="Z278" s="3">
        <f>IF(OR(F278=1),1,0)</f>
        <v/>
      </c>
      <c r="AA278" s="3">
        <f>IF(OR(M278=1),1,0)</f>
        <v/>
      </c>
    </row>
    <row r="279">
      <c r="A279" s="22" t="inlineStr">
        <is>
          <t>c6619af5f3deb9650864ad2e291ee3afe1f77351</t>
        </is>
      </c>
      <c r="B279" s="22" t="inlineStr">
        <is>
          <t>2026-02</t>
        </is>
      </c>
      <c r="C279" s="22" t="inlineStr">
        <is>
          <t>YouTube</t>
        </is>
      </c>
      <c r="D279" s="22" t="n">
        <v>0</v>
      </c>
      <c r="E279" s="22" t="inlineStr">
        <is>
          <t>Channels Television</t>
        </is>
      </c>
      <c r="F279" s="22" t="inlineStr">
        <is>
          <t>WIsZmOVRMHg</t>
        </is>
      </c>
      <c r="G279" s="22" t="n">
        <v>-0.494</v>
      </c>
      <c r="H279" s="22" t="n">
        <v>1</v>
      </c>
      <c r="I279" s="22" t="n">
        <v>0</v>
      </c>
      <c r="J279" s="22" t="n">
        <v>0</v>
      </c>
      <c r="K279" s="22" t="n">
        <v>0</v>
      </c>
      <c r="L279" s="22" t="n">
        <v>0</v>
      </c>
      <c r="M279" s="22" t="n">
        <v>1</v>
      </c>
      <c r="N279" s="22" t="n">
        <v>0</v>
      </c>
      <c r="O279" s="22" t="n">
        <v>0</v>
      </c>
      <c r="P279" s="22" t="n">
        <v>0</v>
      </c>
      <c r="Q279" s="22" t="n">
        <v>0</v>
      </c>
      <c r="R279" s="22" t="n">
        <v>0</v>
      </c>
      <c r="S279" s="22" t="n">
        <v>0</v>
      </c>
      <c r="T279" s="22" t="n">
        <v>0</v>
      </c>
      <c r="U279" s="3">
        <f>IF(OR(N279=1,Q279=1),1,0)</f>
        <v/>
      </c>
      <c r="V279" s="3">
        <f>IF(OR(T279=1,P279=1),1,0)</f>
        <v/>
      </c>
      <c r="W279" s="3">
        <f>IF(OR(J279=1),1,0)</f>
        <v/>
      </c>
      <c r="X279" s="3">
        <f>IF(OR(I279=1,H279=1),1,0)</f>
        <v/>
      </c>
      <c r="Y279" s="3">
        <f>IF(OR(G279=1),1,0)</f>
        <v/>
      </c>
      <c r="Z279" s="3">
        <f>IF(OR(F279=1),1,0)</f>
        <v/>
      </c>
      <c r="AA279" s="3">
        <f>IF(OR(M279=1),1,0)</f>
        <v/>
      </c>
    </row>
    <row r="280">
      <c r="A280" s="22" t="inlineStr">
        <is>
          <t>7a371312b55313bf1b968b88adec9c8508f8de6c</t>
        </is>
      </c>
      <c r="B280" s="22" t="inlineStr">
        <is>
          <t>2026-02</t>
        </is>
      </c>
      <c r="C280" s="22" t="inlineStr">
        <is>
          <t>YouTube</t>
        </is>
      </c>
      <c r="D280" s="22" t="n">
        <v>0</v>
      </c>
      <c r="E280" s="22" t="inlineStr">
        <is>
          <t>Channels Television</t>
        </is>
      </c>
      <c r="F280" s="22" t="inlineStr">
        <is>
          <t>WIsZmOVRMHg</t>
        </is>
      </c>
      <c r="G280" s="22" t="n">
        <v>0.243</v>
      </c>
      <c r="H280" s="22" t="n">
        <v>1</v>
      </c>
      <c r="I280" s="22" t="n">
        <v>0</v>
      </c>
      <c r="J280" s="22" t="n">
        <v>0</v>
      </c>
      <c r="K280" s="22" t="n">
        <v>0</v>
      </c>
      <c r="L280" s="22" t="n">
        <v>0</v>
      </c>
      <c r="M280" s="22" t="n">
        <v>0</v>
      </c>
      <c r="N280" s="22" t="n">
        <v>0</v>
      </c>
      <c r="O280" s="22" t="n">
        <v>0</v>
      </c>
      <c r="P280" s="22" t="n">
        <v>0</v>
      </c>
      <c r="Q280" s="22" t="n">
        <v>0</v>
      </c>
      <c r="R280" s="22" t="n">
        <v>0</v>
      </c>
      <c r="S280" s="22" t="n">
        <v>0</v>
      </c>
      <c r="T280" s="22" t="n">
        <v>0</v>
      </c>
      <c r="U280" s="3">
        <f>IF(OR(N280=1,Q280=1),1,0)</f>
        <v/>
      </c>
      <c r="V280" s="3">
        <f>IF(OR(T280=1,P280=1),1,0)</f>
        <v/>
      </c>
      <c r="W280" s="3">
        <f>IF(OR(J280=1),1,0)</f>
        <v/>
      </c>
      <c r="X280" s="3">
        <f>IF(OR(I280=1,H280=1),1,0)</f>
        <v/>
      </c>
      <c r="Y280" s="3">
        <f>IF(OR(G280=1),1,0)</f>
        <v/>
      </c>
      <c r="Z280" s="3">
        <f>IF(OR(F280=1),1,0)</f>
        <v/>
      </c>
      <c r="AA280" s="3">
        <f>IF(OR(M280=1),1,0)</f>
        <v/>
      </c>
    </row>
    <row r="281">
      <c r="A281" s="22" t="inlineStr">
        <is>
          <t>0d138e5f070c68665d173b6bac2fc7850b1dc175</t>
        </is>
      </c>
      <c r="B281" s="22" t="inlineStr">
        <is>
          <t>2026-02</t>
        </is>
      </c>
      <c r="C281" s="22" t="inlineStr">
        <is>
          <t>YouTube</t>
        </is>
      </c>
      <c r="D281" s="22" t="n">
        <v>0</v>
      </c>
      <c r="E281" s="22" t="inlineStr">
        <is>
          <t>Channels Television</t>
        </is>
      </c>
      <c r="F281" s="22" t="inlineStr">
        <is>
          <t>WIsZmOVRMHg</t>
        </is>
      </c>
      <c r="G281" s="22" t="n">
        <v>0.024</v>
      </c>
      <c r="H281" s="22" t="n">
        <v>1</v>
      </c>
      <c r="I281" s="22" t="n">
        <v>0</v>
      </c>
      <c r="J281" s="22" t="n">
        <v>0</v>
      </c>
      <c r="K281" s="22" t="n">
        <v>0</v>
      </c>
      <c r="L281" s="22" t="n">
        <v>0</v>
      </c>
      <c r="M281" s="22" t="n">
        <v>0</v>
      </c>
      <c r="N281" s="22" t="n">
        <v>0</v>
      </c>
      <c r="O281" s="22" t="n">
        <v>0</v>
      </c>
      <c r="P281" s="22" t="n">
        <v>0</v>
      </c>
      <c r="Q281" s="22" t="n">
        <v>0</v>
      </c>
      <c r="R281" s="22" t="n">
        <v>0</v>
      </c>
      <c r="S281" s="22" t="n">
        <v>0</v>
      </c>
      <c r="T281" s="22" t="n">
        <v>0</v>
      </c>
      <c r="U281" s="3">
        <f>IF(OR(N281=1,Q281=1),1,0)</f>
        <v/>
      </c>
      <c r="V281" s="3">
        <f>IF(OR(T281=1,P281=1),1,0)</f>
        <v/>
      </c>
      <c r="W281" s="3">
        <f>IF(OR(J281=1),1,0)</f>
        <v/>
      </c>
      <c r="X281" s="3">
        <f>IF(OR(I281=1,H281=1),1,0)</f>
        <v/>
      </c>
      <c r="Y281" s="3">
        <f>IF(OR(G281=1),1,0)</f>
        <v/>
      </c>
      <c r="Z281" s="3">
        <f>IF(OR(F281=1),1,0)</f>
        <v/>
      </c>
      <c r="AA281" s="3">
        <f>IF(OR(M281=1),1,0)</f>
        <v/>
      </c>
    </row>
    <row r="282">
      <c r="A282" s="22" t="inlineStr">
        <is>
          <t>829abea6237d28e055f7052c8f4fafc87aa8c1d1</t>
        </is>
      </c>
      <c r="B282" s="22" t="inlineStr">
        <is>
          <t>2026-02</t>
        </is>
      </c>
      <c r="C282" s="22" t="inlineStr">
        <is>
          <t>YouTube</t>
        </is>
      </c>
      <c r="D282" s="22" t="n">
        <v>0</v>
      </c>
      <c r="E282" s="22" t="inlineStr">
        <is>
          <t>Channels Television</t>
        </is>
      </c>
      <c r="F282" s="22" t="inlineStr">
        <is>
          <t>WIsZmOVRMHg</t>
        </is>
      </c>
      <c r="G282" s="22" t="n">
        <v>-0.077</v>
      </c>
      <c r="H282" s="22" t="n">
        <v>0</v>
      </c>
      <c r="I282" s="22" t="n">
        <v>1</v>
      </c>
      <c r="J282" s="22" t="n">
        <v>0</v>
      </c>
      <c r="K282" s="22" t="n">
        <v>0</v>
      </c>
      <c r="L282" s="22" t="n">
        <v>0</v>
      </c>
      <c r="M282" s="22" t="n">
        <v>0</v>
      </c>
      <c r="N282" s="22" t="n">
        <v>0</v>
      </c>
      <c r="O282" s="22" t="n">
        <v>0</v>
      </c>
      <c r="P282" s="22" t="n">
        <v>0</v>
      </c>
      <c r="Q282" s="22" t="n">
        <v>0</v>
      </c>
      <c r="R282" s="22" t="n">
        <v>0</v>
      </c>
      <c r="S282" s="22" t="n">
        <v>0</v>
      </c>
      <c r="T282" s="22" t="n">
        <v>0</v>
      </c>
      <c r="U282" s="3">
        <f>IF(OR(N282=1,Q282=1),1,0)</f>
        <v/>
      </c>
      <c r="V282" s="3">
        <f>IF(OR(T282=1,P282=1),1,0)</f>
        <v/>
      </c>
      <c r="W282" s="3">
        <f>IF(OR(J282=1),1,0)</f>
        <v/>
      </c>
      <c r="X282" s="3">
        <f>IF(OR(I282=1,H282=1),1,0)</f>
        <v/>
      </c>
      <c r="Y282" s="3">
        <f>IF(OR(G282=1),1,0)</f>
        <v/>
      </c>
      <c r="Z282" s="3">
        <f>IF(OR(F282=1),1,0)</f>
        <v/>
      </c>
      <c r="AA282" s="3">
        <f>IF(OR(M282=1),1,0)</f>
        <v/>
      </c>
    </row>
    <row r="283">
      <c r="A283" s="22" t="inlineStr">
        <is>
          <t>92be68df87eab2035693d02a7eafc6b0aaaf2035</t>
        </is>
      </c>
      <c r="B283" s="22" t="inlineStr">
        <is>
          <t>2026-02</t>
        </is>
      </c>
      <c r="C283" s="22" t="inlineStr">
        <is>
          <t>YouTube</t>
        </is>
      </c>
      <c r="D283" s="22" t="n">
        <v>0</v>
      </c>
      <c r="E283" s="22" t="inlineStr">
        <is>
          <t>Channels Television</t>
        </is>
      </c>
      <c r="F283" s="22" t="inlineStr">
        <is>
          <t>WIsZmOVRMHg</t>
        </is>
      </c>
      <c r="G283" s="22" t="n">
        <v>-0.178</v>
      </c>
      <c r="H283" s="22" t="n">
        <v>1</v>
      </c>
      <c r="I283" s="22" t="n">
        <v>0</v>
      </c>
      <c r="J283" s="22" t="n">
        <v>0</v>
      </c>
      <c r="K283" s="22" t="n">
        <v>0</v>
      </c>
      <c r="L283" s="22" t="n">
        <v>0</v>
      </c>
      <c r="M283" s="22" t="n">
        <v>0</v>
      </c>
      <c r="N283" s="22" t="n">
        <v>0</v>
      </c>
      <c r="O283" s="22" t="n">
        <v>0</v>
      </c>
      <c r="P283" s="22" t="n">
        <v>0</v>
      </c>
      <c r="Q283" s="22" t="n">
        <v>0</v>
      </c>
      <c r="R283" s="22" t="n">
        <v>0</v>
      </c>
      <c r="S283" s="22" t="n">
        <v>0</v>
      </c>
      <c r="T283" s="22" t="n">
        <v>0</v>
      </c>
      <c r="U283" s="3">
        <f>IF(OR(N283=1,Q283=1),1,0)</f>
        <v/>
      </c>
      <c r="V283" s="3">
        <f>IF(OR(T283=1,P283=1),1,0)</f>
        <v/>
      </c>
      <c r="W283" s="3">
        <f>IF(OR(J283=1),1,0)</f>
        <v/>
      </c>
      <c r="X283" s="3">
        <f>IF(OR(I283=1,H283=1),1,0)</f>
        <v/>
      </c>
      <c r="Y283" s="3">
        <f>IF(OR(G283=1),1,0)</f>
        <v/>
      </c>
      <c r="Z283" s="3">
        <f>IF(OR(F283=1),1,0)</f>
        <v/>
      </c>
      <c r="AA283" s="3">
        <f>IF(OR(M283=1),1,0)</f>
        <v/>
      </c>
    </row>
    <row r="284">
      <c r="A284" s="22" t="inlineStr">
        <is>
          <t>d4ec3f2b30563b2cfaf7cbd6d4f90b7555548515</t>
        </is>
      </c>
      <c r="B284" s="22" t="inlineStr">
        <is>
          <t>2026-02</t>
        </is>
      </c>
      <c r="C284" s="22" t="inlineStr">
        <is>
          <t>YouTube</t>
        </is>
      </c>
      <c r="D284" s="22" t="n">
        <v>0</v>
      </c>
      <c r="E284" s="22" t="inlineStr">
        <is>
          <t>Channels Television</t>
        </is>
      </c>
      <c r="F284" s="22" t="inlineStr">
        <is>
          <t>WIsZmOVRMHg</t>
        </is>
      </c>
      <c r="G284" s="22" t="n">
        <v>-0.34</v>
      </c>
      <c r="H284" s="22" t="n">
        <v>1</v>
      </c>
      <c r="I284" s="22" t="n">
        <v>0</v>
      </c>
      <c r="J284" s="22" t="n">
        <v>0</v>
      </c>
      <c r="K284" s="22" t="n">
        <v>0</v>
      </c>
      <c r="L284" s="22" t="n">
        <v>0</v>
      </c>
      <c r="M284" s="22" t="n">
        <v>0</v>
      </c>
      <c r="N284" s="22" t="n">
        <v>0</v>
      </c>
      <c r="O284" s="22" t="n">
        <v>0</v>
      </c>
      <c r="P284" s="22" t="n">
        <v>0</v>
      </c>
      <c r="Q284" s="22" t="n">
        <v>0</v>
      </c>
      <c r="R284" s="22" t="n">
        <v>0</v>
      </c>
      <c r="S284" s="22" t="n">
        <v>0</v>
      </c>
      <c r="T284" s="22" t="n">
        <v>0</v>
      </c>
      <c r="U284" s="3">
        <f>IF(OR(N284=1,Q284=1),1,0)</f>
        <v/>
      </c>
      <c r="V284" s="3">
        <f>IF(OR(T284=1,P284=1),1,0)</f>
        <v/>
      </c>
      <c r="W284" s="3">
        <f>IF(OR(J284=1),1,0)</f>
        <v/>
      </c>
      <c r="X284" s="3">
        <f>IF(OR(I284=1,H284=1),1,0)</f>
        <v/>
      </c>
      <c r="Y284" s="3">
        <f>IF(OR(G284=1),1,0)</f>
        <v/>
      </c>
      <c r="Z284" s="3">
        <f>IF(OR(F284=1),1,0)</f>
        <v/>
      </c>
      <c r="AA284" s="3">
        <f>IF(OR(M284=1),1,0)</f>
        <v/>
      </c>
    </row>
    <row r="285">
      <c r="A285" s="22" t="inlineStr">
        <is>
          <t>79354a94ccf304bfe41eb091a72f2d2178e42ac5</t>
        </is>
      </c>
      <c r="B285" s="22" t="inlineStr">
        <is>
          <t>2026-02</t>
        </is>
      </c>
      <c r="C285" s="22" t="inlineStr">
        <is>
          <t>YouTube</t>
        </is>
      </c>
      <c r="D285" s="22" t="n">
        <v>0</v>
      </c>
      <c r="E285" s="22" t="inlineStr">
        <is>
          <t>Channels Television</t>
        </is>
      </c>
      <c r="F285" s="22" t="inlineStr">
        <is>
          <t>WIsZmOVRMHg</t>
        </is>
      </c>
      <c r="G285" s="22" t="n">
        <v>0.796</v>
      </c>
      <c r="H285" s="22" t="n">
        <v>0</v>
      </c>
      <c r="I285" s="22" t="n">
        <v>1</v>
      </c>
      <c r="J285" s="22" t="n">
        <v>0</v>
      </c>
      <c r="K285" s="22" t="n">
        <v>0</v>
      </c>
      <c r="L285" s="22" t="n">
        <v>0</v>
      </c>
      <c r="M285" s="22" t="n">
        <v>0</v>
      </c>
      <c r="N285" s="22" t="n">
        <v>0</v>
      </c>
      <c r="O285" s="22" t="n">
        <v>0</v>
      </c>
      <c r="P285" s="22" t="n">
        <v>0</v>
      </c>
      <c r="Q285" s="22" t="n">
        <v>0</v>
      </c>
      <c r="R285" s="22" t="n">
        <v>0</v>
      </c>
      <c r="S285" s="22" t="n">
        <v>0</v>
      </c>
      <c r="T285" s="22" t="n">
        <v>0</v>
      </c>
      <c r="U285" s="3">
        <f>IF(OR(N285=1,Q285=1),1,0)</f>
        <v/>
      </c>
      <c r="V285" s="3">
        <f>IF(OR(T285=1,P285=1),1,0)</f>
        <v/>
      </c>
      <c r="W285" s="3">
        <f>IF(OR(J285=1),1,0)</f>
        <v/>
      </c>
      <c r="X285" s="3">
        <f>IF(OR(I285=1,H285=1),1,0)</f>
        <v/>
      </c>
      <c r="Y285" s="3">
        <f>IF(OR(G285=1),1,0)</f>
        <v/>
      </c>
      <c r="Z285" s="3">
        <f>IF(OR(F285=1),1,0)</f>
        <v/>
      </c>
      <c r="AA285" s="3">
        <f>IF(OR(M285=1),1,0)</f>
        <v/>
      </c>
    </row>
    <row r="286">
      <c r="A286" s="22" t="inlineStr">
        <is>
          <t>d2b7db44ae3ba49e4d3846a0a9877b299ab6127f</t>
        </is>
      </c>
      <c r="B286" s="22" t="inlineStr">
        <is>
          <t>2026-02</t>
        </is>
      </c>
      <c r="C286" s="22" t="inlineStr">
        <is>
          <t>YouTube</t>
        </is>
      </c>
      <c r="D286" s="22" t="n">
        <v>0</v>
      </c>
      <c r="E286" s="22" t="inlineStr">
        <is>
          <t>Channels Television</t>
        </is>
      </c>
      <c r="F286" s="22" t="inlineStr">
        <is>
          <t>WIsZmOVRMHg</t>
        </is>
      </c>
      <c r="G286" s="22" t="n">
        <v>-0.671</v>
      </c>
      <c r="H286" s="22" t="n">
        <v>0</v>
      </c>
      <c r="I286" s="22" t="n">
        <v>1</v>
      </c>
      <c r="J286" s="22" t="n">
        <v>0</v>
      </c>
      <c r="K286" s="22" t="n">
        <v>0</v>
      </c>
      <c r="L286" s="22" t="n">
        <v>0</v>
      </c>
      <c r="M286" s="22" t="n">
        <v>1</v>
      </c>
      <c r="N286" s="22" t="n">
        <v>0</v>
      </c>
      <c r="O286" s="22" t="n">
        <v>0</v>
      </c>
      <c r="P286" s="22" t="n">
        <v>0</v>
      </c>
      <c r="Q286" s="22" t="n">
        <v>0</v>
      </c>
      <c r="R286" s="22" t="n">
        <v>0</v>
      </c>
      <c r="S286" s="22" t="n">
        <v>0</v>
      </c>
      <c r="T286" s="22" t="n">
        <v>0</v>
      </c>
      <c r="U286" s="3">
        <f>IF(OR(N286=1,Q286=1),1,0)</f>
        <v/>
      </c>
      <c r="V286" s="3">
        <f>IF(OR(T286=1,P286=1),1,0)</f>
        <v/>
      </c>
      <c r="W286" s="3">
        <f>IF(OR(J286=1),1,0)</f>
        <v/>
      </c>
      <c r="X286" s="3">
        <f>IF(OR(I286=1,H286=1),1,0)</f>
        <v/>
      </c>
      <c r="Y286" s="3">
        <f>IF(OR(G286=1),1,0)</f>
        <v/>
      </c>
      <c r="Z286" s="3">
        <f>IF(OR(F286=1),1,0)</f>
        <v/>
      </c>
      <c r="AA286" s="3">
        <f>IF(OR(M286=1),1,0)</f>
        <v/>
      </c>
    </row>
    <row r="287">
      <c r="A287" s="22" t="inlineStr">
        <is>
          <t>cc497c1eb9b3811475ffef7de533de7037713ddb</t>
        </is>
      </c>
      <c r="B287" s="22" t="inlineStr">
        <is>
          <t>2026-02</t>
        </is>
      </c>
      <c r="C287" s="22" t="inlineStr">
        <is>
          <t>YouTube</t>
        </is>
      </c>
      <c r="D287" s="22" t="n">
        <v>0</v>
      </c>
      <c r="E287" s="22" t="inlineStr">
        <is>
          <t>Channels Television</t>
        </is>
      </c>
      <c r="F287" s="22" t="inlineStr">
        <is>
          <t>WIsZmOVRMHg</t>
        </is>
      </c>
      <c r="G287" s="22" t="n">
        <v>-0.52</v>
      </c>
      <c r="H287" s="22" t="n">
        <v>0</v>
      </c>
      <c r="I287" s="22" t="n">
        <v>1</v>
      </c>
      <c r="J287" s="22" t="n">
        <v>0</v>
      </c>
      <c r="K287" s="22" t="n">
        <v>0</v>
      </c>
      <c r="L287" s="22" t="n">
        <v>0</v>
      </c>
      <c r="M287" s="22" t="n">
        <v>0</v>
      </c>
      <c r="N287" s="22" t="n">
        <v>0</v>
      </c>
      <c r="O287" s="22" t="n">
        <v>0</v>
      </c>
      <c r="P287" s="22" t="n">
        <v>0</v>
      </c>
      <c r="Q287" s="22" t="n">
        <v>0</v>
      </c>
      <c r="R287" s="22" t="n">
        <v>0</v>
      </c>
      <c r="S287" s="22" t="n">
        <v>0</v>
      </c>
      <c r="T287" s="22" t="n">
        <v>0</v>
      </c>
      <c r="U287" s="3">
        <f>IF(OR(N287=1,Q287=1),1,0)</f>
        <v/>
      </c>
      <c r="V287" s="3">
        <f>IF(OR(T287=1,P287=1),1,0)</f>
        <v/>
      </c>
      <c r="W287" s="3">
        <f>IF(OR(J287=1),1,0)</f>
        <v/>
      </c>
      <c r="X287" s="3">
        <f>IF(OR(I287=1,H287=1),1,0)</f>
        <v/>
      </c>
      <c r="Y287" s="3">
        <f>IF(OR(G287=1),1,0)</f>
        <v/>
      </c>
      <c r="Z287" s="3">
        <f>IF(OR(F287=1),1,0)</f>
        <v/>
      </c>
      <c r="AA287" s="3">
        <f>IF(OR(M287=1),1,0)</f>
        <v/>
      </c>
    </row>
    <row r="288">
      <c r="A288" s="22" t="inlineStr">
        <is>
          <t>4961e467725029c6134d356f9cedda62539c5000</t>
        </is>
      </c>
      <c r="B288" s="22" t="inlineStr">
        <is>
          <t>2026-02</t>
        </is>
      </c>
      <c r="C288" s="22" t="inlineStr">
        <is>
          <t>YouTube</t>
        </is>
      </c>
      <c r="D288" s="22" t="n">
        <v>0</v>
      </c>
      <c r="E288" s="22" t="inlineStr">
        <is>
          <t>Channels Television</t>
        </is>
      </c>
      <c r="F288" s="22" t="inlineStr">
        <is>
          <t>WIsZmOVRMHg</t>
        </is>
      </c>
      <c r="G288" s="22" t="n">
        <v>0.004</v>
      </c>
      <c r="H288" s="22" t="n">
        <v>0</v>
      </c>
      <c r="I288" s="22" t="n">
        <v>1</v>
      </c>
      <c r="J288" s="22" t="n">
        <v>0</v>
      </c>
      <c r="K288" s="22" t="n">
        <v>0</v>
      </c>
      <c r="L288" s="22" t="n">
        <v>0</v>
      </c>
      <c r="M288" s="22" t="n">
        <v>0</v>
      </c>
      <c r="N288" s="22" t="n">
        <v>0</v>
      </c>
      <c r="O288" s="22" t="n">
        <v>0</v>
      </c>
      <c r="P288" s="22" t="n">
        <v>0</v>
      </c>
      <c r="Q288" s="22" t="n">
        <v>0</v>
      </c>
      <c r="R288" s="22" t="n">
        <v>0</v>
      </c>
      <c r="S288" s="22" t="n">
        <v>0</v>
      </c>
      <c r="T288" s="22" t="n">
        <v>0</v>
      </c>
      <c r="U288" s="3">
        <f>IF(OR(N288=1,Q288=1),1,0)</f>
        <v/>
      </c>
      <c r="V288" s="3">
        <f>IF(OR(T288=1,P288=1),1,0)</f>
        <v/>
      </c>
      <c r="W288" s="3">
        <f>IF(OR(J288=1),1,0)</f>
        <v/>
      </c>
      <c r="X288" s="3">
        <f>IF(OR(I288=1,H288=1),1,0)</f>
        <v/>
      </c>
      <c r="Y288" s="3">
        <f>IF(OR(G288=1),1,0)</f>
        <v/>
      </c>
      <c r="Z288" s="3">
        <f>IF(OR(F288=1),1,0)</f>
        <v/>
      </c>
      <c r="AA288" s="3">
        <f>IF(OR(M288=1),1,0)</f>
        <v/>
      </c>
    </row>
    <row r="289">
      <c r="A289" s="22" t="inlineStr">
        <is>
          <t>e1d045d07ea8df441543ed01ea29d1e0a2f15838</t>
        </is>
      </c>
      <c r="B289" s="22" t="inlineStr">
        <is>
          <t>2026-02</t>
        </is>
      </c>
      <c r="C289" s="22" t="inlineStr">
        <is>
          <t>YouTube</t>
        </is>
      </c>
      <c r="D289" s="22" t="n">
        <v>0</v>
      </c>
      <c r="E289" s="22" t="inlineStr">
        <is>
          <t>Channels Television</t>
        </is>
      </c>
      <c r="F289" s="22" t="inlineStr">
        <is>
          <t>WIsZmOVRMHg</t>
        </is>
      </c>
      <c r="G289" s="22" t="n">
        <v>-0.129</v>
      </c>
      <c r="H289" s="22" t="n">
        <v>0</v>
      </c>
      <c r="I289" s="22" t="n">
        <v>1</v>
      </c>
      <c r="J289" s="22" t="n">
        <v>0</v>
      </c>
      <c r="K289" s="22" t="n">
        <v>0</v>
      </c>
      <c r="L289" s="22" t="n">
        <v>0</v>
      </c>
      <c r="M289" s="22" t="n">
        <v>0</v>
      </c>
      <c r="N289" s="22" t="n">
        <v>0</v>
      </c>
      <c r="O289" s="22" t="n">
        <v>0</v>
      </c>
      <c r="P289" s="22" t="n">
        <v>0</v>
      </c>
      <c r="Q289" s="22" t="n">
        <v>0</v>
      </c>
      <c r="R289" s="22" t="n">
        <v>0</v>
      </c>
      <c r="S289" s="22" t="n">
        <v>0</v>
      </c>
      <c r="T289" s="22" t="n">
        <v>0</v>
      </c>
      <c r="U289" s="3">
        <f>IF(OR(N289=1,Q289=1),1,0)</f>
        <v/>
      </c>
      <c r="V289" s="3">
        <f>IF(OR(T289=1,P289=1),1,0)</f>
        <v/>
      </c>
      <c r="W289" s="3">
        <f>IF(OR(J289=1),1,0)</f>
        <v/>
      </c>
      <c r="X289" s="3">
        <f>IF(OR(I289=1,H289=1),1,0)</f>
        <v/>
      </c>
      <c r="Y289" s="3">
        <f>IF(OR(G289=1),1,0)</f>
        <v/>
      </c>
      <c r="Z289" s="3">
        <f>IF(OR(F289=1),1,0)</f>
        <v/>
      </c>
      <c r="AA289" s="3">
        <f>IF(OR(M289=1),1,0)</f>
        <v/>
      </c>
    </row>
    <row r="290">
      <c r="A290" s="22" t="inlineStr">
        <is>
          <t>f944921ccb9a14014a4de9113cfca1fc09d0b12f</t>
        </is>
      </c>
      <c r="B290" s="22" t="inlineStr">
        <is>
          <t>2026-02</t>
        </is>
      </c>
      <c r="C290" s="22" t="inlineStr">
        <is>
          <t>YouTube</t>
        </is>
      </c>
      <c r="D290" s="22" t="n">
        <v>0</v>
      </c>
      <c r="E290" s="22" t="inlineStr">
        <is>
          <t>Channels Television</t>
        </is>
      </c>
      <c r="F290" s="22" t="inlineStr">
        <is>
          <t>WIsZmOVRMHg</t>
        </is>
      </c>
      <c r="G290" s="22" t="n">
        <v>0.637</v>
      </c>
      <c r="H290" s="22" t="n">
        <v>0</v>
      </c>
      <c r="I290" s="22" t="n">
        <v>0</v>
      </c>
      <c r="J290" s="22" t="n">
        <v>0</v>
      </c>
      <c r="K290" s="22" t="n">
        <v>0</v>
      </c>
      <c r="L290" s="22" t="n">
        <v>0</v>
      </c>
      <c r="M290" s="22" t="n">
        <v>1</v>
      </c>
      <c r="N290" s="22" t="n">
        <v>0</v>
      </c>
      <c r="O290" s="22" t="n">
        <v>0</v>
      </c>
      <c r="P290" s="22" t="n">
        <v>0</v>
      </c>
      <c r="Q290" s="22" t="n">
        <v>0</v>
      </c>
      <c r="R290" s="22" t="n">
        <v>0</v>
      </c>
      <c r="S290" s="22" t="n">
        <v>0</v>
      </c>
      <c r="T290" s="22" t="n">
        <v>0</v>
      </c>
      <c r="U290" s="3">
        <f>IF(OR(N290=1,Q290=1),1,0)</f>
        <v/>
      </c>
      <c r="V290" s="3">
        <f>IF(OR(T290=1,P290=1),1,0)</f>
        <v/>
      </c>
      <c r="W290" s="3">
        <f>IF(OR(J290=1),1,0)</f>
        <v/>
      </c>
      <c r="X290" s="3">
        <f>IF(OR(I290=1,H290=1),1,0)</f>
        <v/>
      </c>
      <c r="Y290" s="3">
        <f>IF(OR(G290=1),1,0)</f>
        <v/>
      </c>
      <c r="Z290" s="3">
        <f>IF(OR(F290=1),1,0)</f>
        <v/>
      </c>
      <c r="AA290" s="3">
        <f>IF(OR(M290=1),1,0)</f>
        <v/>
      </c>
    </row>
    <row r="291">
      <c r="A291" s="22" t="inlineStr">
        <is>
          <t>f35f1150d3af5737e3f49215add497ee06402637</t>
        </is>
      </c>
      <c r="B291" s="22" t="inlineStr">
        <is>
          <t>2026-02</t>
        </is>
      </c>
      <c r="C291" s="22" t="inlineStr">
        <is>
          <t>YouTube</t>
        </is>
      </c>
      <c r="D291" s="22" t="n">
        <v>0</v>
      </c>
      <c r="E291" s="22" t="inlineStr">
        <is>
          <t>Channels Television</t>
        </is>
      </c>
      <c r="F291" s="22" t="inlineStr">
        <is>
          <t>WIsZmOVRMHg</t>
        </is>
      </c>
      <c r="G291" s="22" t="n">
        <v>-0.6860000000000001</v>
      </c>
      <c r="H291" s="22" t="n">
        <v>0</v>
      </c>
      <c r="I291" s="22" t="n">
        <v>0</v>
      </c>
      <c r="J291" s="22" t="n">
        <v>0</v>
      </c>
      <c r="K291" s="22" t="n">
        <v>0</v>
      </c>
      <c r="L291" s="22" t="n">
        <v>0</v>
      </c>
      <c r="M291" s="22" t="n">
        <v>1</v>
      </c>
      <c r="N291" s="22" t="n">
        <v>0</v>
      </c>
      <c r="O291" s="22" t="n">
        <v>0</v>
      </c>
      <c r="P291" s="22" t="n">
        <v>0</v>
      </c>
      <c r="Q291" s="22" t="n">
        <v>0</v>
      </c>
      <c r="R291" s="22" t="n">
        <v>0</v>
      </c>
      <c r="S291" s="22" t="n">
        <v>0</v>
      </c>
      <c r="T291" s="22" t="n">
        <v>0</v>
      </c>
      <c r="U291" s="3">
        <f>IF(OR(N291=1,Q291=1),1,0)</f>
        <v/>
      </c>
      <c r="V291" s="3">
        <f>IF(OR(T291=1,P291=1),1,0)</f>
        <v/>
      </c>
      <c r="W291" s="3">
        <f>IF(OR(J291=1),1,0)</f>
        <v/>
      </c>
      <c r="X291" s="3">
        <f>IF(OR(I291=1,H291=1),1,0)</f>
        <v/>
      </c>
      <c r="Y291" s="3">
        <f>IF(OR(G291=1),1,0)</f>
        <v/>
      </c>
      <c r="Z291" s="3">
        <f>IF(OR(F291=1),1,0)</f>
        <v/>
      </c>
      <c r="AA291" s="3">
        <f>IF(OR(M291=1),1,0)</f>
        <v/>
      </c>
    </row>
    <row r="292">
      <c r="A292" s="22" t="inlineStr">
        <is>
          <t>b4ef69c5ba30b8398ecb99aa250fc33304591450</t>
        </is>
      </c>
      <c r="B292" s="22" t="inlineStr">
        <is>
          <t>2026-02</t>
        </is>
      </c>
      <c r="C292" s="22" t="inlineStr">
        <is>
          <t>YouTube</t>
        </is>
      </c>
      <c r="D292" s="22" t="n">
        <v>0</v>
      </c>
      <c r="E292" s="22" t="inlineStr">
        <is>
          <t>Channels Television</t>
        </is>
      </c>
      <c r="F292" s="22" t="inlineStr">
        <is>
          <t>WIsZmOVRMHg</t>
        </is>
      </c>
      <c r="G292" s="22" t="n">
        <v>0.71</v>
      </c>
      <c r="H292" s="22" t="n">
        <v>0</v>
      </c>
      <c r="I292" s="22" t="n">
        <v>1</v>
      </c>
      <c r="J292" s="22" t="n">
        <v>0</v>
      </c>
      <c r="K292" s="22" t="n">
        <v>0</v>
      </c>
      <c r="L292" s="22" t="n">
        <v>0</v>
      </c>
      <c r="M292" s="22" t="n">
        <v>0</v>
      </c>
      <c r="N292" s="22" t="n">
        <v>0</v>
      </c>
      <c r="O292" s="22" t="n">
        <v>0</v>
      </c>
      <c r="P292" s="22" t="n">
        <v>0</v>
      </c>
      <c r="Q292" s="22" t="n">
        <v>0</v>
      </c>
      <c r="R292" s="22" t="n">
        <v>0</v>
      </c>
      <c r="S292" s="22" t="n">
        <v>0</v>
      </c>
      <c r="T292" s="22" t="n">
        <v>0</v>
      </c>
      <c r="U292" s="3">
        <f>IF(OR(N292=1,Q292=1),1,0)</f>
        <v/>
      </c>
      <c r="V292" s="3">
        <f>IF(OR(T292=1,P292=1),1,0)</f>
        <v/>
      </c>
      <c r="W292" s="3">
        <f>IF(OR(J292=1),1,0)</f>
        <v/>
      </c>
      <c r="X292" s="3">
        <f>IF(OR(I292=1,H292=1),1,0)</f>
        <v/>
      </c>
      <c r="Y292" s="3">
        <f>IF(OR(G292=1),1,0)</f>
        <v/>
      </c>
      <c r="Z292" s="3">
        <f>IF(OR(F292=1),1,0)</f>
        <v/>
      </c>
      <c r="AA292" s="3">
        <f>IF(OR(M292=1),1,0)</f>
        <v/>
      </c>
    </row>
    <row r="293">
      <c r="A293" s="22" t="inlineStr">
        <is>
          <t>783455b773a1782121cb8c9b1a2dd3342b7b815f</t>
        </is>
      </c>
      <c r="B293" s="22" t="inlineStr">
        <is>
          <t>2026-02</t>
        </is>
      </c>
      <c r="C293" s="22" t="inlineStr">
        <is>
          <t>YouTube</t>
        </is>
      </c>
      <c r="D293" s="22" t="n">
        <v>0</v>
      </c>
      <c r="E293" s="22" t="inlineStr">
        <is>
          <t>Channels Television</t>
        </is>
      </c>
      <c r="F293" s="22" t="inlineStr">
        <is>
          <t>WIsZmOVRMHg</t>
        </is>
      </c>
      <c r="G293" s="22" t="n">
        <v>0.902</v>
      </c>
      <c r="H293" s="22" t="n">
        <v>0</v>
      </c>
      <c r="I293" s="22" t="n">
        <v>0</v>
      </c>
      <c r="J293" s="22" t="n">
        <v>0</v>
      </c>
      <c r="K293" s="22" t="n">
        <v>0</v>
      </c>
      <c r="L293" s="22" t="n">
        <v>0</v>
      </c>
      <c r="M293" s="22" t="n">
        <v>1</v>
      </c>
      <c r="N293" s="22" t="n">
        <v>0</v>
      </c>
      <c r="O293" s="22" t="n">
        <v>0</v>
      </c>
      <c r="P293" s="22" t="n">
        <v>0</v>
      </c>
      <c r="Q293" s="22" t="n">
        <v>0</v>
      </c>
      <c r="R293" s="22" t="n">
        <v>0</v>
      </c>
      <c r="S293" s="22" t="n">
        <v>0</v>
      </c>
      <c r="T293" s="22" t="n">
        <v>0</v>
      </c>
      <c r="U293" s="3">
        <f>IF(OR(N293=1,Q293=1),1,0)</f>
        <v/>
      </c>
      <c r="V293" s="3">
        <f>IF(OR(T293=1,P293=1),1,0)</f>
        <v/>
      </c>
      <c r="W293" s="3">
        <f>IF(OR(J293=1),1,0)</f>
        <v/>
      </c>
      <c r="X293" s="3">
        <f>IF(OR(I293=1,H293=1),1,0)</f>
        <v/>
      </c>
      <c r="Y293" s="3">
        <f>IF(OR(G293=1),1,0)</f>
        <v/>
      </c>
      <c r="Z293" s="3">
        <f>IF(OR(F293=1),1,0)</f>
        <v/>
      </c>
      <c r="AA293" s="3">
        <f>IF(OR(M293=1),1,0)</f>
        <v/>
      </c>
    </row>
    <row r="294">
      <c r="A294" s="22" t="inlineStr">
        <is>
          <t>2ac518e640152806cd5aa5f998fbb1e95ded3d42</t>
        </is>
      </c>
      <c r="B294" s="22" t="inlineStr">
        <is>
          <t>2026-02</t>
        </is>
      </c>
      <c r="C294" s="22" t="inlineStr">
        <is>
          <t>YouTube</t>
        </is>
      </c>
      <c r="D294" s="22" t="n">
        <v>0</v>
      </c>
      <c r="E294" s="22" t="inlineStr">
        <is>
          <t>Channels Television</t>
        </is>
      </c>
      <c r="F294" s="22" t="inlineStr">
        <is>
          <t>WIsZmOVRMHg</t>
        </is>
      </c>
      <c r="G294" s="22" t="n">
        <v>-0.354</v>
      </c>
      <c r="H294" s="22" t="n">
        <v>0</v>
      </c>
      <c r="I294" s="22" t="n">
        <v>1</v>
      </c>
      <c r="J294" s="22" t="n">
        <v>0</v>
      </c>
      <c r="K294" s="22" t="n">
        <v>0</v>
      </c>
      <c r="L294" s="22" t="n">
        <v>0</v>
      </c>
      <c r="M294" s="22" t="n">
        <v>0</v>
      </c>
      <c r="N294" s="22" t="n">
        <v>0</v>
      </c>
      <c r="O294" s="22" t="n">
        <v>0</v>
      </c>
      <c r="P294" s="22" t="n">
        <v>0</v>
      </c>
      <c r="Q294" s="22" t="n">
        <v>0</v>
      </c>
      <c r="R294" s="22" t="n">
        <v>0</v>
      </c>
      <c r="S294" s="22" t="n">
        <v>0</v>
      </c>
      <c r="T294" s="22" t="n">
        <v>0</v>
      </c>
      <c r="U294" s="3">
        <f>IF(OR(N294=1,Q294=1),1,0)</f>
        <v/>
      </c>
      <c r="V294" s="3">
        <f>IF(OR(T294=1,P294=1),1,0)</f>
        <v/>
      </c>
      <c r="W294" s="3">
        <f>IF(OR(J294=1),1,0)</f>
        <v/>
      </c>
      <c r="X294" s="3">
        <f>IF(OR(I294=1,H294=1),1,0)</f>
        <v/>
      </c>
      <c r="Y294" s="3">
        <f>IF(OR(G294=1),1,0)</f>
        <v/>
      </c>
      <c r="Z294" s="3">
        <f>IF(OR(F294=1),1,0)</f>
        <v/>
      </c>
      <c r="AA294" s="3">
        <f>IF(OR(M294=1),1,0)</f>
        <v/>
      </c>
    </row>
    <row r="295">
      <c r="A295" s="22" t="inlineStr">
        <is>
          <t>b5d909d623dd8bb67a519d800c3fb09ad8e454d4</t>
        </is>
      </c>
      <c r="B295" s="22" t="inlineStr">
        <is>
          <t>2026-02</t>
        </is>
      </c>
      <c r="C295" s="22" t="inlineStr">
        <is>
          <t>YouTube</t>
        </is>
      </c>
      <c r="D295" s="22" t="n">
        <v>0</v>
      </c>
      <c r="E295" s="22" t="inlineStr">
        <is>
          <t>Channels Television</t>
        </is>
      </c>
      <c r="F295" s="22" t="inlineStr">
        <is>
          <t>WIsZmOVRMHg</t>
        </is>
      </c>
      <c r="G295" s="22" t="n">
        <v>0.486</v>
      </c>
      <c r="H295" s="22" t="n">
        <v>0</v>
      </c>
      <c r="I295" s="22" t="n">
        <v>1</v>
      </c>
      <c r="J295" s="22" t="n">
        <v>0</v>
      </c>
      <c r="K295" s="22" t="n">
        <v>0</v>
      </c>
      <c r="L295" s="22" t="n">
        <v>0</v>
      </c>
      <c r="M295" s="22" t="n">
        <v>0</v>
      </c>
      <c r="N295" s="22" t="n">
        <v>1</v>
      </c>
      <c r="O295" s="22" t="n">
        <v>0</v>
      </c>
      <c r="P295" s="22" t="n">
        <v>0</v>
      </c>
      <c r="Q295" s="22" t="n">
        <v>0</v>
      </c>
      <c r="R295" s="22" t="n">
        <v>0</v>
      </c>
      <c r="S295" s="22" t="n">
        <v>0</v>
      </c>
      <c r="T295" s="22" t="n">
        <v>0</v>
      </c>
      <c r="U295" s="3">
        <f>IF(OR(N295=1,Q295=1),1,0)</f>
        <v/>
      </c>
      <c r="V295" s="3">
        <f>IF(OR(T295=1,P295=1),1,0)</f>
        <v/>
      </c>
      <c r="W295" s="3">
        <f>IF(OR(J295=1),1,0)</f>
        <v/>
      </c>
      <c r="X295" s="3">
        <f>IF(OR(I295=1,H295=1),1,0)</f>
        <v/>
      </c>
      <c r="Y295" s="3">
        <f>IF(OR(G295=1),1,0)</f>
        <v/>
      </c>
      <c r="Z295" s="3">
        <f>IF(OR(F295=1),1,0)</f>
        <v/>
      </c>
      <c r="AA295" s="3">
        <f>IF(OR(M295=1),1,0)</f>
        <v/>
      </c>
    </row>
    <row r="296">
      <c r="A296" s="22" t="inlineStr">
        <is>
          <t>5dd8d09040ee12fd133bd6dd3dffd899a1411af1</t>
        </is>
      </c>
      <c r="B296" s="22" t="inlineStr">
        <is>
          <t>2026-10</t>
        </is>
      </c>
      <c r="C296" s="22" t="inlineStr">
        <is>
          <t>X</t>
        </is>
      </c>
      <c r="D296" s="22" t="n">
        <v>1</v>
      </c>
      <c r="E296" s="22" t="inlineStr">
        <is>
          <t>X: X search: INEC 2027</t>
        </is>
      </c>
      <c r="F296" s="22" t="inlineStr">
        <is>
          <t>x:X search: INEC 2027</t>
        </is>
      </c>
      <c r="G296" s="22" t="n">
        <v>0.459</v>
      </c>
      <c r="H296" s="22" t="n">
        <v>0</v>
      </c>
      <c r="I296" s="22" t="n">
        <v>0</v>
      </c>
      <c r="J296" s="22" t="n">
        <v>0</v>
      </c>
      <c r="K296" s="22" t="n">
        <v>0</v>
      </c>
      <c r="L296" s="22" t="n">
        <v>0</v>
      </c>
      <c r="M296" s="22" t="n">
        <v>0</v>
      </c>
      <c r="N296" s="22" t="n">
        <v>0</v>
      </c>
      <c r="O296" s="22" t="n">
        <v>1</v>
      </c>
      <c r="P296" s="22" t="n">
        <v>0</v>
      </c>
      <c r="Q296" s="22" t="n">
        <v>0</v>
      </c>
      <c r="R296" s="22" t="n">
        <v>0</v>
      </c>
      <c r="S296" s="22" t="n">
        <v>0</v>
      </c>
      <c r="T296" s="22" t="n">
        <v>0</v>
      </c>
      <c r="U296" s="3">
        <f>IF(OR(N296=1,Q296=1),1,0)</f>
        <v/>
      </c>
      <c r="V296" s="3">
        <f>IF(OR(T296=1,P296=1),1,0)</f>
        <v/>
      </c>
      <c r="W296" s="3">
        <f>IF(OR(J296=1),1,0)</f>
        <v/>
      </c>
      <c r="X296" s="3">
        <f>IF(OR(I296=1,H296=1),1,0)</f>
        <v/>
      </c>
      <c r="Y296" s="3">
        <f>IF(OR(G296=1),1,0)</f>
        <v/>
      </c>
      <c r="Z296" s="3">
        <f>IF(OR(F296=1),1,0)</f>
        <v/>
      </c>
      <c r="AA296" s="3">
        <f>IF(OR(M296=1),1,0)</f>
        <v/>
      </c>
    </row>
    <row r="297">
      <c r="A297" s="22" t="inlineStr">
        <is>
          <t>f1d577de187646710beef372d970ec2ac9e10b91</t>
        </is>
      </c>
      <c r="B297" s="22" t="inlineStr">
        <is>
          <t>2026-10</t>
        </is>
      </c>
      <c r="C297" s="22" t="inlineStr">
        <is>
          <t>X</t>
        </is>
      </c>
      <c r="D297" s="22" t="n">
        <v>1</v>
      </c>
      <c r="E297" s="22" t="inlineStr">
        <is>
          <t>X: X search: INEC 2027</t>
        </is>
      </c>
      <c r="F297" s="22" t="inlineStr">
        <is>
          <t>x:X search: INEC 2027</t>
        </is>
      </c>
      <c r="G297" s="22" t="n">
        <v>-0.5570000000000001</v>
      </c>
      <c r="H297" s="22" t="n">
        <v>0</v>
      </c>
      <c r="I297" s="22" t="n">
        <v>0</v>
      </c>
      <c r="J297" s="22" t="n">
        <v>0</v>
      </c>
      <c r="K297" s="22" t="n">
        <v>0</v>
      </c>
      <c r="L297" s="22" t="n">
        <v>0</v>
      </c>
      <c r="M297" s="22" t="n">
        <v>1</v>
      </c>
      <c r="N297" s="22" t="n">
        <v>0</v>
      </c>
      <c r="O297" s="22" t="n">
        <v>0</v>
      </c>
      <c r="P297" s="22" t="n">
        <v>0</v>
      </c>
      <c r="Q297" s="22" t="n">
        <v>0</v>
      </c>
      <c r="R297" s="22" t="n">
        <v>0</v>
      </c>
      <c r="S297" s="22" t="n">
        <v>0</v>
      </c>
      <c r="T297" s="22" t="n">
        <v>0</v>
      </c>
      <c r="U297" s="3">
        <f>IF(OR(N297=1,Q297=1),1,0)</f>
        <v/>
      </c>
      <c r="V297" s="3">
        <f>IF(OR(T297=1,P297=1),1,0)</f>
        <v/>
      </c>
      <c r="W297" s="3">
        <f>IF(OR(J297=1),1,0)</f>
        <v/>
      </c>
      <c r="X297" s="3">
        <f>IF(OR(I297=1,H297=1),1,0)</f>
        <v/>
      </c>
      <c r="Y297" s="3">
        <f>IF(OR(G297=1),1,0)</f>
        <v/>
      </c>
      <c r="Z297" s="3">
        <f>IF(OR(F297=1),1,0)</f>
        <v/>
      </c>
      <c r="AA297" s="3">
        <f>IF(OR(M297=1),1,0)</f>
        <v/>
      </c>
    </row>
    <row r="298">
      <c r="A298" s="22" t="inlineStr">
        <is>
          <t>064fb2527331c2b196185ce2287bd24cfe530fa8</t>
        </is>
      </c>
      <c r="B298" s="22" t="inlineStr">
        <is>
          <t>2026-10</t>
        </is>
      </c>
      <c r="C298" s="22" t="inlineStr">
        <is>
          <t>X</t>
        </is>
      </c>
      <c r="D298" s="22" t="n">
        <v>1</v>
      </c>
      <c r="E298" s="22" t="inlineStr">
        <is>
          <t>X: X search: INEC 2027</t>
        </is>
      </c>
      <c r="F298" s="22" t="inlineStr">
        <is>
          <t>x:X search: INEC 2027</t>
        </is>
      </c>
      <c r="G298" s="22" t="n">
        <v>0.026</v>
      </c>
      <c r="H298" s="22" t="n">
        <v>0</v>
      </c>
      <c r="I298" s="22" t="n">
        <v>0</v>
      </c>
      <c r="J298" s="22" t="n">
        <v>0</v>
      </c>
      <c r="K298" s="22" t="n">
        <v>0</v>
      </c>
      <c r="L298" s="22" t="n">
        <v>0</v>
      </c>
      <c r="M298" s="22" t="n">
        <v>0</v>
      </c>
      <c r="N298" s="22" t="n">
        <v>0</v>
      </c>
      <c r="O298" s="22" t="n">
        <v>0</v>
      </c>
      <c r="P298" s="22" t="n">
        <v>0</v>
      </c>
      <c r="Q298" s="22" t="n">
        <v>0</v>
      </c>
      <c r="R298" s="22" t="n">
        <v>0</v>
      </c>
      <c r="S298" s="22" t="n">
        <v>0</v>
      </c>
      <c r="T298" s="22" t="n">
        <v>0</v>
      </c>
      <c r="U298" s="3">
        <f>IF(OR(N298=1,Q298=1),1,0)</f>
        <v/>
      </c>
      <c r="V298" s="3">
        <f>IF(OR(T298=1,P298=1),1,0)</f>
        <v/>
      </c>
      <c r="W298" s="3">
        <f>IF(OR(J298=1),1,0)</f>
        <v/>
      </c>
      <c r="X298" s="3">
        <f>IF(OR(I298=1,H298=1),1,0)</f>
        <v/>
      </c>
      <c r="Y298" s="3">
        <f>IF(OR(G298=1),1,0)</f>
        <v/>
      </c>
      <c r="Z298" s="3">
        <f>IF(OR(F298=1),1,0)</f>
        <v/>
      </c>
      <c r="AA298" s="3">
        <f>IF(OR(M298=1),1,0)</f>
        <v/>
      </c>
    </row>
    <row r="299">
      <c r="A299" s="22" t="inlineStr">
        <is>
          <t>4c07b97708b2def67c6e022e9a85aa4e1cde15f0</t>
        </is>
      </c>
      <c r="B299" s="22" t="inlineStr">
        <is>
          <t>2026-10</t>
        </is>
      </c>
      <c r="C299" s="22" t="inlineStr">
        <is>
          <t>X</t>
        </is>
      </c>
      <c r="D299" s="22" t="n">
        <v>1</v>
      </c>
      <c r="E299" s="22" t="inlineStr">
        <is>
          <t>X: X search: INEC 2027</t>
        </is>
      </c>
      <c r="F299" s="22" t="inlineStr">
        <is>
          <t>x:X search: INEC 2027</t>
        </is>
      </c>
      <c r="G299" s="22" t="n">
        <v>0.743</v>
      </c>
      <c r="H299" s="22" t="n">
        <v>0</v>
      </c>
      <c r="I299" s="22" t="n">
        <v>0</v>
      </c>
      <c r="J299" s="22" t="n">
        <v>0</v>
      </c>
      <c r="K299" s="22" t="n">
        <v>0</v>
      </c>
      <c r="L299" s="22" t="n">
        <v>0</v>
      </c>
      <c r="M299" s="22" t="n">
        <v>0</v>
      </c>
      <c r="N299" s="22" t="n">
        <v>0</v>
      </c>
      <c r="O299" s="22" t="n">
        <v>1</v>
      </c>
      <c r="P299" s="22" t="n">
        <v>0</v>
      </c>
      <c r="Q299" s="22" t="n">
        <v>0</v>
      </c>
      <c r="R299" s="22" t="n">
        <v>0</v>
      </c>
      <c r="S299" s="22" t="n">
        <v>0</v>
      </c>
      <c r="T299" s="22" t="n">
        <v>0</v>
      </c>
      <c r="U299" s="3">
        <f>IF(OR(N299=1,Q299=1),1,0)</f>
        <v/>
      </c>
      <c r="V299" s="3">
        <f>IF(OR(T299=1,P299=1),1,0)</f>
        <v/>
      </c>
      <c r="W299" s="3">
        <f>IF(OR(J299=1),1,0)</f>
        <v/>
      </c>
      <c r="X299" s="3">
        <f>IF(OR(I299=1,H299=1),1,0)</f>
        <v/>
      </c>
      <c r="Y299" s="3">
        <f>IF(OR(G299=1),1,0)</f>
        <v/>
      </c>
      <c r="Z299" s="3">
        <f>IF(OR(F299=1),1,0)</f>
        <v/>
      </c>
      <c r="AA299" s="3">
        <f>IF(OR(M299=1),1,0)</f>
        <v/>
      </c>
    </row>
    <row r="300">
      <c r="A300" s="22" t="inlineStr">
        <is>
          <t>cc479d4a69d89b5bb708d759c43a2423d597eafc</t>
        </is>
      </c>
      <c r="B300" s="22" t="inlineStr">
        <is>
          <t>2026-10</t>
        </is>
      </c>
      <c r="C300" s="22" t="inlineStr">
        <is>
          <t>X</t>
        </is>
      </c>
      <c r="D300" s="22" t="n">
        <v>1</v>
      </c>
      <c r="E300" s="22" t="inlineStr">
        <is>
          <t>X: X search: INEC 2027</t>
        </is>
      </c>
      <c r="F300" s="22" t="inlineStr">
        <is>
          <t>x:X search: INEC 2027</t>
        </is>
      </c>
      <c r="G300" s="22" t="n">
        <v>0.402</v>
      </c>
      <c r="H300" s="22" t="n">
        <v>0</v>
      </c>
      <c r="I300" s="22" t="n">
        <v>0</v>
      </c>
      <c r="J300" s="22" t="n">
        <v>0</v>
      </c>
      <c r="K300" s="22" t="n">
        <v>0</v>
      </c>
      <c r="L300" s="22" t="n">
        <v>0</v>
      </c>
      <c r="M300" s="22" t="n">
        <v>0</v>
      </c>
      <c r="N300" s="22" t="n">
        <v>0</v>
      </c>
      <c r="O300" s="22" t="n">
        <v>0</v>
      </c>
      <c r="P300" s="22" t="n">
        <v>1</v>
      </c>
      <c r="Q300" s="22" t="n">
        <v>0</v>
      </c>
      <c r="R300" s="22" t="n">
        <v>0</v>
      </c>
      <c r="S300" s="22" t="n">
        <v>0</v>
      </c>
      <c r="T300" s="22" t="n">
        <v>0</v>
      </c>
      <c r="U300" s="3">
        <f>IF(OR(N300=1,Q300=1),1,0)</f>
        <v/>
      </c>
      <c r="V300" s="3">
        <f>IF(OR(T300=1,P300=1),1,0)</f>
        <v/>
      </c>
      <c r="W300" s="3">
        <f>IF(OR(J300=1),1,0)</f>
        <v/>
      </c>
      <c r="X300" s="3">
        <f>IF(OR(I300=1,H300=1),1,0)</f>
        <v/>
      </c>
      <c r="Y300" s="3">
        <f>IF(OR(G300=1),1,0)</f>
        <v/>
      </c>
      <c r="Z300" s="3">
        <f>IF(OR(F300=1),1,0)</f>
        <v/>
      </c>
      <c r="AA300" s="3">
        <f>IF(OR(M300=1),1,0)</f>
        <v/>
      </c>
    </row>
    <row r="301">
      <c r="A301" s="22" t="inlineStr">
        <is>
          <t>a98ddbef5fd88dad20eb03fc48cb01022af7e7e6</t>
        </is>
      </c>
      <c r="B301" s="22" t="inlineStr">
        <is>
          <t>2026-10</t>
        </is>
      </c>
      <c r="C301" s="22" t="inlineStr">
        <is>
          <t>X</t>
        </is>
      </c>
      <c r="D301" s="22" t="n">
        <v>1</v>
      </c>
      <c r="E301" s="22" t="inlineStr">
        <is>
          <t>X: X search: INEC 2027</t>
        </is>
      </c>
      <c r="F301" s="22" t="inlineStr">
        <is>
          <t>x:X search: INEC 2027</t>
        </is>
      </c>
      <c r="G301" s="22" t="n">
        <v>0.625</v>
      </c>
      <c r="H301" s="22" t="n">
        <v>0</v>
      </c>
      <c r="I301" s="22" t="n">
        <v>1</v>
      </c>
      <c r="J301" s="22" t="n">
        <v>0</v>
      </c>
      <c r="K301" s="22" t="n">
        <v>0</v>
      </c>
      <c r="L301" s="22" t="n">
        <v>0</v>
      </c>
      <c r="M301" s="22" t="n">
        <v>0</v>
      </c>
      <c r="N301" s="22" t="n">
        <v>0</v>
      </c>
      <c r="O301" s="22" t="n">
        <v>0</v>
      </c>
      <c r="P301" s="22" t="n">
        <v>0</v>
      </c>
      <c r="Q301" s="22" t="n">
        <v>0</v>
      </c>
      <c r="R301" s="22" t="n">
        <v>0</v>
      </c>
      <c r="S301" s="22" t="n">
        <v>0</v>
      </c>
      <c r="T301" s="22" t="n">
        <v>0</v>
      </c>
      <c r="U301" s="3">
        <f>IF(OR(N301=1,Q301=1),1,0)</f>
        <v/>
      </c>
      <c r="V301" s="3">
        <f>IF(OR(T301=1,P301=1),1,0)</f>
        <v/>
      </c>
      <c r="W301" s="3">
        <f>IF(OR(J301=1),1,0)</f>
        <v/>
      </c>
      <c r="X301" s="3">
        <f>IF(OR(I301=1,H301=1),1,0)</f>
        <v/>
      </c>
      <c r="Y301" s="3">
        <f>IF(OR(G301=1),1,0)</f>
        <v/>
      </c>
      <c r="Z301" s="3">
        <f>IF(OR(F301=1),1,0)</f>
        <v/>
      </c>
      <c r="AA301" s="3">
        <f>IF(OR(M301=1),1,0)</f>
        <v/>
      </c>
    </row>
    <row r="302">
      <c r="A302" s="22" t="inlineStr">
        <is>
          <t>48ffbd75e65129adbc6624a6f508871ea3cd35af</t>
        </is>
      </c>
      <c r="B302" s="22" t="inlineStr">
        <is>
          <t>2026-10</t>
        </is>
      </c>
      <c r="C302" s="22" t="inlineStr">
        <is>
          <t>X</t>
        </is>
      </c>
      <c r="D302" s="22" t="n">
        <v>1</v>
      </c>
      <c r="E302" s="22" t="inlineStr">
        <is>
          <t>X: X search: INEC 2027</t>
        </is>
      </c>
      <c r="F302" s="22" t="inlineStr">
        <is>
          <t>x:X search: INEC 2027</t>
        </is>
      </c>
      <c r="G302" s="22" t="n">
        <v>-0.34</v>
      </c>
      <c r="H302" s="22" t="n">
        <v>0</v>
      </c>
      <c r="I302" s="22" t="n">
        <v>0</v>
      </c>
      <c r="J302" s="22" t="n">
        <v>0</v>
      </c>
      <c r="K302" s="22" t="n">
        <v>0</v>
      </c>
      <c r="L302" s="22" t="n">
        <v>0</v>
      </c>
      <c r="M302" s="22" t="n">
        <v>1</v>
      </c>
      <c r="N302" s="22" t="n">
        <v>0</v>
      </c>
      <c r="O302" s="22" t="n">
        <v>0</v>
      </c>
      <c r="P302" s="22" t="n">
        <v>0</v>
      </c>
      <c r="Q302" s="22" t="n">
        <v>0</v>
      </c>
      <c r="R302" s="22" t="n">
        <v>0</v>
      </c>
      <c r="S302" s="22" t="n">
        <v>0</v>
      </c>
      <c r="T302" s="22" t="n">
        <v>0</v>
      </c>
      <c r="U302" s="3">
        <f>IF(OR(N302=1,Q302=1),1,0)</f>
        <v/>
      </c>
      <c r="V302" s="3">
        <f>IF(OR(T302=1,P302=1),1,0)</f>
        <v/>
      </c>
      <c r="W302" s="3">
        <f>IF(OR(J302=1),1,0)</f>
        <v/>
      </c>
      <c r="X302" s="3">
        <f>IF(OR(I302=1,H302=1),1,0)</f>
        <v/>
      </c>
      <c r="Y302" s="3">
        <f>IF(OR(G302=1),1,0)</f>
        <v/>
      </c>
      <c r="Z302" s="3">
        <f>IF(OR(F302=1),1,0)</f>
        <v/>
      </c>
      <c r="AA302" s="3">
        <f>IF(OR(M302=1),1,0)</f>
        <v/>
      </c>
    </row>
    <row r="303">
      <c r="A303" s="22" t="inlineStr">
        <is>
          <t>a4917d7b93bf3397d68c5cb1cf81024cc42abe6a</t>
        </is>
      </c>
      <c r="B303" s="22" t="inlineStr">
        <is>
          <t>2026-10</t>
        </is>
      </c>
      <c r="C303" s="22" t="inlineStr">
        <is>
          <t>X</t>
        </is>
      </c>
      <c r="D303" s="22" t="n">
        <v>1</v>
      </c>
      <c r="E303" s="22" t="inlineStr">
        <is>
          <t>X: X search: INEC 2027</t>
        </is>
      </c>
      <c r="F303" s="22" t="inlineStr">
        <is>
          <t>x:X search: INEC 2027</t>
        </is>
      </c>
      <c r="G303" s="22" t="n">
        <v>-0.86</v>
      </c>
      <c r="H303" s="22" t="n">
        <v>1</v>
      </c>
      <c r="I303" s="22" t="n">
        <v>0</v>
      </c>
      <c r="J303" s="22" t="n">
        <v>0</v>
      </c>
      <c r="K303" s="22" t="n">
        <v>0</v>
      </c>
      <c r="L303" s="22" t="n">
        <v>0</v>
      </c>
      <c r="M303" s="22" t="n">
        <v>1</v>
      </c>
      <c r="N303" s="22" t="n">
        <v>0</v>
      </c>
      <c r="O303" s="22" t="n">
        <v>0</v>
      </c>
      <c r="P303" s="22" t="n">
        <v>0</v>
      </c>
      <c r="Q303" s="22" t="n">
        <v>0</v>
      </c>
      <c r="R303" s="22" t="n">
        <v>0</v>
      </c>
      <c r="S303" s="22" t="n">
        <v>0</v>
      </c>
      <c r="T303" s="22" t="n">
        <v>0</v>
      </c>
      <c r="U303" s="3">
        <f>IF(OR(N303=1,Q303=1),1,0)</f>
        <v/>
      </c>
      <c r="V303" s="3">
        <f>IF(OR(T303=1,P303=1),1,0)</f>
        <v/>
      </c>
      <c r="W303" s="3">
        <f>IF(OR(J303=1),1,0)</f>
        <v/>
      </c>
      <c r="X303" s="3">
        <f>IF(OR(I303=1,H303=1),1,0)</f>
        <v/>
      </c>
      <c r="Y303" s="3">
        <f>IF(OR(G303=1),1,0)</f>
        <v/>
      </c>
      <c r="Z303" s="3">
        <f>IF(OR(F303=1),1,0)</f>
        <v/>
      </c>
      <c r="AA303" s="3">
        <f>IF(OR(M303=1),1,0)</f>
        <v/>
      </c>
    </row>
    <row r="304">
      <c r="A304" s="22" t="inlineStr">
        <is>
          <t>edc1332bd94103cf9feb947ff44cc8c00a4496d4</t>
        </is>
      </c>
      <c r="B304" s="22" t="inlineStr">
        <is>
          <t>2026-10</t>
        </is>
      </c>
      <c r="C304" s="22" t="inlineStr">
        <is>
          <t>X</t>
        </is>
      </c>
      <c r="D304" s="22" t="n">
        <v>1</v>
      </c>
      <c r="E304" s="22" t="inlineStr">
        <is>
          <t>X: X search: INEC 2027</t>
        </is>
      </c>
      <c r="F304" s="22" t="inlineStr">
        <is>
          <t>x:X search: INEC 2027</t>
        </is>
      </c>
      <c r="G304" s="22" t="n">
        <v>-0.361</v>
      </c>
      <c r="H304" s="22" t="n">
        <v>0</v>
      </c>
      <c r="I304" s="22" t="n">
        <v>0</v>
      </c>
      <c r="J304" s="22" t="n">
        <v>0</v>
      </c>
      <c r="K304" s="22" t="n">
        <v>0</v>
      </c>
      <c r="L304" s="22" t="n">
        <v>0</v>
      </c>
      <c r="M304" s="22" t="n">
        <v>1</v>
      </c>
      <c r="N304" s="22" t="n">
        <v>0</v>
      </c>
      <c r="O304" s="22" t="n">
        <v>0</v>
      </c>
      <c r="P304" s="22" t="n">
        <v>0</v>
      </c>
      <c r="Q304" s="22" t="n">
        <v>0</v>
      </c>
      <c r="R304" s="22" t="n">
        <v>0</v>
      </c>
      <c r="S304" s="22" t="n">
        <v>0</v>
      </c>
      <c r="T304" s="22" t="n">
        <v>0</v>
      </c>
      <c r="U304" s="3">
        <f>IF(OR(N304=1,Q304=1),1,0)</f>
        <v/>
      </c>
      <c r="V304" s="3">
        <f>IF(OR(T304=1,P304=1),1,0)</f>
        <v/>
      </c>
      <c r="W304" s="3">
        <f>IF(OR(J304=1),1,0)</f>
        <v/>
      </c>
      <c r="X304" s="3">
        <f>IF(OR(I304=1,H304=1),1,0)</f>
        <v/>
      </c>
      <c r="Y304" s="3">
        <f>IF(OR(G304=1),1,0)</f>
        <v/>
      </c>
      <c r="Z304" s="3">
        <f>IF(OR(F304=1),1,0)</f>
        <v/>
      </c>
      <c r="AA304" s="3">
        <f>IF(OR(M304=1),1,0)</f>
        <v/>
      </c>
    </row>
    <row r="305">
      <c r="A305" s="22" t="inlineStr">
        <is>
          <t>a2184d3b55aec27e7ef22e52b96963b5a31faaf7</t>
        </is>
      </c>
      <c r="B305" s="22" t="inlineStr">
        <is>
          <t>2026-10</t>
        </is>
      </c>
      <c r="C305" s="22" t="inlineStr">
        <is>
          <t>X</t>
        </is>
      </c>
      <c r="D305" s="22" t="n">
        <v>1</v>
      </c>
      <c r="E305" s="22" t="inlineStr">
        <is>
          <t>X: X search: INEC 2027</t>
        </is>
      </c>
      <c r="F305" s="22" t="inlineStr">
        <is>
          <t>x:X search: INEC 2027</t>
        </is>
      </c>
      <c r="G305" s="22" t="n">
        <v>-0.422</v>
      </c>
      <c r="H305" s="22" t="n">
        <v>0</v>
      </c>
      <c r="I305" s="22" t="n">
        <v>0</v>
      </c>
      <c r="J305" s="22" t="n">
        <v>0</v>
      </c>
      <c r="K305" s="22" t="n">
        <v>0</v>
      </c>
      <c r="L305" s="22" t="n">
        <v>0</v>
      </c>
      <c r="M305" s="22" t="n">
        <v>1</v>
      </c>
      <c r="N305" s="22" t="n">
        <v>0</v>
      </c>
      <c r="O305" s="22" t="n">
        <v>0</v>
      </c>
      <c r="P305" s="22" t="n">
        <v>0</v>
      </c>
      <c r="Q305" s="22" t="n">
        <v>0</v>
      </c>
      <c r="R305" s="22" t="n">
        <v>0</v>
      </c>
      <c r="S305" s="22" t="n">
        <v>0</v>
      </c>
      <c r="T305" s="22" t="n">
        <v>0</v>
      </c>
      <c r="U305" s="3">
        <f>IF(OR(N305=1,Q305=1),1,0)</f>
        <v/>
      </c>
      <c r="V305" s="3">
        <f>IF(OR(T305=1,P305=1),1,0)</f>
        <v/>
      </c>
      <c r="W305" s="3">
        <f>IF(OR(J305=1),1,0)</f>
        <v/>
      </c>
      <c r="X305" s="3">
        <f>IF(OR(I305=1,H305=1),1,0)</f>
        <v/>
      </c>
      <c r="Y305" s="3">
        <f>IF(OR(G305=1),1,0)</f>
        <v/>
      </c>
      <c r="Z305" s="3">
        <f>IF(OR(F305=1),1,0)</f>
        <v/>
      </c>
      <c r="AA305" s="3">
        <f>IF(OR(M305=1),1,0)</f>
        <v/>
      </c>
    </row>
    <row r="306">
      <c r="A306" s="22" t="inlineStr">
        <is>
          <t>aaed25362d368f8044cbc3276a9c86b3209dbed6</t>
        </is>
      </c>
      <c r="B306" s="22" t="inlineStr">
        <is>
          <t>2026-10</t>
        </is>
      </c>
      <c r="C306" s="22" t="inlineStr">
        <is>
          <t>X</t>
        </is>
      </c>
      <c r="D306" s="22" t="n">
        <v>1</v>
      </c>
      <c r="E306" s="22" t="inlineStr">
        <is>
          <t>X: X search: INEC 2027</t>
        </is>
      </c>
      <c r="F306" s="22" t="inlineStr">
        <is>
          <t>x:X search: INEC 2027</t>
        </is>
      </c>
      <c r="G306" s="22" t="n">
        <v>-0.719</v>
      </c>
      <c r="H306" s="22" t="n">
        <v>0</v>
      </c>
      <c r="I306" s="22" t="n">
        <v>1</v>
      </c>
      <c r="J306" s="22" t="n">
        <v>0</v>
      </c>
      <c r="K306" s="22" t="n">
        <v>0</v>
      </c>
      <c r="L306" s="22" t="n">
        <v>0</v>
      </c>
      <c r="M306" s="22" t="n">
        <v>1</v>
      </c>
      <c r="N306" s="22" t="n">
        <v>0</v>
      </c>
      <c r="O306" s="22" t="n">
        <v>0</v>
      </c>
      <c r="P306" s="22" t="n">
        <v>1</v>
      </c>
      <c r="Q306" s="22" t="n">
        <v>0</v>
      </c>
      <c r="R306" s="22" t="n">
        <v>0</v>
      </c>
      <c r="S306" s="22" t="n">
        <v>0</v>
      </c>
      <c r="T306" s="22" t="n">
        <v>0</v>
      </c>
      <c r="U306" s="3">
        <f>IF(OR(N306=1,Q306=1),1,0)</f>
        <v/>
      </c>
      <c r="V306" s="3">
        <f>IF(OR(T306=1,P306=1),1,0)</f>
        <v/>
      </c>
      <c r="W306" s="3">
        <f>IF(OR(J306=1),1,0)</f>
        <v/>
      </c>
      <c r="X306" s="3">
        <f>IF(OR(I306=1,H306=1),1,0)</f>
        <v/>
      </c>
      <c r="Y306" s="3">
        <f>IF(OR(G306=1),1,0)</f>
        <v/>
      </c>
      <c r="Z306" s="3">
        <f>IF(OR(F306=1),1,0)</f>
        <v/>
      </c>
      <c r="AA306" s="3">
        <f>IF(OR(M306=1),1,0)</f>
        <v/>
      </c>
    </row>
    <row r="307">
      <c r="A307" s="22" t="inlineStr">
        <is>
          <t>bd5f099f183f3d142220f8822f49ec8ebb9c1edc</t>
        </is>
      </c>
      <c r="B307" s="22" t="inlineStr">
        <is>
          <t>2026-10</t>
        </is>
      </c>
      <c r="C307" s="22" t="inlineStr">
        <is>
          <t>X</t>
        </is>
      </c>
      <c r="D307" s="22" t="n">
        <v>1</v>
      </c>
      <c r="E307" s="22" t="inlineStr">
        <is>
          <t>X: X search: INEC 2027</t>
        </is>
      </c>
      <c r="F307" s="22" t="inlineStr">
        <is>
          <t>x:X search: INEC 2027</t>
        </is>
      </c>
      <c r="G307" s="22" t="n">
        <v>-0.9</v>
      </c>
      <c r="H307" s="22" t="n">
        <v>1</v>
      </c>
      <c r="I307" s="22" t="n">
        <v>0</v>
      </c>
      <c r="J307" s="22" t="n">
        <v>0</v>
      </c>
      <c r="K307" s="22" t="n">
        <v>0</v>
      </c>
      <c r="L307" s="22" t="n">
        <v>0</v>
      </c>
      <c r="M307" s="22" t="n">
        <v>1</v>
      </c>
      <c r="N307" s="22" t="n">
        <v>0</v>
      </c>
      <c r="O307" s="22" t="n">
        <v>0</v>
      </c>
      <c r="P307" s="22" t="n">
        <v>0</v>
      </c>
      <c r="Q307" s="22" t="n">
        <v>0</v>
      </c>
      <c r="R307" s="22" t="n">
        <v>0</v>
      </c>
      <c r="S307" s="22" t="n">
        <v>0</v>
      </c>
      <c r="T307" s="22" t="n">
        <v>1</v>
      </c>
      <c r="U307" s="3">
        <f>IF(OR(N307=1,Q307=1),1,0)</f>
        <v/>
      </c>
      <c r="V307" s="3">
        <f>IF(OR(T307=1,P307=1),1,0)</f>
        <v/>
      </c>
      <c r="W307" s="3">
        <f>IF(OR(J307=1),1,0)</f>
        <v/>
      </c>
      <c r="X307" s="3">
        <f>IF(OR(I307=1,H307=1),1,0)</f>
        <v/>
      </c>
      <c r="Y307" s="3">
        <f>IF(OR(G307=1),1,0)</f>
        <v/>
      </c>
      <c r="Z307" s="3">
        <f>IF(OR(F307=1),1,0)</f>
        <v/>
      </c>
      <c r="AA307" s="3">
        <f>IF(OR(M307=1),1,0)</f>
        <v/>
      </c>
    </row>
    <row r="308">
      <c r="A308" s="22" t="inlineStr">
        <is>
          <t>38754138c347a7f0e620773aad738fca385cdd75</t>
        </is>
      </c>
      <c r="B308" s="22" t="inlineStr">
        <is>
          <t>2026-10</t>
        </is>
      </c>
      <c r="C308" s="22" t="inlineStr">
        <is>
          <t>X</t>
        </is>
      </c>
      <c r="D308" s="22" t="n">
        <v>1</v>
      </c>
      <c r="E308" s="22" t="inlineStr">
        <is>
          <t>X: X search: INEC 2027</t>
        </is>
      </c>
      <c r="F308" s="22" t="inlineStr">
        <is>
          <t>x:X search: INEC 2027</t>
        </is>
      </c>
      <c r="G308" s="22" t="n">
        <v>0.153</v>
      </c>
      <c r="H308" s="22" t="n">
        <v>0</v>
      </c>
      <c r="I308" s="22" t="n">
        <v>0</v>
      </c>
      <c r="J308" s="22" t="n">
        <v>0</v>
      </c>
      <c r="K308" s="22" t="n">
        <v>0</v>
      </c>
      <c r="L308" s="22" t="n">
        <v>0</v>
      </c>
      <c r="M308" s="22" t="n">
        <v>0</v>
      </c>
      <c r="N308" s="22" t="n">
        <v>0</v>
      </c>
      <c r="O308" s="22" t="n">
        <v>1</v>
      </c>
      <c r="P308" s="22" t="n">
        <v>0</v>
      </c>
      <c r="Q308" s="22" t="n">
        <v>0</v>
      </c>
      <c r="R308" s="22" t="n">
        <v>0</v>
      </c>
      <c r="S308" s="22" t="n">
        <v>0</v>
      </c>
      <c r="T308" s="22" t="n">
        <v>0</v>
      </c>
      <c r="U308" s="3">
        <f>IF(OR(N308=1,Q308=1),1,0)</f>
        <v/>
      </c>
      <c r="V308" s="3">
        <f>IF(OR(T308=1,P308=1),1,0)</f>
        <v/>
      </c>
      <c r="W308" s="3">
        <f>IF(OR(J308=1),1,0)</f>
        <v/>
      </c>
      <c r="X308" s="3">
        <f>IF(OR(I308=1,H308=1),1,0)</f>
        <v/>
      </c>
      <c r="Y308" s="3">
        <f>IF(OR(G308=1),1,0)</f>
        <v/>
      </c>
      <c r="Z308" s="3">
        <f>IF(OR(F308=1),1,0)</f>
        <v/>
      </c>
      <c r="AA308" s="3">
        <f>IF(OR(M308=1),1,0)</f>
        <v/>
      </c>
    </row>
    <row r="309">
      <c r="A309" s="22" t="inlineStr">
        <is>
          <t>497a582c4b69e6937bdaba002340e9e492615dd2</t>
        </is>
      </c>
      <c r="B309" s="22" t="inlineStr">
        <is>
          <t>2026-10</t>
        </is>
      </c>
      <c r="C309" s="22" t="inlineStr">
        <is>
          <t>X</t>
        </is>
      </c>
      <c r="D309" s="22" t="n">
        <v>1</v>
      </c>
      <c r="E309" s="22" t="inlineStr">
        <is>
          <t>X: X search: INEC 2027</t>
        </is>
      </c>
      <c r="F309" s="22" t="inlineStr">
        <is>
          <t>x:X search: INEC 2027</t>
        </is>
      </c>
      <c r="G309" s="22" t="n">
        <v>-0.459</v>
      </c>
      <c r="H309" s="22" t="n">
        <v>0</v>
      </c>
      <c r="I309" s="22" t="n">
        <v>0</v>
      </c>
      <c r="J309" s="22" t="n">
        <v>0</v>
      </c>
      <c r="K309" s="22" t="n">
        <v>0</v>
      </c>
      <c r="L309" s="22" t="n">
        <v>0</v>
      </c>
      <c r="M309" s="22" t="n">
        <v>1</v>
      </c>
      <c r="N309" s="22" t="n">
        <v>0</v>
      </c>
      <c r="O309" s="22" t="n">
        <v>0</v>
      </c>
      <c r="P309" s="22" t="n">
        <v>0</v>
      </c>
      <c r="Q309" s="22" t="n">
        <v>0</v>
      </c>
      <c r="R309" s="22" t="n">
        <v>0</v>
      </c>
      <c r="S309" s="22" t="n">
        <v>0</v>
      </c>
      <c r="T309" s="22" t="n">
        <v>0</v>
      </c>
      <c r="U309" s="3">
        <f>IF(OR(N309=1,Q309=1),1,0)</f>
        <v/>
      </c>
      <c r="V309" s="3">
        <f>IF(OR(T309=1,P309=1),1,0)</f>
        <v/>
      </c>
      <c r="W309" s="3">
        <f>IF(OR(J309=1),1,0)</f>
        <v/>
      </c>
      <c r="X309" s="3">
        <f>IF(OR(I309=1,H309=1),1,0)</f>
        <v/>
      </c>
      <c r="Y309" s="3">
        <f>IF(OR(G309=1),1,0)</f>
        <v/>
      </c>
      <c r="Z309" s="3">
        <f>IF(OR(F309=1),1,0)</f>
        <v/>
      </c>
      <c r="AA309" s="3">
        <f>IF(OR(M309=1),1,0)</f>
        <v/>
      </c>
    </row>
    <row r="310">
      <c r="A310" s="22" t="inlineStr">
        <is>
          <t>c0576a5fab6dd1a7934370ef17af2b5d402c192f</t>
        </is>
      </c>
      <c r="B310" s="22" t="inlineStr">
        <is>
          <t>2026-10</t>
        </is>
      </c>
      <c r="C310" s="22" t="inlineStr">
        <is>
          <t>X</t>
        </is>
      </c>
      <c r="D310" s="22" t="n">
        <v>1</v>
      </c>
      <c r="E310" s="22" t="inlineStr">
        <is>
          <t>X: X search: INEC 2027</t>
        </is>
      </c>
      <c r="F310" s="22" t="inlineStr">
        <is>
          <t>x:X search: INEC 2027</t>
        </is>
      </c>
      <c r="G310" s="22" t="n">
        <v>0.869</v>
      </c>
      <c r="H310" s="22" t="n">
        <v>1</v>
      </c>
      <c r="I310" s="22" t="n">
        <v>0</v>
      </c>
      <c r="J310" s="22" t="n">
        <v>0</v>
      </c>
      <c r="K310" s="22" t="n">
        <v>0</v>
      </c>
      <c r="L310" s="22" t="n">
        <v>0</v>
      </c>
      <c r="M310" s="22" t="n">
        <v>0</v>
      </c>
      <c r="N310" s="22" t="n">
        <v>0</v>
      </c>
      <c r="O310" s="22" t="n">
        <v>0</v>
      </c>
      <c r="P310" s="22" t="n">
        <v>0</v>
      </c>
      <c r="Q310" s="22" t="n">
        <v>0</v>
      </c>
      <c r="R310" s="22" t="n">
        <v>0</v>
      </c>
      <c r="S310" s="22" t="n">
        <v>0</v>
      </c>
      <c r="T310" s="22" t="n">
        <v>0</v>
      </c>
      <c r="U310" s="3">
        <f>IF(OR(N310=1,Q310=1),1,0)</f>
        <v/>
      </c>
      <c r="V310" s="3">
        <f>IF(OR(T310=1,P310=1),1,0)</f>
        <v/>
      </c>
      <c r="W310" s="3">
        <f>IF(OR(J310=1),1,0)</f>
        <v/>
      </c>
      <c r="X310" s="3">
        <f>IF(OR(I310=1,H310=1),1,0)</f>
        <v/>
      </c>
      <c r="Y310" s="3">
        <f>IF(OR(G310=1),1,0)</f>
        <v/>
      </c>
      <c r="Z310" s="3">
        <f>IF(OR(F310=1),1,0)</f>
        <v/>
      </c>
      <c r="AA310" s="3">
        <f>IF(OR(M310=1),1,0)</f>
        <v/>
      </c>
    </row>
    <row r="311">
      <c r="A311" s="22" t="inlineStr">
        <is>
          <t>1f730c93c40cc6b87340b10b5fc60267e4d99fdc</t>
        </is>
      </c>
      <c r="B311" s="22" t="inlineStr">
        <is>
          <t>2026-10</t>
        </is>
      </c>
      <c r="C311" s="22" t="inlineStr">
        <is>
          <t>X</t>
        </is>
      </c>
      <c r="D311" s="22" t="n">
        <v>1</v>
      </c>
      <c r="E311" s="22" t="inlineStr">
        <is>
          <t>X: X search: INEC 2027</t>
        </is>
      </c>
      <c r="F311" s="22" t="inlineStr">
        <is>
          <t>x:X search: INEC 2027</t>
        </is>
      </c>
      <c r="G311" s="22" t="n">
        <v>-0.494</v>
      </c>
      <c r="H311" s="22" t="n">
        <v>0</v>
      </c>
      <c r="I311" s="22" t="n">
        <v>0</v>
      </c>
      <c r="J311" s="22" t="n">
        <v>0</v>
      </c>
      <c r="K311" s="22" t="n">
        <v>0</v>
      </c>
      <c r="L311" s="22" t="n">
        <v>0</v>
      </c>
      <c r="M311" s="22" t="n">
        <v>1</v>
      </c>
      <c r="N311" s="22" t="n">
        <v>0</v>
      </c>
      <c r="O311" s="22" t="n">
        <v>1</v>
      </c>
      <c r="P311" s="22" t="n">
        <v>0</v>
      </c>
      <c r="Q311" s="22" t="n">
        <v>0</v>
      </c>
      <c r="R311" s="22" t="n">
        <v>0</v>
      </c>
      <c r="S311" s="22" t="n">
        <v>0</v>
      </c>
      <c r="T311" s="22" t="n">
        <v>0</v>
      </c>
      <c r="U311" s="3">
        <f>IF(OR(N311=1,Q311=1),1,0)</f>
        <v/>
      </c>
      <c r="V311" s="3">
        <f>IF(OR(T311=1,P311=1),1,0)</f>
        <v/>
      </c>
      <c r="W311" s="3">
        <f>IF(OR(J311=1),1,0)</f>
        <v/>
      </c>
      <c r="X311" s="3">
        <f>IF(OR(I311=1,H311=1),1,0)</f>
        <v/>
      </c>
      <c r="Y311" s="3">
        <f>IF(OR(G311=1),1,0)</f>
        <v/>
      </c>
      <c r="Z311" s="3">
        <f>IF(OR(F311=1),1,0)</f>
        <v/>
      </c>
      <c r="AA311" s="3">
        <f>IF(OR(M311=1),1,0)</f>
        <v/>
      </c>
    </row>
    <row r="312">
      <c r="A312" s="22" t="inlineStr">
        <is>
          <t>779086d3f17810c62396128b7c6f0e3d6c60ea57</t>
        </is>
      </c>
      <c r="B312" s="22" t="inlineStr">
        <is>
          <t>2026-10</t>
        </is>
      </c>
      <c r="C312" s="22" t="inlineStr">
        <is>
          <t>X</t>
        </is>
      </c>
      <c r="D312" s="22" t="n">
        <v>1</v>
      </c>
      <c r="E312" s="22" t="inlineStr">
        <is>
          <t>X: X search: INEC 2027</t>
        </is>
      </c>
      <c r="F312" s="22" t="inlineStr">
        <is>
          <t>x:X search: INEC 2027</t>
        </is>
      </c>
      <c r="G312" s="22" t="n">
        <v>0.136</v>
      </c>
      <c r="H312" s="22" t="n">
        <v>0</v>
      </c>
      <c r="I312" s="22" t="n">
        <v>0</v>
      </c>
      <c r="J312" s="22" t="n">
        <v>0</v>
      </c>
      <c r="K312" s="22" t="n">
        <v>0</v>
      </c>
      <c r="L312" s="22" t="n">
        <v>0</v>
      </c>
      <c r="M312" s="22" t="n">
        <v>0</v>
      </c>
      <c r="N312" s="22" t="n">
        <v>0</v>
      </c>
      <c r="O312" s="22" t="n">
        <v>1</v>
      </c>
      <c r="P312" s="22" t="n">
        <v>0</v>
      </c>
      <c r="Q312" s="22" t="n">
        <v>0</v>
      </c>
      <c r="R312" s="22" t="n">
        <v>0</v>
      </c>
      <c r="S312" s="22" t="n">
        <v>0</v>
      </c>
      <c r="T312" s="22" t="n">
        <v>0</v>
      </c>
      <c r="U312" s="3">
        <f>IF(OR(N312=1,Q312=1),1,0)</f>
        <v/>
      </c>
      <c r="V312" s="3">
        <f>IF(OR(T312=1,P312=1),1,0)</f>
        <v/>
      </c>
      <c r="W312" s="3">
        <f>IF(OR(J312=1),1,0)</f>
        <v/>
      </c>
      <c r="X312" s="3">
        <f>IF(OR(I312=1,H312=1),1,0)</f>
        <v/>
      </c>
      <c r="Y312" s="3">
        <f>IF(OR(G312=1),1,0)</f>
        <v/>
      </c>
      <c r="Z312" s="3">
        <f>IF(OR(F312=1),1,0)</f>
        <v/>
      </c>
      <c r="AA312" s="3">
        <f>IF(OR(M312=1),1,0)</f>
        <v/>
      </c>
    </row>
    <row r="313">
      <c r="A313" s="22" t="inlineStr">
        <is>
          <t>0dd778b32ded581db1e097258e652589e99aed46</t>
        </is>
      </c>
      <c r="B313" s="22" t="inlineStr">
        <is>
          <t>2026-10</t>
        </is>
      </c>
      <c r="C313" s="22" t="inlineStr">
        <is>
          <t>X</t>
        </is>
      </c>
      <c r="D313" s="22" t="n">
        <v>1</v>
      </c>
      <c r="E313" s="22" t="inlineStr">
        <is>
          <t>X: X search: INEC 2027</t>
        </is>
      </c>
      <c r="F313" s="22" t="inlineStr">
        <is>
          <t>x:X search: INEC 2027</t>
        </is>
      </c>
      <c r="G313" s="22" t="n">
        <v>-0.572</v>
      </c>
      <c r="H313" s="22" t="n">
        <v>0</v>
      </c>
      <c r="I313" s="22" t="n">
        <v>0</v>
      </c>
      <c r="J313" s="22" t="n">
        <v>0</v>
      </c>
      <c r="K313" s="22" t="n">
        <v>0</v>
      </c>
      <c r="L313" s="22" t="n">
        <v>0</v>
      </c>
      <c r="M313" s="22" t="n">
        <v>1</v>
      </c>
      <c r="N313" s="22" t="n">
        <v>0</v>
      </c>
      <c r="O313" s="22" t="n">
        <v>0</v>
      </c>
      <c r="P313" s="22" t="n">
        <v>1</v>
      </c>
      <c r="Q313" s="22" t="n">
        <v>0</v>
      </c>
      <c r="R313" s="22" t="n">
        <v>0</v>
      </c>
      <c r="S313" s="22" t="n">
        <v>0</v>
      </c>
      <c r="T313" s="22" t="n">
        <v>0</v>
      </c>
      <c r="U313" s="3">
        <f>IF(OR(N313=1,Q313=1),1,0)</f>
        <v/>
      </c>
      <c r="V313" s="3">
        <f>IF(OR(T313=1,P313=1),1,0)</f>
        <v/>
      </c>
      <c r="W313" s="3">
        <f>IF(OR(J313=1),1,0)</f>
        <v/>
      </c>
      <c r="X313" s="3">
        <f>IF(OR(I313=1,H313=1),1,0)</f>
        <v/>
      </c>
      <c r="Y313" s="3">
        <f>IF(OR(G313=1),1,0)</f>
        <v/>
      </c>
      <c r="Z313" s="3">
        <f>IF(OR(F313=1),1,0)</f>
        <v/>
      </c>
      <c r="AA313" s="3">
        <f>IF(OR(M313=1),1,0)</f>
        <v/>
      </c>
    </row>
    <row r="314">
      <c r="A314" s="22" t="inlineStr">
        <is>
          <t>a5acc723dc86c6137b29f02a0c3c8230bbe9985e</t>
        </is>
      </c>
      <c r="B314" s="22" t="inlineStr">
        <is>
          <t>2026-10</t>
        </is>
      </c>
      <c r="C314" s="22" t="inlineStr">
        <is>
          <t>X</t>
        </is>
      </c>
      <c r="D314" s="22" t="n">
        <v>1</v>
      </c>
      <c r="E314" s="22" t="inlineStr">
        <is>
          <t>X: X search: INEC 2027</t>
        </is>
      </c>
      <c r="F314" s="22" t="inlineStr">
        <is>
          <t>x:X search: INEC 2027</t>
        </is>
      </c>
      <c r="G314" s="22" t="n">
        <v>0.271</v>
      </c>
      <c r="H314" s="22" t="n">
        <v>1</v>
      </c>
      <c r="I314" s="22" t="n">
        <v>0</v>
      </c>
      <c r="J314" s="22" t="n">
        <v>0</v>
      </c>
      <c r="K314" s="22" t="n">
        <v>0</v>
      </c>
      <c r="L314" s="22" t="n">
        <v>0</v>
      </c>
      <c r="M314" s="22" t="n">
        <v>0</v>
      </c>
      <c r="N314" s="22" t="n">
        <v>0</v>
      </c>
      <c r="O314" s="22" t="n">
        <v>0</v>
      </c>
      <c r="P314" s="22" t="n">
        <v>0</v>
      </c>
      <c r="Q314" s="22" t="n">
        <v>0</v>
      </c>
      <c r="R314" s="22" t="n">
        <v>0</v>
      </c>
      <c r="S314" s="22" t="n">
        <v>0</v>
      </c>
      <c r="T314" s="22" t="n">
        <v>0</v>
      </c>
      <c r="U314" s="3">
        <f>IF(OR(N314=1,Q314=1),1,0)</f>
        <v/>
      </c>
      <c r="V314" s="3">
        <f>IF(OR(T314=1,P314=1),1,0)</f>
        <v/>
      </c>
      <c r="W314" s="3">
        <f>IF(OR(J314=1),1,0)</f>
        <v/>
      </c>
      <c r="X314" s="3">
        <f>IF(OR(I314=1,H314=1),1,0)</f>
        <v/>
      </c>
      <c r="Y314" s="3">
        <f>IF(OR(G314=1),1,0)</f>
        <v/>
      </c>
      <c r="Z314" s="3">
        <f>IF(OR(F314=1),1,0)</f>
        <v/>
      </c>
      <c r="AA314" s="3">
        <f>IF(OR(M314=1),1,0)</f>
        <v/>
      </c>
    </row>
    <row r="315">
      <c r="A315" s="22" t="inlineStr">
        <is>
          <t>d8ddfb32bd9af46c29ff36163d6de47c80422f76</t>
        </is>
      </c>
      <c r="B315" s="22" t="inlineStr">
        <is>
          <t>2026-10</t>
        </is>
      </c>
      <c r="C315" s="22" t="inlineStr">
        <is>
          <t>X</t>
        </is>
      </c>
      <c r="D315" s="22" t="n">
        <v>1</v>
      </c>
      <c r="E315" s="22" t="inlineStr">
        <is>
          <t>X: X search: INEC 2027</t>
        </is>
      </c>
      <c r="F315" s="22" t="inlineStr">
        <is>
          <t>x:X search: INEC 2027</t>
        </is>
      </c>
      <c r="G315" s="22" t="n">
        <v>-0.735</v>
      </c>
      <c r="H315" s="22" t="n">
        <v>1</v>
      </c>
      <c r="I315" s="22" t="n">
        <v>0</v>
      </c>
      <c r="J315" s="22" t="n">
        <v>0</v>
      </c>
      <c r="K315" s="22" t="n">
        <v>0</v>
      </c>
      <c r="L315" s="22" t="n">
        <v>0</v>
      </c>
      <c r="M315" s="22" t="n">
        <v>1</v>
      </c>
      <c r="N315" s="22" t="n">
        <v>0</v>
      </c>
      <c r="O315" s="22" t="n">
        <v>0</v>
      </c>
      <c r="P315" s="22" t="n">
        <v>0</v>
      </c>
      <c r="Q315" s="22" t="n">
        <v>0</v>
      </c>
      <c r="R315" s="22" t="n">
        <v>0</v>
      </c>
      <c r="S315" s="22" t="n">
        <v>0</v>
      </c>
      <c r="T315" s="22" t="n">
        <v>0</v>
      </c>
      <c r="U315" s="3">
        <f>IF(OR(N315=1,Q315=1),1,0)</f>
        <v/>
      </c>
      <c r="V315" s="3">
        <f>IF(OR(T315=1,P315=1),1,0)</f>
        <v/>
      </c>
      <c r="W315" s="3">
        <f>IF(OR(J315=1),1,0)</f>
        <v/>
      </c>
      <c r="X315" s="3">
        <f>IF(OR(I315=1,H315=1),1,0)</f>
        <v/>
      </c>
      <c r="Y315" s="3">
        <f>IF(OR(G315=1),1,0)</f>
        <v/>
      </c>
      <c r="Z315" s="3">
        <f>IF(OR(F315=1),1,0)</f>
        <v/>
      </c>
      <c r="AA315" s="3">
        <f>IF(OR(M315=1),1,0)</f>
        <v/>
      </c>
    </row>
    <row r="316">
      <c r="A316" s="22" t="inlineStr">
        <is>
          <t>bf9c90c3d7388c7bc602ff084812577344715f36</t>
        </is>
      </c>
      <c r="B316" s="22" t="inlineStr">
        <is>
          <t>2026-10</t>
        </is>
      </c>
      <c r="C316" s="22" t="inlineStr">
        <is>
          <t>X</t>
        </is>
      </c>
      <c r="D316" s="22" t="n">
        <v>1</v>
      </c>
      <c r="E316" s="22" t="inlineStr">
        <is>
          <t>X: X search: INEC 2027</t>
        </is>
      </c>
      <c r="F316" s="22" t="inlineStr">
        <is>
          <t>x:X search: INEC 2027</t>
        </is>
      </c>
      <c r="G316" s="22" t="n">
        <v>0.496</v>
      </c>
      <c r="H316" s="22" t="n">
        <v>1</v>
      </c>
      <c r="I316" s="22" t="n">
        <v>1</v>
      </c>
      <c r="J316" s="22" t="n">
        <v>0</v>
      </c>
      <c r="K316" s="22" t="n">
        <v>0</v>
      </c>
      <c r="L316" s="22" t="n">
        <v>0</v>
      </c>
      <c r="M316" s="22" t="n">
        <v>0</v>
      </c>
      <c r="N316" s="22" t="n">
        <v>0</v>
      </c>
      <c r="O316" s="22" t="n">
        <v>0</v>
      </c>
      <c r="P316" s="22" t="n">
        <v>0</v>
      </c>
      <c r="Q316" s="22" t="n">
        <v>0</v>
      </c>
      <c r="R316" s="22" t="n">
        <v>0</v>
      </c>
      <c r="S316" s="22" t="n">
        <v>0</v>
      </c>
      <c r="T316" s="22" t="n">
        <v>0</v>
      </c>
      <c r="U316" s="3">
        <f>IF(OR(N316=1,Q316=1),1,0)</f>
        <v/>
      </c>
      <c r="V316" s="3">
        <f>IF(OR(T316=1,P316=1),1,0)</f>
        <v/>
      </c>
      <c r="W316" s="3">
        <f>IF(OR(J316=1),1,0)</f>
        <v/>
      </c>
      <c r="X316" s="3">
        <f>IF(OR(I316=1,H316=1),1,0)</f>
        <v/>
      </c>
      <c r="Y316" s="3">
        <f>IF(OR(G316=1),1,0)</f>
        <v/>
      </c>
      <c r="Z316" s="3">
        <f>IF(OR(F316=1),1,0)</f>
        <v/>
      </c>
      <c r="AA316" s="3">
        <f>IF(OR(M316=1),1,0)</f>
        <v/>
      </c>
    </row>
    <row r="317">
      <c r="A317" s="22" t="inlineStr">
        <is>
          <t>65fb46e0e6ed5cccd5a3e181abcc3852e7ecf3f1</t>
        </is>
      </c>
      <c r="B317" s="22" t="inlineStr">
        <is>
          <t>2026-10</t>
        </is>
      </c>
      <c r="C317" s="22" t="inlineStr">
        <is>
          <t>X</t>
        </is>
      </c>
      <c r="D317" s="22" t="n">
        <v>1</v>
      </c>
      <c r="E317" s="22" t="inlineStr">
        <is>
          <t>X: X search: INEC 2027</t>
        </is>
      </c>
      <c r="F317" s="22" t="inlineStr">
        <is>
          <t>x:X search: INEC 2027</t>
        </is>
      </c>
      <c r="G317" s="22" t="n">
        <v>0.625</v>
      </c>
      <c r="H317" s="22" t="n">
        <v>0</v>
      </c>
      <c r="I317" s="22" t="n">
        <v>0</v>
      </c>
      <c r="J317" s="22" t="n">
        <v>0</v>
      </c>
      <c r="K317" s="22" t="n">
        <v>0</v>
      </c>
      <c r="L317" s="22" t="n">
        <v>0</v>
      </c>
      <c r="M317" s="22" t="n">
        <v>0</v>
      </c>
      <c r="N317" s="22" t="n">
        <v>0</v>
      </c>
      <c r="O317" s="22" t="n">
        <v>1</v>
      </c>
      <c r="P317" s="22" t="n">
        <v>0</v>
      </c>
      <c r="Q317" s="22" t="n">
        <v>0</v>
      </c>
      <c r="R317" s="22" t="n">
        <v>0</v>
      </c>
      <c r="S317" s="22" t="n">
        <v>0</v>
      </c>
      <c r="T317" s="22" t="n">
        <v>0</v>
      </c>
      <c r="U317" s="3">
        <f>IF(OR(N317=1,Q317=1),1,0)</f>
        <v/>
      </c>
      <c r="V317" s="3">
        <f>IF(OR(T317=1,P317=1),1,0)</f>
        <v/>
      </c>
      <c r="W317" s="3">
        <f>IF(OR(J317=1),1,0)</f>
        <v/>
      </c>
      <c r="X317" s="3">
        <f>IF(OR(I317=1,H317=1),1,0)</f>
        <v/>
      </c>
      <c r="Y317" s="3">
        <f>IF(OR(G317=1),1,0)</f>
        <v/>
      </c>
      <c r="Z317" s="3">
        <f>IF(OR(F317=1),1,0)</f>
        <v/>
      </c>
      <c r="AA317" s="3">
        <f>IF(OR(M317=1),1,0)</f>
        <v/>
      </c>
    </row>
    <row r="318">
      <c r="A318" s="22" t="inlineStr">
        <is>
          <t>7ae13008facc88b0deaeaf7e2da7657666fcbea1</t>
        </is>
      </c>
      <c r="B318" s="22" t="inlineStr">
        <is>
          <t>2026-10</t>
        </is>
      </c>
      <c r="C318" s="22" t="inlineStr">
        <is>
          <t>X</t>
        </is>
      </c>
      <c r="D318" s="22" t="n">
        <v>1</v>
      </c>
      <c r="E318" s="22" t="inlineStr">
        <is>
          <t>X: X search: INEC 2027</t>
        </is>
      </c>
      <c r="F318" s="22" t="inlineStr">
        <is>
          <t>x:X search: INEC 2027</t>
        </is>
      </c>
      <c r="G318" s="22" t="n">
        <v>0.637</v>
      </c>
      <c r="H318" s="22" t="n">
        <v>0</v>
      </c>
      <c r="I318" s="22" t="n">
        <v>0</v>
      </c>
      <c r="J318" s="22" t="n">
        <v>0</v>
      </c>
      <c r="K318" s="22" t="n">
        <v>0</v>
      </c>
      <c r="L318" s="22" t="n">
        <v>0</v>
      </c>
      <c r="M318" s="22" t="n">
        <v>1</v>
      </c>
      <c r="N318" s="22" t="n">
        <v>0</v>
      </c>
      <c r="O318" s="22" t="n">
        <v>1</v>
      </c>
      <c r="P318" s="22" t="n">
        <v>0</v>
      </c>
      <c r="Q318" s="22" t="n">
        <v>0</v>
      </c>
      <c r="R318" s="22" t="n">
        <v>0</v>
      </c>
      <c r="S318" s="22" t="n">
        <v>0</v>
      </c>
      <c r="T318" s="22" t="n">
        <v>0</v>
      </c>
      <c r="U318" s="3">
        <f>IF(OR(N318=1,Q318=1),1,0)</f>
        <v/>
      </c>
      <c r="V318" s="3">
        <f>IF(OR(T318=1,P318=1),1,0)</f>
        <v/>
      </c>
      <c r="W318" s="3">
        <f>IF(OR(J318=1),1,0)</f>
        <v/>
      </c>
      <c r="X318" s="3">
        <f>IF(OR(I318=1,H318=1),1,0)</f>
        <v/>
      </c>
      <c r="Y318" s="3">
        <f>IF(OR(G318=1),1,0)</f>
        <v/>
      </c>
      <c r="Z318" s="3">
        <f>IF(OR(F318=1),1,0)</f>
        <v/>
      </c>
      <c r="AA318" s="3">
        <f>IF(OR(M318=1),1,0)</f>
        <v/>
      </c>
    </row>
    <row r="319">
      <c r="A319" s="22" t="inlineStr">
        <is>
          <t>10338a1e015af2b18976bef7d272745072ec544d</t>
        </is>
      </c>
      <c r="B319" s="22" t="inlineStr">
        <is>
          <t>2026-10</t>
        </is>
      </c>
      <c r="C319" s="22" t="inlineStr">
        <is>
          <t>X</t>
        </is>
      </c>
      <c r="D319" s="22" t="n">
        <v>1</v>
      </c>
      <c r="E319" s="22" t="inlineStr">
        <is>
          <t>X: X search: INEC 2027</t>
        </is>
      </c>
      <c r="F319" s="22" t="inlineStr">
        <is>
          <t>x:X search: INEC 2027</t>
        </is>
      </c>
      <c r="G319" s="22" t="n">
        <v>-0.34</v>
      </c>
      <c r="H319" s="22" t="n">
        <v>0</v>
      </c>
      <c r="I319" s="22" t="n">
        <v>0</v>
      </c>
      <c r="J319" s="22" t="n">
        <v>0</v>
      </c>
      <c r="K319" s="22" t="n">
        <v>0</v>
      </c>
      <c r="L319" s="22" t="n">
        <v>0</v>
      </c>
      <c r="M319" s="22" t="n">
        <v>1</v>
      </c>
      <c r="N319" s="22" t="n">
        <v>0</v>
      </c>
      <c r="O319" s="22" t="n">
        <v>0</v>
      </c>
      <c r="P319" s="22" t="n">
        <v>0</v>
      </c>
      <c r="Q319" s="22" t="n">
        <v>0</v>
      </c>
      <c r="R319" s="22" t="n">
        <v>0</v>
      </c>
      <c r="S319" s="22" t="n">
        <v>0</v>
      </c>
      <c r="T319" s="22" t="n">
        <v>0</v>
      </c>
      <c r="U319" s="3">
        <f>IF(OR(N319=1,Q319=1),1,0)</f>
        <v/>
      </c>
      <c r="V319" s="3">
        <f>IF(OR(T319=1,P319=1),1,0)</f>
        <v/>
      </c>
      <c r="W319" s="3">
        <f>IF(OR(J319=1),1,0)</f>
        <v/>
      </c>
      <c r="X319" s="3">
        <f>IF(OR(I319=1,H319=1),1,0)</f>
        <v/>
      </c>
      <c r="Y319" s="3">
        <f>IF(OR(G319=1),1,0)</f>
        <v/>
      </c>
      <c r="Z319" s="3">
        <f>IF(OR(F319=1),1,0)</f>
        <v/>
      </c>
      <c r="AA319" s="3">
        <f>IF(OR(M319=1),1,0)</f>
        <v/>
      </c>
    </row>
    <row r="320">
      <c r="A320" s="22" t="inlineStr">
        <is>
          <t>cd7ce21f5ef7ff0e922236b90d0740edae8d1571</t>
        </is>
      </c>
      <c r="B320" s="22" t="inlineStr">
        <is>
          <t>2026-10</t>
        </is>
      </c>
      <c r="C320" s="22" t="inlineStr">
        <is>
          <t>X</t>
        </is>
      </c>
      <c r="D320" s="22" t="n">
        <v>1</v>
      </c>
      <c r="E320" s="22" t="inlineStr">
        <is>
          <t>X: X search: INEC 2027</t>
        </is>
      </c>
      <c r="F320" s="22" t="inlineStr">
        <is>
          <t>x:X search: INEC 2027</t>
        </is>
      </c>
      <c r="G320" s="22" t="n">
        <v>0</v>
      </c>
      <c r="H320" s="22" t="n">
        <v>0</v>
      </c>
      <c r="I320" s="22" t="n">
        <v>0</v>
      </c>
      <c r="J320" s="22" t="n">
        <v>0</v>
      </c>
      <c r="K320" s="22" t="n">
        <v>0</v>
      </c>
      <c r="L320" s="22" t="n">
        <v>0</v>
      </c>
      <c r="M320" s="22" t="n">
        <v>1</v>
      </c>
      <c r="N320" s="22" t="n">
        <v>0</v>
      </c>
      <c r="O320" s="22" t="n">
        <v>0</v>
      </c>
      <c r="P320" s="22" t="n">
        <v>0</v>
      </c>
      <c r="Q320" s="22" t="n">
        <v>0</v>
      </c>
      <c r="R320" s="22" t="n">
        <v>0</v>
      </c>
      <c r="S320" s="22" t="n">
        <v>0</v>
      </c>
      <c r="T320" s="22" t="n">
        <v>0</v>
      </c>
      <c r="U320" s="3">
        <f>IF(OR(N320=1,Q320=1),1,0)</f>
        <v/>
      </c>
      <c r="V320" s="3">
        <f>IF(OR(T320=1,P320=1),1,0)</f>
        <v/>
      </c>
      <c r="W320" s="3">
        <f>IF(OR(J320=1),1,0)</f>
        <v/>
      </c>
      <c r="X320" s="3">
        <f>IF(OR(I320=1,H320=1),1,0)</f>
        <v/>
      </c>
      <c r="Y320" s="3">
        <f>IF(OR(G320=1),1,0)</f>
        <v/>
      </c>
      <c r="Z320" s="3">
        <f>IF(OR(F320=1),1,0)</f>
        <v/>
      </c>
      <c r="AA320" s="3">
        <f>IF(OR(M320=1),1,0)</f>
        <v/>
      </c>
    </row>
    <row r="321">
      <c r="A321" s="22" t="inlineStr">
        <is>
          <t>e693c2c204a3a5b33029144ad8cf665f788d943c</t>
        </is>
      </c>
      <c r="B321" s="22" t="inlineStr">
        <is>
          <t>2026-04</t>
        </is>
      </c>
      <c r="C321" s="22" t="inlineStr">
        <is>
          <t>X</t>
        </is>
      </c>
      <c r="D321" s="22" t="n">
        <v>1</v>
      </c>
      <c r="E321" s="22" t="inlineStr">
        <is>
          <t>X: X search (Top): INEC 2027</t>
        </is>
      </c>
      <c r="F321" s="22" t="inlineStr">
        <is>
          <t>x:X search (Top): INEC 2027</t>
        </is>
      </c>
      <c r="G321" s="22" t="n">
        <v>-0.8169999999999999</v>
      </c>
      <c r="H321" s="22" t="n">
        <v>0</v>
      </c>
      <c r="I321" s="22" t="n">
        <v>0</v>
      </c>
      <c r="J321" s="22" t="n">
        <v>0</v>
      </c>
      <c r="K321" s="22" t="n">
        <v>0</v>
      </c>
      <c r="L321" s="22" t="n">
        <v>0</v>
      </c>
      <c r="M321" s="22" t="n">
        <v>1</v>
      </c>
      <c r="N321" s="22" t="n">
        <v>0</v>
      </c>
      <c r="O321" s="22" t="n">
        <v>0</v>
      </c>
      <c r="P321" s="22" t="n">
        <v>0</v>
      </c>
      <c r="Q321" s="22" t="n">
        <v>0</v>
      </c>
      <c r="R321" s="22" t="n">
        <v>0</v>
      </c>
      <c r="S321" s="22" t="n">
        <v>0</v>
      </c>
      <c r="T321" s="22" t="n">
        <v>0</v>
      </c>
      <c r="U321" s="3">
        <f>IF(OR(N321=1,Q321=1),1,0)</f>
        <v/>
      </c>
      <c r="V321" s="3">
        <f>IF(OR(T321=1,P321=1),1,0)</f>
        <v/>
      </c>
      <c r="W321" s="3">
        <f>IF(OR(J321=1),1,0)</f>
        <v/>
      </c>
      <c r="X321" s="3">
        <f>IF(OR(I321=1,H321=1),1,0)</f>
        <v/>
      </c>
      <c r="Y321" s="3">
        <f>IF(OR(G321=1),1,0)</f>
        <v/>
      </c>
      <c r="Z321" s="3">
        <f>IF(OR(F321=1),1,0)</f>
        <v/>
      </c>
      <c r="AA321" s="3">
        <f>IF(OR(M321=1),1,0)</f>
        <v/>
      </c>
    </row>
    <row r="322">
      <c r="A322" s="22" t="inlineStr">
        <is>
          <t>96a8259594d5d0af2c59c410b192c7e2e6abac4c</t>
        </is>
      </c>
      <c r="B322" s="22" t="inlineStr">
        <is>
          <t>2026-02</t>
        </is>
      </c>
      <c r="C322" s="22" t="inlineStr">
        <is>
          <t>X</t>
        </is>
      </c>
      <c r="D322" s="22" t="n">
        <v>1</v>
      </c>
      <c r="E322" s="22" t="inlineStr">
        <is>
          <t>X: X search (Top): INEC 2027</t>
        </is>
      </c>
      <c r="F322" s="22" t="inlineStr">
        <is>
          <t>x:X search (Top): INEC 2027</t>
        </is>
      </c>
      <c r="G322" s="22" t="n">
        <v>-0.734</v>
      </c>
      <c r="H322" s="22" t="n">
        <v>0</v>
      </c>
      <c r="I322" s="22" t="n">
        <v>1</v>
      </c>
      <c r="J322" s="22" t="n">
        <v>0</v>
      </c>
      <c r="K322" s="22" t="n">
        <v>0</v>
      </c>
      <c r="L322" s="22" t="n">
        <v>0</v>
      </c>
      <c r="M322" s="22" t="n">
        <v>1</v>
      </c>
      <c r="N322" s="22" t="n">
        <v>0</v>
      </c>
      <c r="O322" s="22" t="n">
        <v>0</v>
      </c>
      <c r="P322" s="22" t="n">
        <v>0</v>
      </c>
      <c r="Q322" s="22" t="n">
        <v>0</v>
      </c>
      <c r="R322" s="22" t="n">
        <v>0</v>
      </c>
      <c r="S322" s="22" t="n">
        <v>0</v>
      </c>
      <c r="T322" s="22" t="n">
        <v>0</v>
      </c>
      <c r="U322" s="3">
        <f>IF(OR(N322=1,Q322=1),1,0)</f>
        <v/>
      </c>
      <c r="V322" s="3">
        <f>IF(OR(T322=1,P322=1),1,0)</f>
        <v/>
      </c>
      <c r="W322" s="3">
        <f>IF(OR(J322=1),1,0)</f>
        <v/>
      </c>
      <c r="X322" s="3">
        <f>IF(OR(I322=1,H322=1),1,0)</f>
        <v/>
      </c>
      <c r="Y322" s="3">
        <f>IF(OR(G322=1),1,0)</f>
        <v/>
      </c>
      <c r="Z322" s="3">
        <f>IF(OR(F322=1),1,0)</f>
        <v/>
      </c>
      <c r="AA322" s="3">
        <f>IF(OR(M322=1),1,0)</f>
        <v/>
      </c>
    </row>
    <row r="323">
      <c r="A323" s="22" t="inlineStr">
        <is>
          <t>453e566502a56be1d80f599464906c6d7e25b983</t>
        </is>
      </c>
      <c r="B323" s="22" t="inlineStr">
        <is>
          <t>2025-07</t>
        </is>
      </c>
      <c r="C323" s="22" t="inlineStr">
        <is>
          <t>X</t>
        </is>
      </c>
      <c r="D323" s="22" t="n">
        <v>1</v>
      </c>
      <c r="E323" s="22" t="inlineStr">
        <is>
          <t>X: X search (Top): INEC 2027</t>
        </is>
      </c>
      <c r="F323" s="22" t="inlineStr">
        <is>
          <t>x:X search (Top): INEC 2027</t>
        </is>
      </c>
      <c r="G323" s="22" t="n">
        <v>-0.852</v>
      </c>
      <c r="H323" s="22" t="n">
        <v>1</v>
      </c>
      <c r="I323" s="22" t="n">
        <v>0</v>
      </c>
      <c r="J323" s="22" t="n">
        <v>0</v>
      </c>
      <c r="K323" s="22" t="n">
        <v>0</v>
      </c>
      <c r="L323" s="22" t="n">
        <v>0</v>
      </c>
      <c r="M323" s="22" t="n">
        <v>1</v>
      </c>
      <c r="N323" s="22" t="n">
        <v>0</v>
      </c>
      <c r="O323" s="22" t="n">
        <v>0</v>
      </c>
      <c r="P323" s="22" t="n">
        <v>0</v>
      </c>
      <c r="Q323" s="22" t="n">
        <v>0</v>
      </c>
      <c r="R323" s="22" t="n">
        <v>0</v>
      </c>
      <c r="S323" s="22" t="n">
        <v>0</v>
      </c>
      <c r="T323" s="22" t="n">
        <v>0</v>
      </c>
      <c r="U323" s="3">
        <f>IF(OR(N323=1,Q323=1),1,0)</f>
        <v/>
      </c>
      <c r="V323" s="3">
        <f>IF(OR(T323=1,P323=1),1,0)</f>
        <v/>
      </c>
      <c r="W323" s="3">
        <f>IF(OR(J323=1),1,0)</f>
        <v/>
      </c>
      <c r="X323" s="3">
        <f>IF(OR(I323=1,H323=1),1,0)</f>
        <v/>
      </c>
      <c r="Y323" s="3">
        <f>IF(OR(G323=1),1,0)</f>
        <v/>
      </c>
      <c r="Z323" s="3">
        <f>IF(OR(F323=1),1,0)</f>
        <v/>
      </c>
      <c r="AA323" s="3">
        <f>IF(OR(M323=1),1,0)</f>
        <v/>
      </c>
    </row>
    <row r="324">
      <c r="A324" s="22" t="inlineStr">
        <is>
          <t>7767f3cf89ef5a8c3ff87f71ee818777459b6e00</t>
        </is>
      </c>
      <c r="B324" s="22" t="inlineStr">
        <is>
          <t>2026-10</t>
        </is>
      </c>
      <c r="C324" s="22" t="inlineStr">
        <is>
          <t>X</t>
        </is>
      </c>
      <c r="D324" s="22" t="n">
        <v>1</v>
      </c>
      <c r="E324" s="22" t="inlineStr">
        <is>
          <t>X: X search (Top): INEC 2027</t>
        </is>
      </c>
      <c r="F324" s="22" t="inlineStr">
        <is>
          <t>x:X search (Top): INEC 2027</t>
        </is>
      </c>
      <c r="G324" s="22" t="n">
        <v>0.25</v>
      </c>
      <c r="H324" s="22" t="n">
        <v>0</v>
      </c>
      <c r="I324" s="22" t="n">
        <v>0</v>
      </c>
      <c r="J324" s="22" t="n">
        <v>0</v>
      </c>
      <c r="K324" s="22" t="n">
        <v>0</v>
      </c>
      <c r="L324" s="22" t="n">
        <v>0</v>
      </c>
      <c r="M324" s="22" t="n">
        <v>1</v>
      </c>
      <c r="N324" s="22" t="n">
        <v>0</v>
      </c>
      <c r="O324" s="22" t="n">
        <v>0</v>
      </c>
      <c r="P324" s="22" t="n">
        <v>0</v>
      </c>
      <c r="Q324" s="22" t="n">
        <v>0</v>
      </c>
      <c r="R324" s="22" t="n">
        <v>0</v>
      </c>
      <c r="S324" s="22" t="n">
        <v>0</v>
      </c>
      <c r="T324" s="22" t="n">
        <v>0</v>
      </c>
      <c r="U324" s="3">
        <f>IF(OR(N324=1,Q324=1),1,0)</f>
        <v/>
      </c>
      <c r="V324" s="3">
        <f>IF(OR(T324=1,P324=1),1,0)</f>
        <v/>
      </c>
      <c r="W324" s="3">
        <f>IF(OR(J324=1),1,0)</f>
        <v/>
      </c>
      <c r="X324" s="3">
        <f>IF(OR(I324=1,H324=1),1,0)</f>
        <v/>
      </c>
      <c r="Y324" s="3">
        <f>IF(OR(G324=1),1,0)</f>
        <v/>
      </c>
      <c r="Z324" s="3">
        <f>IF(OR(F324=1),1,0)</f>
        <v/>
      </c>
      <c r="AA324" s="3">
        <f>IF(OR(M324=1),1,0)</f>
        <v/>
      </c>
    </row>
    <row r="325">
      <c r="A325" s="22" t="inlineStr">
        <is>
          <t>fcb461bc17ea7b7c3351f431a7982d9551d33c11</t>
        </is>
      </c>
      <c r="B325" s="22" t="inlineStr">
        <is>
          <t>2026-02</t>
        </is>
      </c>
      <c r="C325" s="22" t="inlineStr">
        <is>
          <t>X</t>
        </is>
      </c>
      <c r="D325" s="22" t="n">
        <v>1</v>
      </c>
      <c r="E325" s="22" t="inlineStr">
        <is>
          <t>X: X search (Top): INEC 2027</t>
        </is>
      </c>
      <c r="F325" s="22" t="inlineStr">
        <is>
          <t>x:X search (Top): INEC 2027</t>
        </is>
      </c>
      <c r="G325" s="22" t="n">
        <v>-0.477</v>
      </c>
      <c r="H325" s="22" t="n">
        <v>0</v>
      </c>
      <c r="I325" s="22" t="n">
        <v>0</v>
      </c>
      <c r="J325" s="22" t="n">
        <v>0</v>
      </c>
      <c r="K325" s="22" t="n">
        <v>0</v>
      </c>
      <c r="L325" s="22" t="n">
        <v>0</v>
      </c>
      <c r="M325" s="22" t="n">
        <v>1</v>
      </c>
      <c r="N325" s="22" t="n">
        <v>0</v>
      </c>
      <c r="O325" s="22" t="n">
        <v>0</v>
      </c>
      <c r="P325" s="22" t="n">
        <v>0</v>
      </c>
      <c r="Q325" s="22" t="n">
        <v>0</v>
      </c>
      <c r="R325" s="22" t="n">
        <v>0</v>
      </c>
      <c r="S325" s="22" t="n">
        <v>0</v>
      </c>
      <c r="T325" s="22" t="n">
        <v>0</v>
      </c>
      <c r="U325" s="3">
        <f>IF(OR(N325=1,Q325=1),1,0)</f>
        <v/>
      </c>
      <c r="V325" s="3">
        <f>IF(OR(T325=1,P325=1),1,0)</f>
        <v/>
      </c>
      <c r="W325" s="3">
        <f>IF(OR(J325=1),1,0)</f>
        <v/>
      </c>
      <c r="X325" s="3">
        <f>IF(OR(I325=1,H325=1),1,0)</f>
        <v/>
      </c>
      <c r="Y325" s="3">
        <f>IF(OR(G325=1),1,0)</f>
        <v/>
      </c>
      <c r="Z325" s="3">
        <f>IF(OR(F325=1),1,0)</f>
        <v/>
      </c>
      <c r="AA325" s="3">
        <f>IF(OR(M325=1),1,0)</f>
        <v/>
      </c>
    </row>
    <row r="326">
      <c r="A326" s="22" t="inlineStr">
        <is>
          <t>3fadc64bbdbf0d6552ebe9f7ef6bb58ae93b6a49</t>
        </is>
      </c>
      <c r="B326" s="22" t="inlineStr">
        <is>
          <t>2026-09</t>
        </is>
      </c>
      <c r="C326" s="22" t="inlineStr">
        <is>
          <t>X</t>
        </is>
      </c>
      <c r="D326" s="22" t="n">
        <v>1</v>
      </c>
      <c r="E326" s="22" t="inlineStr">
        <is>
          <t>X: X search (Top): INEC 2027</t>
        </is>
      </c>
      <c r="F326" s="22" t="inlineStr">
        <is>
          <t>x:X search (Top): INEC 2027</t>
        </is>
      </c>
      <c r="G326" s="22" t="n">
        <v>-0.803</v>
      </c>
      <c r="H326" s="22" t="n">
        <v>1</v>
      </c>
      <c r="I326" s="22" t="n">
        <v>0</v>
      </c>
      <c r="J326" s="22" t="n">
        <v>0</v>
      </c>
      <c r="K326" s="22" t="n">
        <v>0</v>
      </c>
      <c r="L326" s="22" t="n">
        <v>0</v>
      </c>
      <c r="M326" s="22" t="n">
        <v>1</v>
      </c>
      <c r="N326" s="22" t="n">
        <v>0</v>
      </c>
      <c r="O326" s="22" t="n">
        <v>0</v>
      </c>
      <c r="P326" s="22" t="n">
        <v>0</v>
      </c>
      <c r="Q326" s="22" t="n">
        <v>0</v>
      </c>
      <c r="R326" s="22" t="n">
        <v>0</v>
      </c>
      <c r="S326" s="22" t="n">
        <v>0</v>
      </c>
      <c r="T326" s="22" t="n">
        <v>0</v>
      </c>
      <c r="U326" s="3">
        <f>IF(OR(N326=1,Q326=1),1,0)</f>
        <v/>
      </c>
      <c r="V326" s="3">
        <f>IF(OR(T326=1,P326=1),1,0)</f>
        <v/>
      </c>
      <c r="W326" s="3">
        <f>IF(OR(J326=1),1,0)</f>
        <v/>
      </c>
      <c r="X326" s="3">
        <f>IF(OR(I326=1,H326=1),1,0)</f>
        <v/>
      </c>
      <c r="Y326" s="3">
        <f>IF(OR(G326=1),1,0)</f>
        <v/>
      </c>
      <c r="Z326" s="3">
        <f>IF(OR(F326=1),1,0)</f>
        <v/>
      </c>
      <c r="AA326" s="3">
        <f>IF(OR(M326=1),1,0)</f>
        <v/>
      </c>
    </row>
    <row r="327">
      <c r="A327" s="22" t="inlineStr">
        <is>
          <t>fc11dfc4ed8510cc2355c32f7cd935496010ea1d</t>
        </is>
      </c>
      <c r="B327" s="22" t="inlineStr">
        <is>
          <t>2026-02</t>
        </is>
      </c>
      <c r="C327" s="22" t="inlineStr">
        <is>
          <t>X</t>
        </is>
      </c>
      <c r="D327" s="22" t="n">
        <v>1</v>
      </c>
      <c r="E327" s="22" t="inlineStr">
        <is>
          <t>X: X search (Top): INEC 2027</t>
        </is>
      </c>
      <c r="F327" s="22" t="inlineStr">
        <is>
          <t>x:X search (Top): INEC 2027</t>
        </is>
      </c>
      <c r="G327" s="22" t="n">
        <v>-0.25</v>
      </c>
      <c r="H327" s="22" t="n">
        <v>1</v>
      </c>
      <c r="I327" s="22" t="n">
        <v>1</v>
      </c>
      <c r="J327" s="22" t="n">
        <v>0</v>
      </c>
      <c r="K327" s="22" t="n">
        <v>0</v>
      </c>
      <c r="L327" s="22" t="n">
        <v>0</v>
      </c>
      <c r="M327" s="22" t="n">
        <v>0</v>
      </c>
      <c r="N327" s="22" t="n">
        <v>0</v>
      </c>
      <c r="O327" s="22" t="n">
        <v>0</v>
      </c>
      <c r="P327" s="22" t="n">
        <v>0</v>
      </c>
      <c r="Q327" s="22" t="n">
        <v>0</v>
      </c>
      <c r="R327" s="22" t="n">
        <v>0</v>
      </c>
      <c r="S327" s="22" t="n">
        <v>0</v>
      </c>
      <c r="T327" s="22" t="n">
        <v>0</v>
      </c>
      <c r="U327" s="3">
        <f>IF(OR(N327=1,Q327=1),1,0)</f>
        <v/>
      </c>
      <c r="V327" s="3">
        <f>IF(OR(T327=1,P327=1),1,0)</f>
        <v/>
      </c>
      <c r="W327" s="3">
        <f>IF(OR(J327=1),1,0)</f>
        <v/>
      </c>
      <c r="X327" s="3">
        <f>IF(OR(I327=1,H327=1),1,0)</f>
        <v/>
      </c>
      <c r="Y327" s="3">
        <f>IF(OR(G327=1),1,0)</f>
        <v/>
      </c>
      <c r="Z327" s="3">
        <f>IF(OR(F327=1),1,0)</f>
        <v/>
      </c>
      <c r="AA327" s="3">
        <f>IF(OR(M327=1),1,0)</f>
        <v/>
      </c>
    </row>
    <row r="328">
      <c r="A328" s="22" t="inlineStr">
        <is>
          <t>eb75735ba46593c6229c0392689522474f4a982a</t>
        </is>
      </c>
      <c r="B328" s="22" t="inlineStr">
        <is>
          <t>2026-10</t>
        </is>
      </c>
      <c r="C328" s="22" t="inlineStr">
        <is>
          <t>X</t>
        </is>
      </c>
      <c r="D328" s="22" t="n">
        <v>1</v>
      </c>
      <c r="E328" s="22" t="inlineStr">
        <is>
          <t>X: X search (Top): INEC 2027</t>
        </is>
      </c>
      <c r="F328" s="22" t="inlineStr">
        <is>
          <t>x:X search (Top): INEC 2027</t>
        </is>
      </c>
      <c r="G328" s="22" t="n">
        <v>0.415</v>
      </c>
      <c r="H328" s="22" t="n">
        <v>0</v>
      </c>
      <c r="I328" s="22" t="n">
        <v>0</v>
      </c>
      <c r="J328" s="22" t="n">
        <v>0</v>
      </c>
      <c r="K328" s="22" t="n">
        <v>0</v>
      </c>
      <c r="L328" s="22" t="n">
        <v>0</v>
      </c>
      <c r="M328" s="22" t="n">
        <v>0</v>
      </c>
      <c r="N328" s="22" t="n">
        <v>0</v>
      </c>
      <c r="O328" s="22" t="n">
        <v>0</v>
      </c>
      <c r="P328" s="22" t="n">
        <v>0</v>
      </c>
      <c r="Q328" s="22" t="n">
        <v>0</v>
      </c>
      <c r="R328" s="22" t="n">
        <v>0</v>
      </c>
      <c r="S328" s="22" t="n">
        <v>0</v>
      </c>
      <c r="T328" s="22" t="n">
        <v>0</v>
      </c>
      <c r="U328" s="3">
        <f>IF(OR(N328=1,Q328=1),1,0)</f>
        <v/>
      </c>
      <c r="V328" s="3">
        <f>IF(OR(T328=1,P328=1),1,0)</f>
        <v/>
      </c>
      <c r="W328" s="3">
        <f>IF(OR(J328=1),1,0)</f>
        <v/>
      </c>
      <c r="X328" s="3">
        <f>IF(OR(I328=1,H328=1),1,0)</f>
        <v/>
      </c>
      <c r="Y328" s="3">
        <f>IF(OR(G328=1),1,0)</f>
        <v/>
      </c>
      <c r="Z328" s="3">
        <f>IF(OR(F328=1),1,0)</f>
        <v/>
      </c>
      <c r="AA328" s="3">
        <f>IF(OR(M328=1),1,0)</f>
        <v/>
      </c>
    </row>
    <row r="329">
      <c r="A329" s="22" t="inlineStr">
        <is>
          <t>59839b76c3dfc96b4c52334622d12342d1c1f86e</t>
        </is>
      </c>
      <c r="B329" s="22" t="inlineStr">
        <is>
          <t>2025-11</t>
        </is>
      </c>
      <c r="C329" s="22" t="inlineStr">
        <is>
          <t>X</t>
        </is>
      </c>
      <c r="D329" s="22" t="n">
        <v>1</v>
      </c>
      <c r="E329" s="22" t="inlineStr">
        <is>
          <t>X: X search (Top): INEC 2027</t>
        </is>
      </c>
      <c r="F329" s="22" t="inlineStr">
        <is>
          <t>x:X search (Top): INEC 2027</t>
        </is>
      </c>
      <c r="G329" s="22" t="n">
        <v>-0.6909999999999999</v>
      </c>
      <c r="H329" s="22" t="n">
        <v>0</v>
      </c>
      <c r="I329" s="22" t="n">
        <v>0</v>
      </c>
      <c r="J329" s="22" t="n">
        <v>1</v>
      </c>
      <c r="K329" s="22" t="n">
        <v>0</v>
      </c>
      <c r="L329" s="22" t="n">
        <v>0</v>
      </c>
      <c r="M329" s="22" t="n">
        <v>1</v>
      </c>
      <c r="N329" s="22" t="n">
        <v>0</v>
      </c>
      <c r="O329" s="22" t="n">
        <v>0</v>
      </c>
      <c r="P329" s="22" t="n">
        <v>0</v>
      </c>
      <c r="Q329" s="22" t="n">
        <v>0</v>
      </c>
      <c r="R329" s="22" t="n">
        <v>0</v>
      </c>
      <c r="S329" s="22" t="n">
        <v>0</v>
      </c>
      <c r="T329" s="22" t="n">
        <v>0</v>
      </c>
      <c r="U329" s="3">
        <f>IF(OR(N329=1,Q329=1),1,0)</f>
        <v/>
      </c>
      <c r="V329" s="3">
        <f>IF(OR(T329=1,P329=1),1,0)</f>
        <v/>
      </c>
      <c r="W329" s="3">
        <f>IF(OR(J329=1),1,0)</f>
        <v/>
      </c>
      <c r="X329" s="3">
        <f>IF(OR(I329=1,H329=1),1,0)</f>
        <v/>
      </c>
      <c r="Y329" s="3">
        <f>IF(OR(G329=1),1,0)</f>
        <v/>
      </c>
      <c r="Z329" s="3">
        <f>IF(OR(F329=1),1,0)</f>
        <v/>
      </c>
      <c r="AA329" s="3">
        <f>IF(OR(M329=1),1,0)</f>
        <v/>
      </c>
    </row>
    <row r="330">
      <c r="A330" s="22" t="inlineStr">
        <is>
          <t>7486113bd00cdb7518b5804305dc3d5bb17b0546</t>
        </is>
      </c>
      <c r="B330" s="22" t="inlineStr">
        <is>
          <t>2026-10</t>
        </is>
      </c>
      <c r="C330" s="22" t="inlineStr">
        <is>
          <t>X</t>
        </is>
      </c>
      <c r="D330" s="22" t="n">
        <v>1</v>
      </c>
      <c r="E330" s="22" t="inlineStr">
        <is>
          <t>X: X search (Top): INEC 2027</t>
        </is>
      </c>
      <c r="F330" s="22" t="inlineStr">
        <is>
          <t>x:X search (Top): INEC 2027</t>
        </is>
      </c>
      <c r="G330" s="22" t="n">
        <v>0.599</v>
      </c>
      <c r="H330" s="22" t="n">
        <v>0</v>
      </c>
      <c r="I330" s="22" t="n">
        <v>0</v>
      </c>
      <c r="J330" s="22" t="n">
        <v>0</v>
      </c>
      <c r="K330" s="22" t="n">
        <v>0</v>
      </c>
      <c r="L330" s="22" t="n">
        <v>0</v>
      </c>
      <c r="M330" s="22" t="n">
        <v>0</v>
      </c>
      <c r="N330" s="22" t="n">
        <v>0</v>
      </c>
      <c r="O330" s="22" t="n">
        <v>0</v>
      </c>
      <c r="P330" s="22" t="n">
        <v>1</v>
      </c>
      <c r="Q330" s="22" t="n">
        <v>0</v>
      </c>
      <c r="R330" s="22" t="n">
        <v>0</v>
      </c>
      <c r="S330" s="22" t="n">
        <v>0</v>
      </c>
      <c r="T330" s="22" t="n">
        <v>0</v>
      </c>
      <c r="U330" s="3">
        <f>IF(OR(N330=1,Q330=1),1,0)</f>
        <v/>
      </c>
      <c r="V330" s="3">
        <f>IF(OR(T330=1,P330=1),1,0)</f>
        <v/>
      </c>
      <c r="W330" s="3">
        <f>IF(OR(J330=1),1,0)</f>
        <v/>
      </c>
      <c r="X330" s="3">
        <f>IF(OR(I330=1,H330=1),1,0)</f>
        <v/>
      </c>
      <c r="Y330" s="3">
        <f>IF(OR(G330=1),1,0)</f>
        <v/>
      </c>
      <c r="Z330" s="3">
        <f>IF(OR(F330=1),1,0)</f>
        <v/>
      </c>
      <c r="AA330" s="3">
        <f>IF(OR(M330=1),1,0)</f>
        <v/>
      </c>
    </row>
    <row r="331">
      <c r="A331" s="22" t="inlineStr">
        <is>
          <t>a510810f8f05c766adb9e954d7653fb16b90e791</t>
        </is>
      </c>
      <c r="B331" s="22" t="inlineStr">
        <is>
          <t>2026-10</t>
        </is>
      </c>
      <c r="C331" s="22" t="inlineStr">
        <is>
          <t>X</t>
        </is>
      </c>
      <c r="D331" s="22" t="n">
        <v>1</v>
      </c>
      <c r="E331" s="22" t="inlineStr">
        <is>
          <t>X: X search (Top): INEC 2027</t>
        </is>
      </c>
      <c r="F331" s="22" t="inlineStr">
        <is>
          <t>x:X search (Top): INEC 2027</t>
        </is>
      </c>
      <c r="G331" s="22" t="n">
        <v>-0.509</v>
      </c>
      <c r="H331" s="22" t="n">
        <v>0</v>
      </c>
      <c r="I331" s="22" t="n">
        <v>0</v>
      </c>
      <c r="J331" s="22" t="n">
        <v>0</v>
      </c>
      <c r="K331" s="22" t="n">
        <v>0</v>
      </c>
      <c r="L331" s="22" t="n">
        <v>0</v>
      </c>
      <c r="M331" s="22" t="n">
        <v>1</v>
      </c>
      <c r="N331" s="22" t="n">
        <v>0</v>
      </c>
      <c r="O331" s="22" t="n">
        <v>0</v>
      </c>
      <c r="P331" s="22" t="n">
        <v>0</v>
      </c>
      <c r="Q331" s="22" t="n">
        <v>0</v>
      </c>
      <c r="R331" s="22" t="n">
        <v>0</v>
      </c>
      <c r="S331" s="22" t="n">
        <v>0</v>
      </c>
      <c r="T331" s="22" t="n">
        <v>0</v>
      </c>
      <c r="U331" s="3">
        <f>IF(OR(N331=1,Q331=1),1,0)</f>
        <v/>
      </c>
      <c r="V331" s="3">
        <f>IF(OR(T331=1,P331=1),1,0)</f>
        <v/>
      </c>
      <c r="W331" s="3">
        <f>IF(OR(J331=1),1,0)</f>
        <v/>
      </c>
      <c r="X331" s="3">
        <f>IF(OR(I331=1,H331=1),1,0)</f>
        <v/>
      </c>
      <c r="Y331" s="3">
        <f>IF(OR(G331=1),1,0)</f>
        <v/>
      </c>
      <c r="Z331" s="3">
        <f>IF(OR(F331=1),1,0)</f>
        <v/>
      </c>
      <c r="AA331" s="3">
        <f>IF(OR(M331=1),1,0)</f>
        <v/>
      </c>
    </row>
    <row r="332">
      <c r="A332" s="22" t="inlineStr">
        <is>
          <t>d53a02a0863bb8ec018899493c5bde01988ef39d</t>
        </is>
      </c>
      <c r="B332" s="22" t="inlineStr">
        <is>
          <t>2026-01</t>
        </is>
      </c>
      <c r="C332" s="22" t="inlineStr">
        <is>
          <t>X</t>
        </is>
      </c>
      <c r="D332" s="22" t="n">
        <v>1</v>
      </c>
      <c r="E332" s="22" t="inlineStr">
        <is>
          <t>X: X search (Top): INEC 2027</t>
        </is>
      </c>
      <c r="F332" s="22" t="inlineStr">
        <is>
          <t>x:X search (Top): INEC 2027</t>
        </is>
      </c>
      <c r="G332" s="22" t="n">
        <v>0.666</v>
      </c>
      <c r="H332" s="22" t="n">
        <v>0</v>
      </c>
      <c r="I332" s="22" t="n">
        <v>0</v>
      </c>
      <c r="J332" s="22" t="n">
        <v>0</v>
      </c>
      <c r="K332" s="22" t="n">
        <v>0</v>
      </c>
      <c r="L332" s="22" t="n">
        <v>0</v>
      </c>
      <c r="M332" s="22" t="n">
        <v>0</v>
      </c>
      <c r="N332" s="22" t="n">
        <v>0</v>
      </c>
      <c r="O332" s="22" t="n">
        <v>1</v>
      </c>
      <c r="P332" s="22" t="n">
        <v>0</v>
      </c>
      <c r="Q332" s="22" t="n">
        <v>0</v>
      </c>
      <c r="R332" s="22" t="n">
        <v>0</v>
      </c>
      <c r="S332" s="22" t="n">
        <v>0</v>
      </c>
      <c r="T332" s="22" t="n">
        <v>0</v>
      </c>
      <c r="U332" s="3">
        <f>IF(OR(N332=1,Q332=1),1,0)</f>
        <v/>
      </c>
      <c r="V332" s="3">
        <f>IF(OR(T332=1,P332=1),1,0)</f>
        <v/>
      </c>
      <c r="W332" s="3">
        <f>IF(OR(J332=1),1,0)</f>
        <v/>
      </c>
      <c r="X332" s="3">
        <f>IF(OR(I332=1,H332=1),1,0)</f>
        <v/>
      </c>
      <c r="Y332" s="3">
        <f>IF(OR(G332=1),1,0)</f>
        <v/>
      </c>
      <c r="Z332" s="3">
        <f>IF(OR(F332=1),1,0)</f>
        <v/>
      </c>
      <c r="AA332" s="3">
        <f>IF(OR(M332=1),1,0)</f>
        <v/>
      </c>
    </row>
    <row r="333">
      <c r="A333" s="22" t="inlineStr">
        <is>
          <t>201c69f0512f2bb9b4c1a11bb3692696327909a2</t>
        </is>
      </c>
      <c r="B333" s="22" t="inlineStr">
        <is>
          <t>2026-05</t>
        </is>
      </c>
      <c r="C333" s="22" t="inlineStr">
        <is>
          <t>X</t>
        </is>
      </c>
      <c r="D333" s="22" t="n">
        <v>1</v>
      </c>
      <c r="E333" s="22" t="inlineStr">
        <is>
          <t>X: X search (Top): INEC 2027</t>
        </is>
      </c>
      <c r="F333" s="22" t="inlineStr">
        <is>
          <t>x:X search (Top): INEC 2027</t>
        </is>
      </c>
      <c r="G333" s="22" t="n">
        <v>-0.383</v>
      </c>
      <c r="H333" s="22" t="n">
        <v>0</v>
      </c>
      <c r="I333" s="22" t="n">
        <v>0</v>
      </c>
      <c r="J333" s="22" t="n">
        <v>0</v>
      </c>
      <c r="K333" s="22" t="n">
        <v>0</v>
      </c>
      <c r="L333" s="22" t="n">
        <v>0</v>
      </c>
      <c r="M333" s="22" t="n">
        <v>1</v>
      </c>
      <c r="N333" s="22" t="n">
        <v>0</v>
      </c>
      <c r="O333" s="22" t="n">
        <v>0</v>
      </c>
      <c r="P333" s="22" t="n">
        <v>0</v>
      </c>
      <c r="Q333" s="22" t="n">
        <v>0</v>
      </c>
      <c r="R333" s="22" t="n">
        <v>0</v>
      </c>
      <c r="S333" s="22" t="n">
        <v>0</v>
      </c>
      <c r="T333" s="22" t="n">
        <v>0</v>
      </c>
      <c r="U333" s="3">
        <f>IF(OR(N333=1,Q333=1),1,0)</f>
        <v/>
      </c>
      <c r="V333" s="3">
        <f>IF(OR(T333=1,P333=1),1,0)</f>
        <v/>
      </c>
      <c r="W333" s="3">
        <f>IF(OR(J333=1),1,0)</f>
        <v/>
      </c>
      <c r="X333" s="3">
        <f>IF(OR(I333=1,H333=1),1,0)</f>
        <v/>
      </c>
      <c r="Y333" s="3">
        <f>IF(OR(G333=1),1,0)</f>
        <v/>
      </c>
      <c r="Z333" s="3">
        <f>IF(OR(F333=1),1,0)</f>
        <v/>
      </c>
      <c r="AA333" s="3">
        <f>IF(OR(M333=1),1,0)</f>
        <v/>
      </c>
    </row>
    <row r="334">
      <c r="A334" s="22" t="inlineStr">
        <is>
          <t>ee41b9cf3701c42ef7c1e21aea40559fff48094b</t>
        </is>
      </c>
      <c r="B334" s="22" t="inlineStr">
        <is>
          <t>2026-10</t>
        </is>
      </c>
      <c r="C334" s="22" t="inlineStr">
        <is>
          <t>X</t>
        </is>
      </c>
      <c r="D334" s="22" t="n">
        <v>1</v>
      </c>
      <c r="E334" s="22" t="inlineStr">
        <is>
          <t>X: X search (Top): INEC 2027</t>
        </is>
      </c>
      <c r="F334" s="22" t="inlineStr">
        <is>
          <t>x:X search (Top): INEC 2027</t>
        </is>
      </c>
      <c r="G334" s="22" t="n">
        <v>-0.268</v>
      </c>
      <c r="H334" s="22" t="n">
        <v>0</v>
      </c>
      <c r="I334" s="22" t="n">
        <v>0</v>
      </c>
      <c r="J334" s="22" t="n">
        <v>0</v>
      </c>
      <c r="K334" s="22" t="n">
        <v>0</v>
      </c>
      <c r="L334" s="22" t="n">
        <v>0</v>
      </c>
      <c r="M334" s="22" t="n">
        <v>1</v>
      </c>
      <c r="N334" s="22" t="n">
        <v>0</v>
      </c>
      <c r="O334" s="22" t="n">
        <v>0</v>
      </c>
      <c r="P334" s="22" t="n">
        <v>0</v>
      </c>
      <c r="Q334" s="22" t="n">
        <v>0</v>
      </c>
      <c r="R334" s="22" t="n">
        <v>0</v>
      </c>
      <c r="S334" s="22" t="n">
        <v>0</v>
      </c>
      <c r="T334" s="22" t="n">
        <v>0</v>
      </c>
      <c r="U334" s="3">
        <f>IF(OR(N334=1,Q334=1),1,0)</f>
        <v/>
      </c>
      <c r="V334" s="3">
        <f>IF(OR(T334=1,P334=1),1,0)</f>
        <v/>
      </c>
      <c r="W334" s="3">
        <f>IF(OR(J334=1),1,0)</f>
        <v/>
      </c>
      <c r="X334" s="3">
        <f>IF(OR(I334=1,H334=1),1,0)</f>
        <v/>
      </c>
      <c r="Y334" s="3">
        <f>IF(OR(G334=1),1,0)</f>
        <v/>
      </c>
      <c r="Z334" s="3">
        <f>IF(OR(F334=1),1,0)</f>
        <v/>
      </c>
      <c r="AA334" s="3">
        <f>IF(OR(M334=1),1,0)</f>
        <v/>
      </c>
    </row>
    <row r="335">
      <c r="A335" s="22" t="inlineStr">
        <is>
          <t>5eaf9f3c09c3ee02449e87dfcdf289c0b9e711e7</t>
        </is>
      </c>
      <c r="B335" s="22" t="inlineStr">
        <is>
          <t>2026-10</t>
        </is>
      </c>
      <c r="C335" s="22" t="inlineStr">
        <is>
          <t>X</t>
        </is>
      </c>
      <c r="D335" s="22" t="n">
        <v>1</v>
      </c>
      <c r="E335" s="22" t="inlineStr">
        <is>
          <t>X: X search (Top): INEC 2027</t>
        </is>
      </c>
      <c r="F335" s="22" t="inlineStr">
        <is>
          <t>x:X search (Top): INEC 2027</t>
        </is>
      </c>
      <c r="G335" s="22" t="n">
        <v>-0.779</v>
      </c>
      <c r="H335" s="22" t="n">
        <v>0</v>
      </c>
      <c r="I335" s="22" t="n">
        <v>0</v>
      </c>
      <c r="J335" s="22" t="n">
        <v>0</v>
      </c>
      <c r="K335" s="22" t="n">
        <v>0</v>
      </c>
      <c r="L335" s="22" t="n">
        <v>0</v>
      </c>
      <c r="M335" s="22" t="n">
        <v>1</v>
      </c>
      <c r="N335" s="22" t="n">
        <v>0</v>
      </c>
      <c r="O335" s="22" t="n">
        <v>0</v>
      </c>
      <c r="P335" s="22" t="n">
        <v>0</v>
      </c>
      <c r="Q335" s="22" t="n">
        <v>0</v>
      </c>
      <c r="R335" s="22" t="n">
        <v>0</v>
      </c>
      <c r="S335" s="22" t="n">
        <v>0</v>
      </c>
      <c r="T335" s="22" t="n">
        <v>0</v>
      </c>
      <c r="U335" s="3">
        <f>IF(OR(N335=1,Q335=1),1,0)</f>
        <v/>
      </c>
      <c r="V335" s="3">
        <f>IF(OR(T335=1,P335=1),1,0)</f>
        <v/>
      </c>
      <c r="W335" s="3">
        <f>IF(OR(J335=1),1,0)</f>
        <v/>
      </c>
      <c r="X335" s="3">
        <f>IF(OR(I335=1,H335=1),1,0)</f>
        <v/>
      </c>
      <c r="Y335" s="3">
        <f>IF(OR(G335=1),1,0)</f>
        <v/>
      </c>
      <c r="Z335" s="3">
        <f>IF(OR(F335=1),1,0)</f>
        <v/>
      </c>
      <c r="AA335" s="3">
        <f>IF(OR(M335=1),1,0)</f>
        <v/>
      </c>
    </row>
    <row r="336">
      <c r="A336" s="22" t="inlineStr">
        <is>
          <t>45320144028a4319682e31a5e3989b5232b6a28f</t>
        </is>
      </c>
      <c r="B336" s="22" t="inlineStr">
        <is>
          <t>2026-10</t>
        </is>
      </c>
      <c r="C336" s="22" t="inlineStr">
        <is>
          <t>X</t>
        </is>
      </c>
      <c r="D336" s="22" t="n">
        <v>1</v>
      </c>
      <c r="E336" s="22" t="inlineStr">
        <is>
          <t>X: X search (Top): INEC 2027</t>
        </is>
      </c>
      <c r="F336" s="22" t="inlineStr">
        <is>
          <t>x:X search (Top): INEC 2027</t>
        </is>
      </c>
      <c r="G336" s="22" t="n">
        <v>0.625</v>
      </c>
      <c r="H336" s="22" t="n">
        <v>0</v>
      </c>
      <c r="I336" s="22" t="n">
        <v>0</v>
      </c>
      <c r="J336" s="22" t="n">
        <v>0</v>
      </c>
      <c r="K336" s="22" t="n">
        <v>0</v>
      </c>
      <c r="L336" s="22" t="n">
        <v>0</v>
      </c>
      <c r="M336" s="22" t="n">
        <v>0</v>
      </c>
      <c r="N336" s="22" t="n">
        <v>0</v>
      </c>
      <c r="O336" s="22" t="n">
        <v>0</v>
      </c>
      <c r="P336" s="22" t="n">
        <v>1</v>
      </c>
      <c r="Q336" s="22" t="n">
        <v>0</v>
      </c>
      <c r="R336" s="22" t="n">
        <v>0</v>
      </c>
      <c r="S336" s="22" t="n">
        <v>0</v>
      </c>
      <c r="T336" s="22" t="n">
        <v>0</v>
      </c>
      <c r="U336" s="3">
        <f>IF(OR(N336=1,Q336=1),1,0)</f>
        <v/>
      </c>
      <c r="V336" s="3">
        <f>IF(OR(T336=1,P336=1),1,0)</f>
        <v/>
      </c>
      <c r="W336" s="3">
        <f>IF(OR(J336=1),1,0)</f>
        <v/>
      </c>
      <c r="X336" s="3">
        <f>IF(OR(I336=1,H336=1),1,0)</f>
        <v/>
      </c>
      <c r="Y336" s="3">
        <f>IF(OR(G336=1),1,0)</f>
        <v/>
      </c>
      <c r="Z336" s="3">
        <f>IF(OR(F336=1),1,0)</f>
        <v/>
      </c>
      <c r="AA336" s="3">
        <f>IF(OR(M336=1),1,0)</f>
        <v/>
      </c>
    </row>
    <row r="337">
      <c r="A337" s="22" t="inlineStr">
        <is>
          <t>090827345c03c90246194e8f559a5d852bf66f3c</t>
        </is>
      </c>
      <c r="B337" s="22" t="inlineStr">
        <is>
          <t>2026-10</t>
        </is>
      </c>
      <c r="C337" s="22" t="inlineStr">
        <is>
          <t>X</t>
        </is>
      </c>
      <c r="D337" s="22" t="n">
        <v>1</v>
      </c>
      <c r="E337" s="22" t="inlineStr">
        <is>
          <t>X: X search (Top): INEC 2027</t>
        </is>
      </c>
      <c r="F337" s="22" t="inlineStr">
        <is>
          <t>x:X search (Top): INEC 2027</t>
        </is>
      </c>
      <c r="G337" s="22" t="n">
        <v>0</v>
      </c>
      <c r="H337" s="22" t="n">
        <v>0</v>
      </c>
      <c r="I337" s="22" t="n">
        <v>0</v>
      </c>
      <c r="J337" s="22" t="n">
        <v>0</v>
      </c>
      <c r="K337" s="22" t="n">
        <v>0</v>
      </c>
      <c r="L337" s="22" t="n">
        <v>0</v>
      </c>
      <c r="M337" s="22" t="n">
        <v>0</v>
      </c>
      <c r="N337" s="22" t="n">
        <v>0</v>
      </c>
      <c r="O337" s="22" t="n">
        <v>1</v>
      </c>
      <c r="P337" s="22" t="n">
        <v>0</v>
      </c>
      <c r="Q337" s="22" t="n">
        <v>0</v>
      </c>
      <c r="R337" s="22" t="n">
        <v>0</v>
      </c>
      <c r="S337" s="22" t="n">
        <v>0</v>
      </c>
      <c r="T337" s="22" t="n">
        <v>0</v>
      </c>
      <c r="U337" s="3">
        <f>IF(OR(N337=1,Q337=1),1,0)</f>
        <v/>
      </c>
      <c r="V337" s="3">
        <f>IF(OR(T337=1,P337=1),1,0)</f>
        <v/>
      </c>
      <c r="W337" s="3">
        <f>IF(OR(J337=1),1,0)</f>
        <v/>
      </c>
      <c r="X337" s="3">
        <f>IF(OR(I337=1,H337=1),1,0)</f>
        <v/>
      </c>
      <c r="Y337" s="3">
        <f>IF(OR(G337=1),1,0)</f>
        <v/>
      </c>
      <c r="Z337" s="3">
        <f>IF(OR(F337=1),1,0)</f>
        <v/>
      </c>
      <c r="AA337" s="3">
        <f>IF(OR(M337=1),1,0)</f>
        <v/>
      </c>
    </row>
    <row r="338">
      <c r="A338" s="22" t="inlineStr">
        <is>
          <t>fe4b8d943b0ddef7c1f3aac8d6d6b2af95352e2b</t>
        </is>
      </c>
      <c r="B338" s="22" t="inlineStr">
        <is>
          <t>2026-10</t>
        </is>
      </c>
      <c r="C338" s="22" t="inlineStr">
        <is>
          <t>X</t>
        </is>
      </c>
      <c r="D338" s="22" t="n">
        <v>1</v>
      </c>
      <c r="E338" s="22" t="inlineStr">
        <is>
          <t>X: X search (Top): INEC 2027</t>
        </is>
      </c>
      <c r="F338" s="22" t="inlineStr">
        <is>
          <t>x:X search (Top): INEC 2027</t>
        </is>
      </c>
      <c r="G338" s="22" t="n">
        <v>0.8159999999999999</v>
      </c>
      <c r="H338" s="22" t="n">
        <v>0</v>
      </c>
      <c r="I338" s="22" t="n">
        <v>0</v>
      </c>
      <c r="J338" s="22" t="n">
        <v>0</v>
      </c>
      <c r="K338" s="22" t="n">
        <v>0</v>
      </c>
      <c r="L338" s="22" t="n">
        <v>0</v>
      </c>
      <c r="M338" s="22" t="n">
        <v>0</v>
      </c>
      <c r="N338" s="22" t="n">
        <v>0</v>
      </c>
      <c r="O338" s="22" t="n">
        <v>0</v>
      </c>
      <c r="P338" s="22" t="n">
        <v>1</v>
      </c>
      <c r="Q338" s="22" t="n">
        <v>0</v>
      </c>
      <c r="R338" s="22" t="n">
        <v>0</v>
      </c>
      <c r="S338" s="22" t="n">
        <v>0</v>
      </c>
      <c r="T338" s="22" t="n">
        <v>0</v>
      </c>
      <c r="U338" s="3">
        <f>IF(OR(N338=1,Q338=1),1,0)</f>
        <v/>
      </c>
      <c r="V338" s="3">
        <f>IF(OR(T338=1,P338=1),1,0)</f>
        <v/>
      </c>
      <c r="W338" s="3">
        <f>IF(OR(J338=1),1,0)</f>
        <v/>
      </c>
      <c r="X338" s="3">
        <f>IF(OR(I338=1,H338=1),1,0)</f>
        <v/>
      </c>
      <c r="Y338" s="3">
        <f>IF(OR(G338=1),1,0)</f>
        <v/>
      </c>
      <c r="Z338" s="3">
        <f>IF(OR(F338=1),1,0)</f>
        <v/>
      </c>
      <c r="AA338" s="3">
        <f>IF(OR(M338=1),1,0)</f>
        <v/>
      </c>
    </row>
    <row r="339">
      <c r="A339" s="22" t="inlineStr">
        <is>
          <t>9b2f32f3aa1d1a6ee0e7bedaed2ecff91b06e501</t>
        </is>
      </c>
      <c r="B339" s="22" t="inlineStr">
        <is>
          <t>2026-09</t>
        </is>
      </c>
      <c r="C339" s="22" t="inlineStr">
        <is>
          <t>X</t>
        </is>
      </c>
      <c r="D339" s="22" t="n">
        <v>1</v>
      </c>
      <c r="E339" s="22" t="inlineStr">
        <is>
          <t>X: X search (Top): INEC 2027</t>
        </is>
      </c>
      <c r="F339" s="22" t="inlineStr">
        <is>
          <t>x:X search (Top): INEC 2027</t>
        </is>
      </c>
      <c r="G339" s="22" t="n">
        <v>-0.34</v>
      </c>
      <c r="H339" s="22" t="n">
        <v>1</v>
      </c>
      <c r="I339" s="22" t="n">
        <v>0</v>
      </c>
      <c r="J339" s="22" t="n">
        <v>0</v>
      </c>
      <c r="K339" s="22" t="n">
        <v>0</v>
      </c>
      <c r="L339" s="22" t="n">
        <v>0</v>
      </c>
      <c r="M339" s="22" t="n">
        <v>1</v>
      </c>
      <c r="N339" s="22" t="n">
        <v>0</v>
      </c>
      <c r="O339" s="22" t="n">
        <v>0</v>
      </c>
      <c r="P339" s="22" t="n">
        <v>0</v>
      </c>
      <c r="Q339" s="22" t="n">
        <v>0</v>
      </c>
      <c r="R339" s="22" t="n">
        <v>0</v>
      </c>
      <c r="S339" s="22" t="n">
        <v>0</v>
      </c>
      <c r="T339" s="22" t="n">
        <v>0</v>
      </c>
      <c r="U339" s="3">
        <f>IF(OR(N339=1,Q339=1),1,0)</f>
        <v/>
      </c>
      <c r="V339" s="3">
        <f>IF(OR(T339=1,P339=1),1,0)</f>
        <v/>
      </c>
      <c r="W339" s="3">
        <f>IF(OR(J339=1),1,0)</f>
        <v/>
      </c>
      <c r="X339" s="3">
        <f>IF(OR(I339=1,H339=1),1,0)</f>
        <v/>
      </c>
      <c r="Y339" s="3">
        <f>IF(OR(G339=1),1,0)</f>
        <v/>
      </c>
      <c r="Z339" s="3">
        <f>IF(OR(F339=1),1,0)</f>
        <v/>
      </c>
      <c r="AA339" s="3">
        <f>IF(OR(M339=1),1,0)</f>
        <v/>
      </c>
    </row>
    <row r="340">
      <c r="A340" s="22" t="inlineStr">
        <is>
          <t>bf9f7aad627787859091c36516c727663c7e463d</t>
        </is>
      </c>
      <c r="B340" s="22" t="inlineStr">
        <is>
          <t>2026-10</t>
        </is>
      </c>
      <c r="C340" s="22" t="inlineStr">
        <is>
          <t>X</t>
        </is>
      </c>
      <c r="D340" s="22" t="n">
        <v>1</v>
      </c>
      <c r="E340" s="22" t="inlineStr">
        <is>
          <t>X: X search (Top): INEC 2027</t>
        </is>
      </c>
      <c r="F340" s="22" t="inlineStr">
        <is>
          <t>x:X search (Top): INEC 2027</t>
        </is>
      </c>
      <c r="G340" s="22" t="n">
        <v>-0.459</v>
      </c>
      <c r="H340" s="22" t="n">
        <v>0</v>
      </c>
      <c r="I340" s="22" t="n">
        <v>0</v>
      </c>
      <c r="J340" s="22" t="n">
        <v>0</v>
      </c>
      <c r="K340" s="22" t="n">
        <v>0</v>
      </c>
      <c r="L340" s="22" t="n">
        <v>0</v>
      </c>
      <c r="M340" s="22" t="n">
        <v>1</v>
      </c>
      <c r="N340" s="22" t="n">
        <v>0</v>
      </c>
      <c r="O340" s="22" t="n">
        <v>0</v>
      </c>
      <c r="P340" s="22" t="n">
        <v>1</v>
      </c>
      <c r="Q340" s="22" t="n">
        <v>0</v>
      </c>
      <c r="R340" s="22" t="n">
        <v>0</v>
      </c>
      <c r="S340" s="22" t="n">
        <v>0</v>
      </c>
      <c r="T340" s="22" t="n">
        <v>0</v>
      </c>
      <c r="U340" s="3">
        <f>IF(OR(N340=1,Q340=1),1,0)</f>
        <v/>
      </c>
      <c r="V340" s="3">
        <f>IF(OR(T340=1,P340=1),1,0)</f>
        <v/>
      </c>
      <c r="W340" s="3">
        <f>IF(OR(J340=1),1,0)</f>
        <v/>
      </c>
      <c r="X340" s="3">
        <f>IF(OR(I340=1,H340=1),1,0)</f>
        <v/>
      </c>
      <c r="Y340" s="3">
        <f>IF(OR(G340=1),1,0)</f>
        <v/>
      </c>
      <c r="Z340" s="3">
        <f>IF(OR(F340=1),1,0)</f>
        <v/>
      </c>
      <c r="AA340" s="3">
        <f>IF(OR(M340=1),1,0)</f>
        <v/>
      </c>
    </row>
    <row r="341">
      <c r="A341" s="22" t="inlineStr">
        <is>
          <t>edb1b54acc711b67c0066dc6b442f9f30742a278</t>
        </is>
      </c>
      <c r="B341" s="22" t="inlineStr">
        <is>
          <t>2026-10</t>
        </is>
      </c>
      <c r="C341" s="22" t="inlineStr">
        <is>
          <t>X</t>
        </is>
      </c>
      <c r="D341" s="22" t="n">
        <v>1</v>
      </c>
      <c r="E341" s="22" t="inlineStr">
        <is>
          <t>X: X search (Top): INEC 2027</t>
        </is>
      </c>
      <c r="F341" s="22" t="inlineStr">
        <is>
          <t>x:X search (Top): INEC 2027</t>
        </is>
      </c>
      <c r="G341" s="22" t="n">
        <v>-0.542</v>
      </c>
      <c r="H341" s="22" t="n">
        <v>1</v>
      </c>
      <c r="I341" s="22" t="n">
        <v>0</v>
      </c>
      <c r="J341" s="22" t="n">
        <v>0</v>
      </c>
      <c r="K341" s="22" t="n">
        <v>0</v>
      </c>
      <c r="L341" s="22" t="n">
        <v>0</v>
      </c>
      <c r="M341" s="22" t="n">
        <v>1</v>
      </c>
      <c r="N341" s="22" t="n">
        <v>0</v>
      </c>
      <c r="O341" s="22" t="n">
        <v>0</v>
      </c>
      <c r="P341" s="22" t="n">
        <v>0</v>
      </c>
      <c r="Q341" s="22" t="n">
        <v>0</v>
      </c>
      <c r="R341" s="22" t="n">
        <v>0</v>
      </c>
      <c r="S341" s="22" t="n">
        <v>0</v>
      </c>
      <c r="T341" s="22" t="n">
        <v>0</v>
      </c>
      <c r="U341" s="3">
        <f>IF(OR(N341=1,Q341=1),1,0)</f>
        <v/>
      </c>
      <c r="V341" s="3">
        <f>IF(OR(T341=1,P341=1),1,0)</f>
        <v/>
      </c>
      <c r="W341" s="3">
        <f>IF(OR(J341=1),1,0)</f>
        <v/>
      </c>
      <c r="X341" s="3">
        <f>IF(OR(I341=1,H341=1),1,0)</f>
        <v/>
      </c>
      <c r="Y341" s="3">
        <f>IF(OR(G341=1),1,0)</f>
        <v/>
      </c>
      <c r="Z341" s="3">
        <f>IF(OR(F341=1),1,0)</f>
        <v/>
      </c>
      <c r="AA341" s="3">
        <f>IF(OR(M341=1),1,0)</f>
        <v/>
      </c>
    </row>
    <row r="342">
      <c r="A342" s="22" t="inlineStr">
        <is>
          <t>4a79e20be40bce4014b882e6129193b6b7048d36</t>
        </is>
      </c>
      <c r="B342" s="22" t="inlineStr">
        <is>
          <t>2026-10</t>
        </is>
      </c>
      <c r="C342" s="22" t="inlineStr">
        <is>
          <t>X</t>
        </is>
      </c>
      <c r="D342" s="22" t="n">
        <v>1</v>
      </c>
      <c r="E342" s="22" t="inlineStr">
        <is>
          <t>X: X search (Top): INEC 2027</t>
        </is>
      </c>
      <c r="F342" s="22" t="inlineStr">
        <is>
          <t>x:X search (Top): INEC 2027</t>
        </is>
      </c>
      <c r="G342" s="22" t="n">
        <v>-0.388</v>
      </c>
      <c r="H342" s="22" t="n">
        <v>0</v>
      </c>
      <c r="I342" s="22" t="n">
        <v>0</v>
      </c>
      <c r="J342" s="22" t="n">
        <v>0</v>
      </c>
      <c r="K342" s="22" t="n">
        <v>0</v>
      </c>
      <c r="L342" s="22" t="n">
        <v>0</v>
      </c>
      <c r="M342" s="22" t="n">
        <v>1</v>
      </c>
      <c r="N342" s="22" t="n">
        <v>0</v>
      </c>
      <c r="O342" s="22" t="n">
        <v>0</v>
      </c>
      <c r="P342" s="22" t="n">
        <v>0</v>
      </c>
      <c r="Q342" s="22" t="n">
        <v>0</v>
      </c>
      <c r="R342" s="22" t="n">
        <v>0</v>
      </c>
      <c r="S342" s="22" t="n">
        <v>0</v>
      </c>
      <c r="T342" s="22" t="n">
        <v>0</v>
      </c>
      <c r="U342" s="3">
        <f>IF(OR(N342=1,Q342=1),1,0)</f>
        <v/>
      </c>
      <c r="V342" s="3">
        <f>IF(OR(T342=1,P342=1),1,0)</f>
        <v/>
      </c>
      <c r="W342" s="3">
        <f>IF(OR(J342=1),1,0)</f>
        <v/>
      </c>
      <c r="X342" s="3">
        <f>IF(OR(I342=1,H342=1),1,0)</f>
        <v/>
      </c>
      <c r="Y342" s="3">
        <f>IF(OR(G342=1),1,0)</f>
        <v/>
      </c>
      <c r="Z342" s="3">
        <f>IF(OR(F342=1),1,0)</f>
        <v/>
      </c>
      <c r="AA342" s="3">
        <f>IF(OR(M342=1),1,0)</f>
        <v/>
      </c>
    </row>
    <row r="343">
      <c r="A343" s="22" t="inlineStr">
        <is>
          <t>3292374373dc9497e2f9f1fa2c3214dfaab0b27f</t>
        </is>
      </c>
      <c r="B343" s="22" t="inlineStr">
        <is>
          <t>2026-10</t>
        </is>
      </c>
      <c r="C343" s="22" t="inlineStr">
        <is>
          <t>X</t>
        </is>
      </c>
      <c r="D343" s="22" t="n">
        <v>1</v>
      </c>
      <c r="E343" s="22" t="inlineStr">
        <is>
          <t>X: X search (Top): INEC 2027</t>
        </is>
      </c>
      <c r="F343" s="22" t="inlineStr">
        <is>
          <t>x:X search (Top): INEC 2027</t>
        </is>
      </c>
      <c r="G343" s="22" t="n">
        <v>0</v>
      </c>
      <c r="H343" s="22" t="n">
        <v>0</v>
      </c>
      <c r="I343" s="22" t="n">
        <v>0</v>
      </c>
      <c r="J343" s="22" t="n">
        <v>0</v>
      </c>
      <c r="K343" s="22" t="n">
        <v>0</v>
      </c>
      <c r="L343" s="22" t="n">
        <v>0</v>
      </c>
      <c r="M343" s="22" t="n">
        <v>0</v>
      </c>
      <c r="N343" s="22" t="n">
        <v>0</v>
      </c>
      <c r="O343" s="22" t="n">
        <v>0</v>
      </c>
      <c r="P343" s="22" t="n">
        <v>1</v>
      </c>
      <c r="Q343" s="22" t="n">
        <v>0</v>
      </c>
      <c r="R343" s="22" t="n">
        <v>0</v>
      </c>
      <c r="S343" s="22" t="n">
        <v>0</v>
      </c>
      <c r="T343" s="22" t="n">
        <v>0</v>
      </c>
      <c r="U343" s="3">
        <f>IF(OR(N343=1,Q343=1),1,0)</f>
        <v/>
      </c>
      <c r="V343" s="3">
        <f>IF(OR(T343=1,P343=1),1,0)</f>
        <v/>
      </c>
      <c r="W343" s="3">
        <f>IF(OR(J343=1),1,0)</f>
        <v/>
      </c>
      <c r="X343" s="3">
        <f>IF(OR(I343=1,H343=1),1,0)</f>
        <v/>
      </c>
      <c r="Y343" s="3">
        <f>IF(OR(G343=1),1,0)</f>
        <v/>
      </c>
      <c r="Z343" s="3">
        <f>IF(OR(F343=1),1,0)</f>
        <v/>
      </c>
      <c r="AA343" s="3">
        <f>IF(OR(M343=1),1,0)</f>
        <v/>
      </c>
    </row>
    <row r="344">
      <c r="A344" s="22" t="inlineStr">
        <is>
          <t>280309c9c6a21b2be689a58eb8340251f35da0b4</t>
        </is>
      </c>
      <c r="B344" s="22" t="inlineStr">
        <is>
          <t>2026-10</t>
        </is>
      </c>
      <c r="C344" s="22" t="inlineStr">
        <is>
          <t>X</t>
        </is>
      </c>
      <c r="D344" s="22" t="n">
        <v>1</v>
      </c>
      <c r="E344" s="22" t="inlineStr">
        <is>
          <t>X: X search (Top): INEC 2027</t>
        </is>
      </c>
      <c r="F344" s="22" t="inlineStr">
        <is>
          <t>x:X search (Top): INEC 2027</t>
        </is>
      </c>
      <c r="G344" s="22" t="n">
        <v>-0.586</v>
      </c>
      <c r="H344" s="22" t="n">
        <v>1</v>
      </c>
      <c r="I344" s="22" t="n">
        <v>0</v>
      </c>
      <c r="J344" s="22" t="n">
        <v>0</v>
      </c>
      <c r="K344" s="22" t="n">
        <v>0</v>
      </c>
      <c r="L344" s="22" t="n">
        <v>0</v>
      </c>
      <c r="M344" s="22" t="n">
        <v>1</v>
      </c>
      <c r="N344" s="22" t="n">
        <v>0</v>
      </c>
      <c r="O344" s="22" t="n">
        <v>0</v>
      </c>
      <c r="P344" s="22" t="n">
        <v>0</v>
      </c>
      <c r="Q344" s="22" t="n">
        <v>0</v>
      </c>
      <c r="R344" s="22" t="n">
        <v>0</v>
      </c>
      <c r="S344" s="22" t="n">
        <v>0</v>
      </c>
      <c r="T344" s="22" t="n">
        <v>0</v>
      </c>
      <c r="U344" s="3">
        <f>IF(OR(N344=1,Q344=1),1,0)</f>
        <v/>
      </c>
      <c r="V344" s="3">
        <f>IF(OR(T344=1,P344=1),1,0)</f>
        <v/>
      </c>
      <c r="W344" s="3">
        <f>IF(OR(J344=1),1,0)</f>
        <v/>
      </c>
      <c r="X344" s="3">
        <f>IF(OR(I344=1,H344=1),1,0)</f>
        <v/>
      </c>
      <c r="Y344" s="3">
        <f>IF(OR(G344=1),1,0)</f>
        <v/>
      </c>
      <c r="Z344" s="3">
        <f>IF(OR(F344=1),1,0)</f>
        <v/>
      </c>
      <c r="AA344" s="3">
        <f>IF(OR(M344=1),1,0)</f>
        <v/>
      </c>
    </row>
    <row r="345">
      <c r="A345" s="22" t="inlineStr">
        <is>
          <t>b5fe95351f58ab5a7f280c6128721ca999b1028a</t>
        </is>
      </c>
      <c r="B345" s="22" t="inlineStr">
        <is>
          <t>2026-10</t>
        </is>
      </c>
      <c r="C345" s="22" t="inlineStr">
        <is>
          <t>X</t>
        </is>
      </c>
      <c r="D345" s="22" t="n">
        <v>1</v>
      </c>
      <c r="E345" s="22" t="inlineStr">
        <is>
          <t>X: X search (Top): INEC 2027</t>
        </is>
      </c>
      <c r="F345" s="22" t="inlineStr">
        <is>
          <t>x:X search (Top): INEC 2027</t>
        </is>
      </c>
      <c r="G345" s="22" t="n">
        <v>-0.663</v>
      </c>
      <c r="H345" s="22" t="n">
        <v>1</v>
      </c>
      <c r="I345" s="22" t="n">
        <v>0</v>
      </c>
      <c r="J345" s="22" t="n">
        <v>0</v>
      </c>
      <c r="K345" s="22" t="n">
        <v>0</v>
      </c>
      <c r="L345" s="22" t="n">
        <v>0</v>
      </c>
      <c r="M345" s="22" t="n">
        <v>1</v>
      </c>
      <c r="N345" s="22" t="n">
        <v>0</v>
      </c>
      <c r="O345" s="22" t="n">
        <v>0</v>
      </c>
      <c r="P345" s="22" t="n">
        <v>0</v>
      </c>
      <c r="Q345" s="22" t="n">
        <v>0</v>
      </c>
      <c r="R345" s="22" t="n">
        <v>0</v>
      </c>
      <c r="S345" s="22" t="n">
        <v>0</v>
      </c>
      <c r="T345" s="22" t="n">
        <v>0</v>
      </c>
      <c r="U345" s="3">
        <f>IF(OR(N345=1,Q345=1),1,0)</f>
        <v/>
      </c>
      <c r="V345" s="3">
        <f>IF(OR(T345=1,P345=1),1,0)</f>
        <v/>
      </c>
      <c r="W345" s="3">
        <f>IF(OR(J345=1),1,0)</f>
        <v/>
      </c>
      <c r="X345" s="3">
        <f>IF(OR(I345=1,H345=1),1,0)</f>
        <v/>
      </c>
      <c r="Y345" s="3">
        <f>IF(OR(G345=1),1,0)</f>
        <v/>
      </c>
      <c r="Z345" s="3">
        <f>IF(OR(F345=1),1,0)</f>
        <v/>
      </c>
      <c r="AA345" s="3">
        <f>IF(OR(M345=1),1,0)</f>
        <v/>
      </c>
    </row>
    <row r="346">
      <c r="A346" s="22" t="inlineStr">
        <is>
          <t>edec199a74b16bea7e25c07d9356b336f32f4488</t>
        </is>
      </c>
      <c r="B346" s="22" t="inlineStr">
        <is>
          <t>2026-10</t>
        </is>
      </c>
      <c r="C346" s="22" t="inlineStr">
        <is>
          <t>X</t>
        </is>
      </c>
      <c r="D346" s="22" t="n">
        <v>1</v>
      </c>
      <c r="E346" s="22" t="inlineStr">
        <is>
          <t>X: X search: IReV</t>
        </is>
      </c>
      <c r="F346" s="22" t="inlineStr">
        <is>
          <t>x:X search: IReV</t>
        </is>
      </c>
      <c r="G346" s="22" t="n">
        <v>0.077</v>
      </c>
      <c r="H346" s="22" t="n">
        <v>1</v>
      </c>
      <c r="I346" s="22" t="n">
        <v>1</v>
      </c>
      <c r="J346" s="22" t="n">
        <v>0</v>
      </c>
      <c r="K346" s="22" t="n">
        <v>0</v>
      </c>
      <c r="L346" s="22" t="n">
        <v>0</v>
      </c>
      <c r="M346" s="22" t="n">
        <v>0</v>
      </c>
      <c r="N346" s="22" t="n">
        <v>0</v>
      </c>
      <c r="O346" s="22" t="n">
        <v>0</v>
      </c>
      <c r="P346" s="22" t="n">
        <v>0</v>
      </c>
      <c r="Q346" s="22" t="n">
        <v>0</v>
      </c>
      <c r="R346" s="22" t="n">
        <v>0</v>
      </c>
      <c r="S346" s="22" t="n">
        <v>0</v>
      </c>
      <c r="T346" s="22" t="n">
        <v>0</v>
      </c>
      <c r="U346" s="3">
        <f>IF(OR(N346=1,Q346=1),1,0)</f>
        <v/>
      </c>
      <c r="V346" s="3">
        <f>IF(OR(T346=1,P346=1),1,0)</f>
        <v/>
      </c>
      <c r="W346" s="3">
        <f>IF(OR(J346=1),1,0)</f>
        <v/>
      </c>
      <c r="X346" s="3">
        <f>IF(OR(I346=1,H346=1),1,0)</f>
        <v/>
      </c>
      <c r="Y346" s="3">
        <f>IF(OR(G346=1),1,0)</f>
        <v/>
      </c>
      <c r="Z346" s="3">
        <f>IF(OR(F346=1),1,0)</f>
        <v/>
      </c>
      <c r="AA346" s="3">
        <f>IF(OR(M346=1),1,0)</f>
        <v/>
      </c>
    </row>
    <row r="347">
      <c r="A347" s="22" t="inlineStr">
        <is>
          <t>a5dffc9044b36f6ff71415f9e0c693e8c1d042ca</t>
        </is>
      </c>
      <c r="B347" s="22" t="inlineStr">
        <is>
          <t>2026-10</t>
        </is>
      </c>
      <c r="C347" s="22" t="inlineStr">
        <is>
          <t>X</t>
        </is>
      </c>
      <c r="D347" s="22" t="n">
        <v>1</v>
      </c>
      <c r="E347" s="22" t="inlineStr">
        <is>
          <t>X: X search: IReV</t>
        </is>
      </c>
      <c r="F347" s="22" t="inlineStr">
        <is>
          <t>x:X search: IReV</t>
        </is>
      </c>
      <c r="G347" s="22" t="n">
        <v>-0.416</v>
      </c>
      <c r="H347" s="22" t="n">
        <v>0</v>
      </c>
      <c r="I347" s="22" t="n">
        <v>1</v>
      </c>
      <c r="J347" s="22" t="n">
        <v>0</v>
      </c>
      <c r="K347" s="22" t="n">
        <v>0</v>
      </c>
      <c r="L347" s="22" t="n">
        <v>0</v>
      </c>
      <c r="M347" s="22" t="n">
        <v>1</v>
      </c>
      <c r="N347" s="22" t="n">
        <v>0</v>
      </c>
      <c r="O347" s="22" t="n">
        <v>0</v>
      </c>
      <c r="P347" s="22" t="n">
        <v>0</v>
      </c>
      <c r="Q347" s="22" t="n">
        <v>0</v>
      </c>
      <c r="R347" s="22" t="n">
        <v>0</v>
      </c>
      <c r="S347" s="22" t="n">
        <v>0</v>
      </c>
      <c r="T347" s="22" t="n">
        <v>0</v>
      </c>
      <c r="U347" s="3">
        <f>IF(OR(N347=1,Q347=1),1,0)</f>
        <v/>
      </c>
      <c r="V347" s="3">
        <f>IF(OR(T347=1,P347=1),1,0)</f>
        <v/>
      </c>
      <c r="W347" s="3">
        <f>IF(OR(J347=1),1,0)</f>
        <v/>
      </c>
      <c r="X347" s="3">
        <f>IF(OR(I347=1,H347=1),1,0)</f>
        <v/>
      </c>
      <c r="Y347" s="3">
        <f>IF(OR(G347=1),1,0)</f>
        <v/>
      </c>
      <c r="Z347" s="3">
        <f>IF(OR(F347=1),1,0)</f>
        <v/>
      </c>
      <c r="AA347" s="3">
        <f>IF(OR(M347=1),1,0)</f>
        <v/>
      </c>
    </row>
    <row r="348">
      <c r="A348" s="22" t="inlineStr">
        <is>
          <t>c916820e6b0d12a886adfacec2f4fd61d8036cbb</t>
        </is>
      </c>
      <c r="B348" s="22" t="inlineStr">
        <is>
          <t>2026-10</t>
        </is>
      </c>
      <c r="C348" s="22" t="inlineStr">
        <is>
          <t>X</t>
        </is>
      </c>
      <c r="D348" s="22" t="n">
        <v>1</v>
      </c>
      <c r="E348" s="22" t="inlineStr">
        <is>
          <t>X: X search: IReV</t>
        </is>
      </c>
      <c r="F348" s="22" t="inlineStr">
        <is>
          <t>x:X search: IReV</t>
        </is>
      </c>
      <c r="G348" s="22" t="n">
        <v>-0.44</v>
      </c>
      <c r="H348" s="22" t="n">
        <v>0</v>
      </c>
      <c r="I348" s="22" t="n">
        <v>1</v>
      </c>
      <c r="J348" s="22" t="n">
        <v>0</v>
      </c>
      <c r="K348" s="22" t="n">
        <v>0</v>
      </c>
      <c r="L348" s="22" t="n">
        <v>0</v>
      </c>
      <c r="M348" s="22" t="n">
        <v>0</v>
      </c>
      <c r="N348" s="22" t="n">
        <v>0</v>
      </c>
      <c r="O348" s="22" t="n">
        <v>0</v>
      </c>
      <c r="P348" s="22" t="n">
        <v>0</v>
      </c>
      <c r="Q348" s="22" t="n">
        <v>0</v>
      </c>
      <c r="R348" s="22" t="n">
        <v>0</v>
      </c>
      <c r="S348" s="22" t="n">
        <v>0</v>
      </c>
      <c r="T348" s="22" t="n">
        <v>0</v>
      </c>
      <c r="U348" s="3">
        <f>IF(OR(N348=1,Q348=1),1,0)</f>
        <v/>
      </c>
      <c r="V348" s="3">
        <f>IF(OR(T348=1,P348=1),1,0)</f>
        <v/>
      </c>
      <c r="W348" s="3">
        <f>IF(OR(J348=1),1,0)</f>
        <v/>
      </c>
      <c r="X348" s="3">
        <f>IF(OR(I348=1,H348=1),1,0)</f>
        <v/>
      </c>
      <c r="Y348" s="3">
        <f>IF(OR(G348=1),1,0)</f>
        <v/>
      </c>
      <c r="Z348" s="3">
        <f>IF(OR(F348=1),1,0)</f>
        <v/>
      </c>
      <c r="AA348" s="3">
        <f>IF(OR(M348=1),1,0)</f>
        <v/>
      </c>
    </row>
    <row r="349">
      <c r="A349" s="22" t="inlineStr">
        <is>
          <t>d8bda2b206a93c6fc3cee8e136b7c769a9c06fa7</t>
        </is>
      </c>
      <c r="B349" s="22" t="inlineStr">
        <is>
          <t>2026-10</t>
        </is>
      </c>
      <c r="C349" s="22" t="inlineStr">
        <is>
          <t>X</t>
        </is>
      </c>
      <c r="D349" s="22" t="n">
        <v>1</v>
      </c>
      <c r="E349" s="22" t="inlineStr">
        <is>
          <t>X: X search: IReV</t>
        </is>
      </c>
      <c r="F349" s="22" t="inlineStr">
        <is>
          <t>x:X search: IReV</t>
        </is>
      </c>
      <c r="G349" s="22" t="n">
        <v>0.715</v>
      </c>
      <c r="H349" s="22" t="n">
        <v>0</v>
      </c>
      <c r="I349" s="22" t="n">
        <v>1</v>
      </c>
      <c r="J349" s="22" t="n">
        <v>0</v>
      </c>
      <c r="K349" s="22" t="n">
        <v>0</v>
      </c>
      <c r="L349" s="22" t="n">
        <v>0</v>
      </c>
      <c r="M349" s="22" t="n">
        <v>0</v>
      </c>
      <c r="N349" s="22" t="n">
        <v>0</v>
      </c>
      <c r="O349" s="22" t="n">
        <v>0</v>
      </c>
      <c r="P349" s="22" t="n">
        <v>0</v>
      </c>
      <c r="Q349" s="22" t="n">
        <v>0</v>
      </c>
      <c r="R349" s="22" t="n">
        <v>0</v>
      </c>
      <c r="S349" s="22" t="n">
        <v>0</v>
      </c>
      <c r="T349" s="22" t="n">
        <v>0</v>
      </c>
      <c r="U349" s="3">
        <f>IF(OR(N349=1,Q349=1),1,0)</f>
        <v/>
      </c>
      <c r="V349" s="3">
        <f>IF(OR(T349=1,P349=1),1,0)</f>
        <v/>
      </c>
      <c r="W349" s="3">
        <f>IF(OR(J349=1),1,0)</f>
        <v/>
      </c>
      <c r="X349" s="3">
        <f>IF(OR(I349=1,H349=1),1,0)</f>
        <v/>
      </c>
      <c r="Y349" s="3">
        <f>IF(OR(G349=1),1,0)</f>
        <v/>
      </c>
      <c r="Z349" s="3">
        <f>IF(OR(F349=1),1,0)</f>
        <v/>
      </c>
      <c r="AA349" s="3">
        <f>IF(OR(M349=1),1,0)</f>
        <v/>
      </c>
    </row>
    <row r="350">
      <c r="A350" s="22" t="inlineStr">
        <is>
          <t>f796724bb004d95b1a7b619a6d9d5d0b47475a98</t>
        </is>
      </c>
      <c r="B350" s="22" t="inlineStr">
        <is>
          <t>2026-10</t>
        </is>
      </c>
      <c r="C350" s="22" t="inlineStr">
        <is>
          <t>X</t>
        </is>
      </c>
      <c r="D350" s="22" t="n">
        <v>1</v>
      </c>
      <c r="E350" s="22" t="inlineStr">
        <is>
          <t>X: X search: IReV</t>
        </is>
      </c>
      <c r="F350" s="22" t="inlineStr">
        <is>
          <t>x:X search: IReV</t>
        </is>
      </c>
      <c r="G350" s="22" t="n">
        <v>-0.918</v>
      </c>
      <c r="H350" s="22" t="n">
        <v>1</v>
      </c>
      <c r="I350" s="22" t="n">
        <v>1</v>
      </c>
      <c r="J350" s="22" t="n">
        <v>0</v>
      </c>
      <c r="K350" s="22" t="n">
        <v>0</v>
      </c>
      <c r="L350" s="22" t="n">
        <v>0</v>
      </c>
      <c r="M350" s="22" t="n">
        <v>0</v>
      </c>
      <c r="N350" s="22" t="n">
        <v>0</v>
      </c>
      <c r="O350" s="22" t="n">
        <v>0</v>
      </c>
      <c r="P350" s="22" t="n">
        <v>0</v>
      </c>
      <c r="Q350" s="22" t="n">
        <v>0</v>
      </c>
      <c r="R350" s="22" t="n">
        <v>0</v>
      </c>
      <c r="S350" s="22" t="n">
        <v>0</v>
      </c>
      <c r="T350" s="22" t="n">
        <v>0</v>
      </c>
      <c r="U350" s="3">
        <f>IF(OR(N350=1,Q350=1),1,0)</f>
        <v/>
      </c>
      <c r="V350" s="3">
        <f>IF(OR(T350=1,P350=1),1,0)</f>
        <v/>
      </c>
      <c r="W350" s="3">
        <f>IF(OR(J350=1),1,0)</f>
        <v/>
      </c>
      <c r="X350" s="3">
        <f>IF(OR(I350=1,H350=1),1,0)</f>
        <v/>
      </c>
      <c r="Y350" s="3">
        <f>IF(OR(G350=1),1,0)</f>
        <v/>
      </c>
      <c r="Z350" s="3">
        <f>IF(OR(F350=1),1,0)</f>
        <v/>
      </c>
      <c r="AA350" s="3">
        <f>IF(OR(M350=1),1,0)</f>
        <v/>
      </c>
    </row>
    <row r="351">
      <c r="A351" s="22" t="inlineStr">
        <is>
          <t>b27ae4e4fb19556e4268acb3f7ba616fc8d3ff7c</t>
        </is>
      </c>
      <c r="B351" s="22" t="inlineStr">
        <is>
          <t>2026-10</t>
        </is>
      </c>
      <c r="C351" s="22" t="inlineStr">
        <is>
          <t>X</t>
        </is>
      </c>
      <c r="D351" s="22" t="n">
        <v>1</v>
      </c>
      <c r="E351" s="22" t="inlineStr">
        <is>
          <t>X: X search: IReV</t>
        </is>
      </c>
      <c r="F351" s="22" t="inlineStr">
        <is>
          <t>x:X search: IReV</t>
        </is>
      </c>
      <c r="G351" s="22" t="n">
        <v>-0.472</v>
      </c>
      <c r="H351" s="22" t="n">
        <v>0</v>
      </c>
      <c r="I351" s="22" t="n">
        <v>1</v>
      </c>
      <c r="J351" s="22" t="n">
        <v>0</v>
      </c>
      <c r="K351" s="22" t="n">
        <v>0</v>
      </c>
      <c r="L351" s="22" t="n">
        <v>0</v>
      </c>
      <c r="M351" s="22" t="n">
        <v>0</v>
      </c>
      <c r="N351" s="22" t="n">
        <v>0</v>
      </c>
      <c r="O351" s="22" t="n">
        <v>0</v>
      </c>
      <c r="P351" s="22" t="n">
        <v>0</v>
      </c>
      <c r="Q351" s="22" t="n">
        <v>0</v>
      </c>
      <c r="R351" s="22" t="n">
        <v>0</v>
      </c>
      <c r="S351" s="22" t="n">
        <v>0</v>
      </c>
      <c r="T351" s="22" t="n">
        <v>0</v>
      </c>
      <c r="U351" s="3">
        <f>IF(OR(N351=1,Q351=1),1,0)</f>
        <v/>
      </c>
      <c r="V351" s="3">
        <f>IF(OR(T351=1,P351=1),1,0)</f>
        <v/>
      </c>
      <c r="W351" s="3">
        <f>IF(OR(J351=1),1,0)</f>
        <v/>
      </c>
      <c r="X351" s="3">
        <f>IF(OR(I351=1,H351=1),1,0)</f>
        <v/>
      </c>
      <c r="Y351" s="3">
        <f>IF(OR(G351=1),1,0)</f>
        <v/>
      </c>
      <c r="Z351" s="3">
        <f>IF(OR(F351=1),1,0)</f>
        <v/>
      </c>
      <c r="AA351" s="3">
        <f>IF(OR(M351=1),1,0)</f>
        <v/>
      </c>
    </row>
    <row r="352">
      <c r="A352" s="22" t="inlineStr">
        <is>
          <t>6ff18fff1e41af753e9b1d63d518218caa00b026</t>
        </is>
      </c>
      <c r="B352" s="22" t="inlineStr">
        <is>
          <t>2026-10</t>
        </is>
      </c>
      <c r="C352" s="22" t="inlineStr">
        <is>
          <t>X</t>
        </is>
      </c>
      <c r="D352" s="22" t="n">
        <v>1</v>
      </c>
      <c r="E352" s="22" t="inlineStr">
        <is>
          <t>X: X search: IReV</t>
        </is>
      </c>
      <c r="F352" s="22" t="inlineStr">
        <is>
          <t>x:X search: IReV</t>
        </is>
      </c>
      <c r="G352" s="22" t="n">
        <v>0</v>
      </c>
      <c r="H352" s="22" t="n">
        <v>0</v>
      </c>
      <c r="I352" s="22" t="n">
        <v>1</v>
      </c>
      <c r="J352" s="22" t="n">
        <v>0</v>
      </c>
      <c r="K352" s="22" t="n">
        <v>0</v>
      </c>
      <c r="L352" s="22" t="n">
        <v>0</v>
      </c>
      <c r="M352" s="22" t="n">
        <v>0</v>
      </c>
      <c r="N352" s="22" t="n">
        <v>0</v>
      </c>
      <c r="O352" s="22" t="n">
        <v>0</v>
      </c>
      <c r="P352" s="22" t="n">
        <v>0</v>
      </c>
      <c r="Q352" s="22" t="n">
        <v>0</v>
      </c>
      <c r="R352" s="22" t="n">
        <v>0</v>
      </c>
      <c r="S352" s="22" t="n">
        <v>0</v>
      </c>
      <c r="T352" s="22" t="n">
        <v>0</v>
      </c>
      <c r="U352" s="3">
        <f>IF(OR(N352=1,Q352=1),1,0)</f>
        <v/>
      </c>
      <c r="V352" s="3">
        <f>IF(OR(T352=1,P352=1),1,0)</f>
        <v/>
      </c>
      <c r="W352" s="3">
        <f>IF(OR(J352=1),1,0)</f>
        <v/>
      </c>
      <c r="X352" s="3">
        <f>IF(OR(I352=1,H352=1),1,0)</f>
        <v/>
      </c>
      <c r="Y352" s="3">
        <f>IF(OR(G352=1),1,0)</f>
        <v/>
      </c>
      <c r="Z352" s="3">
        <f>IF(OR(F352=1),1,0)</f>
        <v/>
      </c>
      <c r="AA352" s="3">
        <f>IF(OR(M352=1),1,0)</f>
        <v/>
      </c>
    </row>
    <row r="353">
      <c r="A353" s="22" t="inlineStr">
        <is>
          <t>8c98d89a7606aaf93ba09bc934d46928eafcba26</t>
        </is>
      </c>
      <c r="B353" s="22" t="inlineStr">
        <is>
          <t>2026-10</t>
        </is>
      </c>
      <c r="C353" s="22" t="inlineStr">
        <is>
          <t>X</t>
        </is>
      </c>
      <c r="D353" s="22" t="n">
        <v>1</v>
      </c>
      <c r="E353" s="22" t="inlineStr">
        <is>
          <t>X: X search: IReV</t>
        </is>
      </c>
      <c r="F353" s="22" t="inlineStr">
        <is>
          <t>x:X search: IReV</t>
        </is>
      </c>
      <c r="G353" s="22" t="n">
        <v>0.494</v>
      </c>
      <c r="H353" s="22" t="n">
        <v>0</v>
      </c>
      <c r="I353" s="22" t="n">
        <v>1</v>
      </c>
      <c r="J353" s="22" t="n">
        <v>0</v>
      </c>
      <c r="K353" s="22" t="n">
        <v>0</v>
      </c>
      <c r="L353" s="22" t="n">
        <v>0</v>
      </c>
      <c r="M353" s="22" t="n">
        <v>0</v>
      </c>
      <c r="N353" s="22" t="n">
        <v>0</v>
      </c>
      <c r="O353" s="22" t="n">
        <v>0</v>
      </c>
      <c r="P353" s="22" t="n">
        <v>0</v>
      </c>
      <c r="Q353" s="22" t="n">
        <v>0</v>
      </c>
      <c r="R353" s="22" t="n">
        <v>0</v>
      </c>
      <c r="S353" s="22" t="n">
        <v>0</v>
      </c>
      <c r="T353" s="22" t="n">
        <v>0</v>
      </c>
      <c r="U353" s="3">
        <f>IF(OR(N353=1,Q353=1),1,0)</f>
        <v/>
      </c>
      <c r="V353" s="3">
        <f>IF(OR(T353=1,P353=1),1,0)</f>
        <v/>
      </c>
      <c r="W353" s="3">
        <f>IF(OR(J353=1),1,0)</f>
        <v/>
      </c>
      <c r="X353" s="3">
        <f>IF(OR(I353=1,H353=1),1,0)</f>
        <v/>
      </c>
      <c r="Y353" s="3">
        <f>IF(OR(G353=1),1,0)</f>
        <v/>
      </c>
      <c r="Z353" s="3">
        <f>IF(OR(F353=1),1,0)</f>
        <v/>
      </c>
      <c r="AA353" s="3">
        <f>IF(OR(M353=1),1,0)</f>
        <v/>
      </c>
    </row>
    <row r="354">
      <c r="A354" s="22" t="inlineStr">
        <is>
          <t>bd4817b22eddd229a32e2a5fec505c2fddb2c481</t>
        </is>
      </c>
      <c r="B354" s="22" t="inlineStr">
        <is>
          <t>2026-10</t>
        </is>
      </c>
      <c r="C354" s="22" t="inlineStr">
        <is>
          <t>X</t>
        </is>
      </c>
      <c r="D354" s="22" t="n">
        <v>1</v>
      </c>
      <c r="E354" s="22" t="inlineStr">
        <is>
          <t>X: X search: IReV</t>
        </is>
      </c>
      <c r="F354" s="22" t="inlineStr">
        <is>
          <t>x:X search: IReV</t>
        </is>
      </c>
      <c r="G354" s="22" t="n">
        <v>0.637</v>
      </c>
      <c r="H354" s="22" t="n">
        <v>1</v>
      </c>
      <c r="I354" s="22" t="n">
        <v>1</v>
      </c>
      <c r="J354" s="22" t="n">
        <v>0</v>
      </c>
      <c r="K354" s="22" t="n">
        <v>0</v>
      </c>
      <c r="L354" s="22" t="n">
        <v>0</v>
      </c>
      <c r="M354" s="22" t="n">
        <v>0</v>
      </c>
      <c r="N354" s="22" t="n">
        <v>0</v>
      </c>
      <c r="O354" s="22" t="n">
        <v>0</v>
      </c>
      <c r="P354" s="22" t="n">
        <v>0</v>
      </c>
      <c r="Q354" s="22" t="n">
        <v>0</v>
      </c>
      <c r="R354" s="22" t="n">
        <v>0</v>
      </c>
      <c r="S354" s="22" t="n">
        <v>0</v>
      </c>
      <c r="T354" s="22" t="n">
        <v>0</v>
      </c>
      <c r="U354" s="3">
        <f>IF(OR(N354=1,Q354=1),1,0)</f>
        <v/>
      </c>
      <c r="V354" s="3">
        <f>IF(OR(T354=1,P354=1),1,0)</f>
        <v/>
      </c>
      <c r="W354" s="3">
        <f>IF(OR(J354=1),1,0)</f>
        <v/>
      </c>
      <c r="X354" s="3">
        <f>IF(OR(I354=1,H354=1),1,0)</f>
        <v/>
      </c>
      <c r="Y354" s="3">
        <f>IF(OR(G354=1),1,0)</f>
        <v/>
      </c>
      <c r="Z354" s="3">
        <f>IF(OR(F354=1),1,0)</f>
        <v/>
      </c>
      <c r="AA354" s="3">
        <f>IF(OR(M354=1),1,0)</f>
        <v/>
      </c>
    </row>
    <row r="355">
      <c r="A355" s="22" t="inlineStr">
        <is>
          <t>7104594b56981ece2536ca620120c2f5134fbe72</t>
        </is>
      </c>
      <c r="B355" s="22" t="inlineStr">
        <is>
          <t>2026-10</t>
        </is>
      </c>
      <c r="C355" s="22" t="inlineStr">
        <is>
          <t>X</t>
        </is>
      </c>
      <c r="D355" s="22" t="n">
        <v>1</v>
      </c>
      <c r="E355" s="22" t="inlineStr">
        <is>
          <t>X: X search: IReV</t>
        </is>
      </c>
      <c r="F355" s="22" t="inlineStr">
        <is>
          <t>x:X search: IReV</t>
        </is>
      </c>
      <c r="G355" s="22" t="n">
        <v>0</v>
      </c>
      <c r="H355" s="22" t="n">
        <v>0</v>
      </c>
      <c r="I355" s="22" t="n">
        <v>1</v>
      </c>
      <c r="J355" s="22" t="n">
        <v>0</v>
      </c>
      <c r="K355" s="22" t="n">
        <v>0</v>
      </c>
      <c r="L355" s="22" t="n">
        <v>0</v>
      </c>
      <c r="M355" s="22" t="n">
        <v>0</v>
      </c>
      <c r="N355" s="22" t="n">
        <v>0</v>
      </c>
      <c r="O355" s="22" t="n">
        <v>0</v>
      </c>
      <c r="P355" s="22" t="n">
        <v>0</v>
      </c>
      <c r="Q355" s="22" t="n">
        <v>0</v>
      </c>
      <c r="R355" s="22" t="n">
        <v>0</v>
      </c>
      <c r="S355" s="22" t="n">
        <v>0</v>
      </c>
      <c r="T355" s="22" t="n">
        <v>0</v>
      </c>
      <c r="U355" s="3">
        <f>IF(OR(N355=1,Q355=1),1,0)</f>
        <v/>
      </c>
      <c r="V355" s="3">
        <f>IF(OR(T355=1,P355=1),1,0)</f>
        <v/>
      </c>
      <c r="W355" s="3">
        <f>IF(OR(J355=1),1,0)</f>
        <v/>
      </c>
      <c r="X355" s="3">
        <f>IF(OR(I355=1,H355=1),1,0)</f>
        <v/>
      </c>
      <c r="Y355" s="3">
        <f>IF(OR(G355=1),1,0)</f>
        <v/>
      </c>
      <c r="Z355" s="3">
        <f>IF(OR(F355=1),1,0)</f>
        <v/>
      </c>
      <c r="AA355" s="3">
        <f>IF(OR(M355=1),1,0)</f>
        <v/>
      </c>
    </row>
    <row r="356">
      <c r="A356" s="22" t="inlineStr">
        <is>
          <t>7b659022060355e3d5c293e739f4bc82c8badc47</t>
        </is>
      </c>
      <c r="B356" s="22" t="inlineStr">
        <is>
          <t>2026-10</t>
        </is>
      </c>
      <c r="C356" s="22" t="inlineStr">
        <is>
          <t>X</t>
        </is>
      </c>
      <c r="D356" s="22" t="n">
        <v>1</v>
      </c>
      <c r="E356" s="22" t="inlineStr">
        <is>
          <t>X: X search: IReV</t>
        </is>
      </c>
      <c r="F356" s="22" t="inlineStr">
        <is>
          <t>x:X search: IReV</t>
        </is>
      </c>
      <c r="G356" s="22" t="n">
        <v>0.906</v>
      </c>
      <c r="H356" s="22" t="n">
        <v>0</v>
      </c>
      <c r="I356" s="22" t="n">
        <v>1</v>
      </c>
      <c r="J356" s="22" t="n">
        <v>0</v>
      </c>
      <c r="K356" s="22" t="n">
        <v>0</v>
      </c>
      <c r="L356" s="22" t="n">
        <v>0</v>
      </c>
      <c r="M356" s="22" t="n">
        <v>0</v>
      </c>
      <c r="N356" s="22" t="n">
        <v>0</v>
      </c>
      <c r="O356" s="22" t="n">
        <v>0</v>
      </c>
      <c r="P356" s="22" t="n">
        <v>0</v>
      </c>
      <c r="Q356" s="22" t="n">
        <v>0</v>
      </c>
      <c r="R356" s="22" t="n">
        <v>0</v>
      </c>
      <c r="S356" s="22" t="n">
        <v>0</v>
      </c>
      <c r="T356" s="22" t="n">
        <v>0</v>
      </c>
      <c r="U356" s="3">
        <f>IF(OR(N356=1,Q356=1),1,0)</f>
        <v/>
      </c>
      <c r="V356" s="3">
        <f>IF(OR(T356=1,P356=1),1,0)</f>
        <v/>
      </c>
      <c r="W356" s="3">
        <f>IF(OR(J356=1),1,0)</f>
        <v/>
      </c>
      <c r="X356" s="3">
        <f>IF(OR(I356=1,H356=1),1,0)</f>
        <v/>
      </c>
      <c r="Y356" s="3">
        <f>IF(OR(G356=1),1,0)</f>
        <v/>
      </c>
      <c r="Z356" s="3">
        <f>IF(OR(F356=1),1,0)</f>
        <v/>
      </c>
      <c r="AA356" s="3">
        <f>IF(OR(M356=1),1,0)</f>
        <v/>
      </c>
    </row>
    <row r="357">
      <c r="A357" s="22" t="inlineStr">
        <is>
          <t>dfe6cd343684350820ea0fd3c3a994d0bc080c48</t>
        </is>
      </c>
      <c r="B357" s="22" t="inlineStr">
        <is>
          <t>2026-10</t>
        </is>
      </c>
      <c r="C357" s="22" t="inlineStr">
        <is>
          <t>X</t>
        </is>
      </c>
      <c r="D357" s="22" t="n">
        <v>1</v>
      </c>
      <c r="E357" s="22" t="inlineStr">
        <is>
          <t>X: X search: IReV</t>
        </is>
      </c>
      <c r="F357" s="22" t="inlineStr">
        <is>
          <t>x:X search: IReV</t>
        </is>
      </c>
      <c r="G357" s="22" t="n">
        <v>-0.875</v>
      </c>
      <c r="H357" s="22" t="n">
        <v>1</v>
      </c>
      <c r="I357" s="22" t="n">
        <v>1</v>
      </c>
      <c r="J357" s="22" t="n">
        <v>0</v>
      </c>
      <c r="K357" s="22" t="n">
        <v>0</v>
      </c>
      <c r="L357" s="22" t="n">
        <v>0</v>
      </c>
      <c r="M357" s="22" t="n">
        <v>1</v>
      </c>
      <c r="N357" s="22" t="n">
        <v>0</v>
      </c>
      <c r="O357" s="22" t="n">
        <v>0</v>
      </c>
      <c r="P357" s="22" t="n">
        <v>0</v>
      </c>
      <c r="Q357" s="22" t="n">
        <v>0</v>
      </c>
      <c r="R357" s="22" t="n">
        <v>0</v>
      </c>
      <c r="S357" s="22" t="n">
        <v>0</v>
      </c>
      <c r="T357" s="22" t="n">
        <v>0</v>
      </c>
      <c r="U357" s="3">
        <f>IF(OR(N357=1,Q357=1),1,0)</f>
        <v/>
      </c>
      <c r="V357" s="3">
        <f>IF(OR(T357=1,P357=1),1,0)</f>
        <v/>
      </c>
      <c r="W357" s="3">
        <f>IF(OR(J357=1),1,0)</f>
        <v/>
      </c>
      <c r="X357" s="3">
        <f>IF(OR(I357=1,H357=1),1,0)</f>
        <v/>
      </c>
      <c r="Y357" s="3">
        <f>IF(OR(G357=1),1,0)</f>
        <v/>
      </c>
      <c r="Z357" s="3">
        <f>IF(OR(F357=1),1,0)</f>
        <v/>
      </c>
      <c r="AA357" s="3">
        <f>IF(OR(M357=1),1,0)</f>
        <v/>
      </c>
    </row>
    <row r="358">
      <c r="A358" s="22" t="inlineStr">
        <is>
          <t>ffbda326b63b5e1acf3ded7a9385ac7e1626fa44</t>
        </is>
      </c>
      <c r="B358" s="22" t="inlineStr">
        <is>
          <t>2026-10</t>
        </is>
      </c>
      <c r="C358" s="22" t="inlineStr">
        <is>
          <t>X</t>
        </is>
      </c>
      <c r="D358" s="22" t="n">
        <v>1</v>
      </c>
      <c r="E358" s="22" t="inlineStr">
        <is>
          <t>X: X search: IReV</t>
        </is>
      </c>
      <c r="F358" s="22" t="inlineStr">
        <is>
          <t>x:X search: IReV</t>
        </is>
      </c>
      <c r="G358" s="22" t="n">
        <v>0.151</v>
      </c>
      <c r="H358" s="22" t="n">
        <v>0</v>
      </c>
      <c r="I358" s="22" t="n">
        <v>1</v>
      </c>
      <c r="J358" s="22" t="n">
        <v>0</v>
      </c>
      <c r="K358" s="22" t="n">
        <v>0</v>
      </c>
      <c r="L358" s="22" t="n">
        <v>0</v>
      </c>
      <c r="M358" s="22" t="n">
        <v>0</v>
      </c>
      <c r="N358" s="22" t="n">
        <v>0</v>
      </c>
      <c r="O358" s="22" t="n">
        <v>0</v>
      </c>
      <c r="P358" s="22" t="n">
        <v>0</v>
      </c>
      <c r="Q358" s="22" t="n">
        <v>0</v>
      </c>
      <c r="R358" s="22" t="n">
        <v>0</v>
      </c>
      <c r="S358" s="22" t="n">
        <v>0</v>
      </c>
      <c r="T358" s="22" t="n">
        <v>0</v>
      </c>
      <c r="U358" s="3">
        <f>IF(OR(N358=1,Q358=1),1,0)</f>
        <v/>
      </c>
      <c r="V358" s="3">
        <f>IF(OR(T358=1,P358=1),1,0)</f>
        <v/>
      </c>
      <c r="W358" s="3">
        <f>IF(OR(J358=1),1,0)</f>
        <v/>
      </c>
      <c r="X358" s="3">
        <f>IF(OR(I358=1,H358=1),1,0)</f>
        <v/>
      </c>
      <c r="Y358" s="3">
        <f>IF(OR(G358=1),1,0)</f>
        <v/>
      </c>
      <c r="Z358" s="3">
        <f>IF(OR(F358=1),1,0)</f>
        <v/>
      </c>
      <c r="AA358" s="3">
        <f>IF(OR(M358=1),1,0)</f>
        <v/>
      </c>
    </row>
    <row r="359">
      <c r="A359" s="22" t="inlineStr">
        <is>
          <t>51400b00c2df94c4377c5f01853b208ca6738194</t>
        </is>
      </c>
      <c r="B359" s="22" t="inlineStr">
        <is>
          <t>2026-10</t>
        </is>
      </c>
      <c r="C359" s="22" t="inlineStr">
        <is>
          <t>X</t>
        </is>
      </c>
      <c r="D359" s="22" t="n">
        <v>1</v>
      </c>
      <c r="E359" s="22" t="inlineStr">
        <is>
          <t>X: X search: IReV</t>
        </is>
      </c>
      <c r="F359" s="22" t="inlineStr">
        <is>
          <t>x:X search: IReV</t>
        </is>
      </c>
      <c r="G359" s="22" t="n">
        <v>0.586</v>
      </c>
      <c r="H359" s="22" t="n">
        <v>0</v>
      </c>
      <c r="I359" s="22" t="n">
        <v>1</v>
      </c>
      <c r="J359" s="22" t="n">
        <v>0</v>
      </c>
      <c r="K359" s="22" t="n">
        <v>0</v>
      </c>
      <c r="L359" s="22" t="n">
        <v>0</v>
      </c>
      <c r="M359" s="22" t="n">
        <v>0</v>
      </c>
      <c r="N359" s="22" t="n">
        <v>0</v>
      </c>
      <c r="O359" s="22" t="n">
        <v>0</v>
      </c>
      <c r="P359" s="22" t="n">
        <v>0</v>
      </c>
      <c r="Q359" s="22" t="n">
        <v>0</v>
      </c>
      <c r="R359" s="22" t="n">
        <v>0</v>
      </c>
      <c r="S359" s="22" t="n">
        <v>0</v>
      </c>
      <c r="T359" s="22" t="n">
        <v>0</v>
      </c>
      <c r="U359" s="3">
        <f>IF(OR(N359=1,Q359=1),1,0)</f>
        <v/>
      </c>
      <c r="V359" s="3">
        <f>IF(OR(T359=1,P359=1),1,0)</f>
        <v/>
      </c>
      <c r="W359" s="3">
        <f>IF(OR(J359=1),1,0)</f>
        <v/>
      </c>
      <c r="X359" s="3">
        <f>IF(OR(I359=1,H359=1),1,0)</f>
        <v/>
      </c>
      <c r="Y359" s="3">
        <f>IF(OR(G359=1),1,0)</f>
        <v/>
      </c>
      <c r="Z359" s="3">
        <f>IF(OR(F359=1),1,0)</f>
        <v/>
      </c>
      <c r="AA359" s="3">
        <f>IF(OR(M359=1),1,0)</f>
        <v/>
      </c>
    </row>
    <row r="360">
      <c r="A360" s="22" t="inlineStr">
        <is>
          <t>aa7c9b949d83ea930262a3170e4b2c0c7105bb4e</t>
        </is>
      </c>
      <c r="B360" s="22" t="inlineStr">
        <is>
          <t>2026-10</t>
        </is>
      </c>
      <c r="C360" s="22" t="inlineStr">
        <is>
          <t>X</t>
        </is>
      </c>
      <c r="D360" s="22" t="n">
        <v>1</v>
      </c>
      <c r="E360" s="22" t="inlineStr">
        <is>
          <t>X: X search: IReV</t>
        </is>
      </c>
      <c r="F360" s="22" t="inlineStr">
        <is>
          <t>x:X search: IReV</t>
        </is>
      </c>
      <c r="G360" s="22" t="n">
        <v>-0.395</v>
      </c>
      <c r="H360" s="22" t="n">
        <v>0</v>
      </c>
      <c r="I360" s="22" t="n">
        <v>1</v>
      </c>
      <c r="J360" s="22" t="n">
        <v>0</v>
      </c>
      <c r="K360" s="22" t="n">
        <v>0</v>
      </c>
      <c r="L360" s="22" t="n">
        <v>0</v>
      </c>
      <c r="M360" s="22" t="n">
        <v>0</v>
      </c>
      <c r="N360" s="22" t="n">
        <v>0</v>
      </c>
      <c r="O360" s="22" t="n">
        <v>0</v>
      </c>
      <c r="P360" s="22" t="n">
        <v>0</v>
      </c>
      <c r="Q360" s="22" t="n">
        <v>0</v>
      </c>
      <c r="R360" s="22" t="n">
        <v>0</v>
      </c>
      <c r="S360" s="22" t="n">
        <v>0</v>
      </c>
      <c r="T360" s="22" t="n">
        <v>0</v>
      </c>
      <c r="U360" s="3">
        <f>IF(OR(N360=1,Q360=1),1,0)</f>
        <v/>
      </c>
      <c r="V360" s="3">
        <f>IF(OR(T360=1,P360=1),1,0)</f>
        <v/>
      </c>
      <c r="W360" s="3">
        <f>IF(OR(J360=1),1,0)</f>
        <v/>
      </c>
      <c r="X360" s="3">
        <f>IF(OR(I360=1,H360=1),1,0)</f>
        <v/>
      </c>
      <c r="Y360" s="3">
        <f>IF(OR(G360=1),1,0)</f>
        <v/>
      </c>
      <c r="Z360" s="3">
        <f>IF(OR(F360=1),1,0)</f>
        <v/>
      </c>
      <c r="AA360" s="3">
        <f>IF(OR(M360=1),1,0)</f>
        <v/>
      </c>
    </row>
    <row r="361">
      <c r="A361" s="22" t="inlineStr">
        <is>
          <t>2760ec85bdddc282af14aea7255f1b939b64e21d</t>
        </is>
      </c>
      <c r="B361" s="22" t="inlineStr">
        <is>
          <t>2026-10</t>
        </is>
      </c>
      <c r="C361" s="22" t="inlineStr">
        <is>
          <t>X</t>
        </is>
      </c>
      <c r="D361" s="22" t="n">
        <v>1</v>
      </c>
      <c r="E361" s="22" t="inlineStr">
        <is>
          <t>X: X search: IReV</t>
        </is>
      </c>
      <c r="F361" s="22" t="inlineStr">
        <is>
          <t>x:X search: IReV</t>
        </is>
      </c>
      <c r="G361" s="22" t="n">
        <v>0.296</v>
      </c>
      <c r="H361" s="22" t="n">
        <v>1</v>
      </c>
      <c r="I361" s="22" t="n">
        <v>1</v>
      </c>
      <c r="J361" s="22" t="n">
        <v>0</v>
      </c>
      <c r="K361" s="22" t="n">
        <v>0</v>
      </c>
      <c r="L361" s="22" t="n">
        <v>0</v>
      </c>
      <c r="M361" s="22" t="n">
        <v>0</v>
      </c>
      <c r="N361" s="22" t="n">
        <v>0</v>
      </c>
      <c r="O361" s="22" t="n">
        <v>0</v>
      </c>
      <c r="P361" s="22" t="n">
        <v>0</v>
      </c>
      <c r="Q361" s="22" t="n">
        <v>0</v>
      </c>
      <c r="R361" s="22" t="n">
        <v>0</v>
      </c>
      <c r="S361" s="22" t="n">
        <v>0</v>
      </c>
      <c r="T361" s="22" t="n">
        <v>0</v>
      </c>
      <c r="U361" s="3">
        <f>IF(OR(N361=1,Q361=1),1,0)</f>
        <v/>
      </c>
      <c r="V361" s="3">
        <f>IF(OR(T361=1,P361=1),1,0)</f>
        <v/>
      </c>
      <c r="W361" s="3">
        <f>IF(OR(J361=1),1,0)</f>
        <v/>
      </c>
      <c r="X361" s="3">
        <f>IF(OR(I361=1,H361=1),1,0)</f>
        <v/>
      </c>
      <c r="Y361" s="3">
        <f>IF(OR(G361=1),1,0)</f>
        <v/>
      </c>
      <c r="Z361" s="3">
        <f>IF(OR(F361=1),1,0)</f>
        <v/>
      </c>
      <c r="AA361" s="3">
        <f>IF(OR(M361=1),1,0)</f>
        <v/>
      </c>
    </row>
    <row r="362">
      <c r="A362" s="22" t="inlineStr">
        <is>
          <t>86de01cd2bc3bce66a4c0f4b96df79e29e931daf</t>
        </is>
      </c>
      <c r="B362" s="22" t="inlineStr">
        <is>
          <t>2026-10</t>
        </is>
      </c>
      <c r="C362" s="22" t="inlineStr">
        <is>
          <t>X</t>
        </is>
      </c>
      <c r="D362" s="22" t="n">
        <v>1</v>
      </c>
      <c r="E362" s="22" t="inlineStr">
        <is>
          <t>X: X search: IReV</t>
        </is>
      </c>
      <c r="F362" s="22" t="inlineStr">
        <is>
          <t>x:X search: IReV</t>
        </is>
      </c>
      <c r="G362" s="22" t="n">
        <v>0.153</v>
      </c>
      <c r="H362" s="22" t="n">
        <v>1</v>
      </c>
      <c r="I362" s="22" t="n">
        <v>1</v>
      </c>
      <c r="J362" s="22" t="n">
        <v>0</v>
      </c>
      <c r="K362" s="22" t="n">
        <v>0</v>
      </c>
      <c r="L362" s="22" t="n">
        <v>0</v>
      </c>
      <c r="M362" s="22" t="n">
        <v>0</v>
      </c>
      <c r="N362" s="22" t="n">
        <v>0</v>
      </c>
      <c r="O362" s="22" t="n">
        <v>0</v>
      </c>
      <c r="P362" s="22" t="n">
        <v>0</v>
      </c>
      <c r="Q362" s="22" t="n">
        <v>0</v>
      </c>
      <c r="R362" s="22" t="n">
        <v>0</v>
      </c>
      <c r="S362" s="22" t="n">
        <v>0</v>
      </c>
      <c r="T362" s="22" t="n">
        <v>0</v>
      </c>
      <c r="U362" s="3">
        <f>IF(OR(N362=1,Q362=1),1,0)</f>
        <v/>
      </c>
      <c r="V362" s="3">
        <f>IF(OR(T362=1,P362=1),1,0)</f>
        <v/>
      </c>
      <c r="W362" s="3">
        <f>IF(OR(J362=1),1,0)</f>
        <v/>
      </c>
      <c r="X362" s="3">
        <f>IF(OR(I362=1,H362=1),1,0)</f>
        <v/>
      </c>
      <c r="Y362" s="3">
        <f>IF(OR(G362=1),1,0)</f>
        <v/>
      </c>
      <c r="Z362" s="3">
        <f>IF(OR(F362=1),1,0)</f>
        <v/>
      </c>
      <c r="AA362" s="3">
        <f>IF(OR(M362=1),1,0)</f>
        <v/>
      </c>
    </row>
    <row r="363">
      <c r="A363" s="22" t="inlineStr">
        <is>
          <t>87d94eef79394275a16c257c0abcb6fe51db847d</t>
        </is>
      </c>
      <c r="B363" s="22" t="inlineStr">
        <is>
          <t>2026-10</t>
        </is>
      </c>
      <c r="C363" s="22" t="inlineStr">
        <is>
          <t>X</t>
        </is>
      </c>
      <c r="D363" s="22" t="n">
        <v>1</v>
      </c>
      <c r="E363" s="22" t="inlineStr">
        <is>
          <t>X: X search: IReV</t>
        </is>
      </c>
      <c r="F363" s="22" t="inlineStr">
        <is>
          <t>x:X search: IReV</t>
        </is>
      </c>
      <c r="G363" s="22" t="n">
        <v>0.71</v>
      </c>
      <c r="H363" s="22" t="n">
        <v>0</v>
      </c>
      <c r="I363" s="22" t="n">
        <v>1</v>
      </c>
      <c r="J363" s="22" t="n">
        <v>0</v>
      </c>
      <c r="K363" s="22" t="n">
        <v>0</v>
      </c>
      <c r="L363" s="22" t="n">
        <v>0</v>
      </c>
      <c r="M363" s="22" t="n">
        <v>0</v>
      </c>
      <c r="N363" s="22" t="n">
        <v>0</v>
      </c>
      <c r="O363" s="22" t="n">
        <v>0</v>
      </c>
      <c r="P363" s="22" t="n">
        <v>0</v>
      </c>
      <c r="Q363" s="22" t="n">
        <v>0</v>
      </c>
      <c r="R363" s="22" t="n">
        <v>0</v>
      </c>
      <c r="S363" s="22" t="n">
        <v>0</v>
      </c>
      <c r="T363" s="22" t="n">
        <v>0</v>
      </c>
      <c r="U363" s="3">
        <f>IF(OR(N363=1,Q363=1),1,0)</f>
        <v/>
      </c>
      <c r="V363" s="3">
        <f>IF(OR(T363=1,P363=1),1,0)</f>
        <v/>
      </c>
      <c r="W363" s="3">
        <f>IF(OR(J363=1),1,0)</f>
        <v/>
      </c>
      <c r="X363" s="3">
        <f>IF(OR(I363=1,H363=1),1,0)</f>
        <v/>
      </c>
      <c r="Y363" s="3">
        <f>IF(OR(G363=1),1,0)</f>
        <v/>
      </c>
      <c r="Z363" s="3">
        <f>IF(OR(F363=1),1,0)</f>
        <v/>
      </c>
      <c r="AA363" s="3">
        <f>IF(OR(M363=1),1,0)</f>
        <v/>
      </c>
    </row>
    <row r="364">
      <c r="A364" s="22" t="inlineStr">
        <is>
          <t>d7468f517f3727668352ef9d647f705ca29ae35c</t>
        </is>
      </c>
      <c r="B364" s="22" t="inlineStr">
        <is>
          <t>2026-10</t>
        </is>
      </c>
      <c r="C364" s="22" t="inlineStr">
        <is>
          <t>X</t>
        </is>
      </c>
      <c r="D364" s="22" t="n">
        <v>1</v>
      </c>
      <c r="E364" s="22" t="inlineStr">
        <is>
          <t>X: X search: IReV</t>
        </is>
      </c>
      <c r="F364" s="22" t="inlineStr">
        <is>
          <t>x:X search: IReV</t>
        </is>
      </c>
      <c r="G364" s="22" t="n">
        <v>0.332</v>
      </c>
      <c r="H364" s="22" t="n">
        <v>0</v>
      </c>
      <c r="I364" s="22" t="n">
        <v>1</v>
      </c>
      <c r="J364" s="22" t="n">
        <v>0</v>
      </c>
      <c r="K364" s="22" t="n">
        <v>0</v>
      </c>
      <c r="L364" s="22" t="n">
        <v>0</v>
      </c>
      <c r="M364" s="22" t="n">
        <v>0</v>
      </c>
      <c r="N364" s="22" t="n">
        <v>0</v>
      </c>
      <c r="O364" s="22" t="n">
        <v>0</v>
      </c>
      <c r="P364" s="22" t="n">
        <v>0</v>
      </c>
      <c r="Q364" s="22" t="n">
        <v>0</v>
      </c>
      <c r="R364" s="22" t="n">
        <v>0</v>
      </c>
      <c r="S364" s="22" t="n">
        <v>0</v>
      </c>
      <c r="T364" s="22" t="n">
        <v>0</v>
      </c>
      <c r="U364" s="3">
        <f>IF(OR(N364=1,Q364=1),1,0)</f>
        <v/>
      </c>
      <c r="V364" s="3">
        <f>IF(OR(T364=1,P364=1),1,0)</f>
        <v/>
      </c>
      <c r="W364" s="3">
        <f>IF(OR(J364=1),1,0)</f>
        <v/>
      </c>
      <c r="X364" s="3">
        <f>IF(OR(I364=1,H364=1),1,0)</f>
        <v/>
      </c>
      <c r="Y364" s="3">
        <f>IF(OR(G364=1),1,0)</f>
        <v/>
      </c>
      <c r="Z364" s="3">
        <f>IF(OR(F364=1),1,0)</f>
        <v/>
      </c>
      <c r="AA364" s="3">
        <f>IF(OR(M364=1),1,0)</f>
        <v/>
      </c>
    </row>
    <row r="365">
      <c r="A365" s="22" t="inlineStr">
        <is>
          <t>c3cb81457da0d4265c10d3065401251ef54cd3e6</t>
        </is>
      </c>
      <c r="B365" s="22" t="inlineStr">
        <is>
          <t>2026-10</t>
        </is>
      </c>
      <c r="C365" s="22" t="inlineStr">
        <is>
          <t>X</t>
        </is>
      </c>
      <c r="D365" s="22" t="n">
        <v>1</v>
      </c>
      <c r="E365" s="22" t="inlineStr">
        <is>
          <t>X: X search: IReV</t>
        </is>
      </c>
      <c r="F365" s="22" t="inlineStr">
        <is>
          <t>x:X search: IReV</t>
        </is>
      </c>
      <c r="G365" s="22" t="n">
        <v>0.572</v>
      </c>
      <c r="H365" s="22" t="n">
        <v>0</v>
      </c>
      <c r="I365" s="22" t="n">
        <v>1</v>
      </c>
      <c r="J365" s="22" t="n">
        <v>0</v>
      </c>
      <c r="K365" s="22" t="n">
        <v>0</v>
      </c>
      <c r="L365" s="22" t="n">
        <v>0</v>
      </c>
      <c r="M365" s="22" t="n">
        <v>0</v>
      </c>
      <c r="N365" s="22" t="n">
        <v>0</v>
      </c>
      <c r="O365" s="22" t="n">
        <v>0</v>
      </c>
      <c r="P365" s="22" t="n">
        <v>0</v>
      </c>
      <c r="Q365" s="22" t="n">
        <v>0</v>
      </c>
      <c r="R365" s="22" t="n">
        <v>0</v>
      </c>
      <c r="S365" s="22" t="n">
        <v>0</v>
      </c>
      <c r="T365" s="22" t="n">
        <v>0</v>
      </c>
      <c r="U365" s="3">
        <f>IF(OR(N365=1,Q365=1),1,0)</f>
        <v/>
      </c>
      <c r="V365" s="3">
        <f>IF(OR(T365=1,P365=1),1,0)</f>
        <v/>
      </c>
      <c r="W365" s="3">
        <f>IF(OR(J365=1),1,0)</f>
        <v/>
      </c>
      <c r="X365" s="3">
        <f>IF(OR(I365=1,H365=1),1,0)</f>
        <v/>
      </c>
      <c r="Y365" s="3">
        <f>IF(OR(G365=1),1,0)</f>
        <v/>
      </c>
      <c r="Z365" s="3">
        <f>IF(OR(F365=1),1,0)</f>
        <v/>
      </c>
      <c r="AA365" s="3">
        <f>IF(OR(M365=1),1,0)</f>
        <v/>
      </c>
    </row>
    <row r="366">
      <c r="A366" s="22" t="inlineStr">
        <is>
          <t>645697109e225ecc7d056a3efb92e93e661e3245</t>
        </is>
      </c>
      <c r="B366" s="22" t="inlineStr">
        <is>
          <t>2026-10</t>
        </is>
      </c>
      <c r="C366" s="22" t="inlineStr">
        <is>
          <t>X</t>
        </is>
      </c>
      <c r="D366" s="22" t="n">
        <v>1</v>
      </c>
      <c r="E366" s="22" t="inlineStr">
        <is>
          <t>X: X search: IReV</t>
        </is>
      </c>
      <c r="F366" s="22" t="inlineStr">
        <is>
          <t>x:X search: IReV</t>
        </is>
      </c>
      <c r="G366" s="22" t="n">
        <v>-0.974</v>
      </c>
      <c r="H366" s="22" t="n">
        <v>1</v>
      </c>
      <c r="I366" s="22" t="n">
        <v>1</v>
      </c>
      <c r="J366" s="22" t="n">
        <v>0</v>
      </c>
      <c r="K366" s="22" t="n">
        <v>0</v>
      </c>
      <c r="L366" s="22" t="n">
        <v>0</v>
      </c>
      <c r="M366" s="22" t="n">
        <v>1</v>
      </c>
      <c r="N366" s="22" t="n">
        <v>0</v>
      </c>
      <c r="O366" s="22" t="n">
        <v>0</v>
      </c>
      <c r="P366" s="22" t="n">
        <v>0</v>
      </c>
      <c r="Q366" s="22" t="n">
        <v>0</v>
      </c>
      <c r="R366" s="22" t="n">
        <v>0</v>
      </c>
      <c r="S366" s="22" t="n">
        <v>0</v>
      </c>
      <c r="T366" s="22" t="n">
        <v>0</v>
      </c>
      <c r="U366" s="3">
        <f>IF(OR(N366=1,Q366=1),1,0)</f>
        <v/>
      </c>
      <c r="V366" s="3">
        <f>IF(OR(T366=1,P366=1),1,0)</f>
        <v/>
      </c>
      <c r="W366" s="3">
        <f>IF(OR(J366=1),1,0)</f>
        <v/>
      </c>
      <c r="X366" s="3">
        <f>IF(OR(I366=1,H366=1),1,0)</f>
        <v/>
      </c>
      <c r="Y366" s="3">
        <f>IF(OR(G366=1),1,0)</f>
        <v/>
      </c>
      <c r="Z366" s="3">
        <f>IF(OR(F366=1),1,0)</f>
        <v/>
      </c>
      <c r="AA366" s="3">
        <f>IF(OR(M366=1),1,0)</f>
        <v/>
      </c>
    </row>
    <row r="367">
      <c r="A367" s="22" t="inlineStr">
        <is>
          <t>5a408f0d989de56e91265b5b605e9b388bbf0060</t>
        </is>
      </c>
      <c r="B367" s="22" t="inlineStr">
        <is>
          <t>2026-10</t>
        </is>
      </c>
      <c r="C367" s="22" t="inlineStr">
        <is>
          <t>X</t>
        </is>
      </c>
      <c r="D367" s="22" t="n">
        <v>1</v>
      </c>
      <c r="E367" s="22" t="inlineStr">
        <is>
          <t>X: X search: IReV</t>
        </is>
      </c>
      <c r="F367" s="22" t="inlineStr">
        <is>
          <t>x:X search: IReV</t>
        </is>
      </c>
      <c r="G367" s="22" t="n">
        <v>0.865</v>
      </c>
      <c r="H367" s="22" t="n">
        <v>1</v>
      </c>
      <c r="I367" s="22" t="n">
        <v>1</v>
      </c>
      <c r="J367" s="22" t="n">
        <v>0</v>
      </c>
      <c r="K367" s="22" t="n">
        <v>0</v>
      </c>
      <c r="L367" s="22" t="n">
        <v>0</v>
      </c>
      <c r="M367" s="22" t="n">
        <v>0</v>
      </c>
      <c r="N367" s="22" t="n">
        <v>1</v>
      </c>
      <c r="O367" s="22" t="n">
        <v>0</v>
      </c>
      <c r="P367" s="22" t="n">
        <v>0</v>
      </c>
      <c r="Q367" s="22" t="n">
        <v>0</v>
      </c>
      <c r="R367" s="22" t="n">
        <v>0</v>
      </c>
      <c r="S367" s="22" t="n">
        <v>0</v>
      </c>
      <c r="T367" s="22" t="n">
        <v>0</v>
      </c>
      <c r="U367" s="3">
        <f>IF(OR(N367=1,Q367=1),1,0)</f>
        <v/>
      </c>
      <c r="V367" s="3">
        <f>IF(OR(T367=1,P367=1),1,0)</f>
        <v/>
      </c>
      <c r="W367" s="3">
        <f>IF(OR(J367=1),1,0)</f>
        <v/>
      </c>
      <c r="X367" s="3">
        <f>IF(OR(I367=1,H367=1),1,0)</f>
        <v/>
      </c>
      <c r="Y367" s="3">
        <f>IF(OR(G367=1),1,0)</f>
        <v/>
      </c>
      <c r="Z367" s="3">
        <f>IF(OR(F367=1),1,0)</f>
        <v/>
      </c>
      <c r="AA367" s="3">
        <f>IF(OR(M367=1),1,0)</f>
        <v/>
      </c>
    </row>
    <row r="368">
      <c r="A368" s="22" t="inlineStr">
        <is>
          <t>2133149aaf168033aedab885a9657cb7ff5bbda8</t>
        </is>
      </c>
      <c r="B368" s="22" t="inlineStr">
        <is>
          <t>2026-10</t>
        </is>
      </c>
      <c r="C368" s="22" t="inlineStr">
        <is>
          <t>X</t>
        </is>
      </c>
      <c r="D368" s="22" t="n">
        <v>1</v>
      </c>
      <c r="E368" s="22" t="inlineStr">
        <is>
          <t>X: X search: IReV</t>
        </is>
      </c>
      <c r="F368" s="22" t="inlineStr">
        <is>
          <t>x:X search: IReV</t>
        </is>
      </c>
      <c r="G368" s="22" t="n">
        <v>0.475</v>
      </c>
      <c r="H368" s="22" t="n">
        <v>1</v>
      </c>
      <c r="I368" s="22" t="n">
        <v>1</v>
      </c>
      <c r="J368" s="22" t="n">
        <v>0</v>
      </c>
      <c r="K368" s="22" t="n">
        <v>0</v>
      </c>
      <c r="L368" s="22" t="n">
        <v>0</v>
      </c>
      <c r="M368" s="22" t="n">
        <v>0</v>
      </c>
      <c r="N368" s="22" t="n">
        <v>0</v>
      </c>
      <c r="O368" s="22" t="n">
        <v>0</v>
      </c>
      <c r="P368" s="22" t="n">
        <v>0</v>
      </c>
      <c r="Q368" s="22" t="n">
        <v>0</v>
      </c>
      <c r="R368" s="22" t="n">
        <v>0</v>
      </c>
      <c r="S368" s="22" t="n">
        <v>0</v>
      </c>
      <c r="T368" s="22" t="n">
        <v>0</v>
      </c>
      <c r="U368" s="3">
        <f>IF(OR(N368=1,Q368=1),1,0)</f>
        <v/>
      </c>
      <c r="V368" s="3">
        <f>IF(OR(T368=1,P368=1),1,0)</f>
        <v/>
      </c>
      <c r="W368" s="3">
        <f>IF(OR(J368=1),1,0)</f>
        <v/>
      </c>
      <c r="X368" s="3">
        <f>IF(OR(I368=1,H368=1),1,0)</f>
        <v/>
      </c>
      <c r="Y368" s="3">
        <f>IF(OR(G368=1),1,0)</f>
        <v/>
      </c>
      <c r="Z368" s="3">
        <f>IF(OR(F368=1),1,0)</f>
        <v/>
      </c>
      <c r="AA368" s="3">
        <f>IF(OR(M368=1),1,0)</f>
        <v/>
      </c>
    </row>
    <row r="369">
      <c r="A369" s="22" t="inlineStr">
        <is>
          <t>a7044a230a68b9378c4c5e8a6386334bb0d6ec4d</t>
        </is>
      </c>
      <c r="B369" s="22" t="inlineStr">
        <is>
          <t>2026-10</t>
        </is>
      </c>
      <c r="C369" s="22" t="inlineStr">
        <is>
          <t>X</t>
        </is>
      </c>
      <c r="D369" s="22" t="n">
        <v>1</v>
      </c>
      <c r="E369" s="22" t="inlineStr">
        <is>
          <t>X: X search: IReV</t>
        </is>
      </c>
      <c r="F369" s="22" t="inlineStr">
        <is>
          <t>x:X search: IReV</t>
        </is>
      </c>
      <c r="G369" s="22" t="n">
        <v>0</v>
      </c>
      <c r="H369" s="22" t="n">
        <v>0</v>
      </c>
      <c r="I369" s="22" t="n">
        <v>1</v>
      </c>
      <c r="J369" s="22" t="n">
        <v>0</v>
      </c>
      <c r="K369" s="22" t="n">
        <v>0</v>
      </c>
      <c r="L369" s="22" t="n">
        <v>0</v>
      </c>
      <c r="M369" s="22" t="n">
        <v>0</v>
      </c>
      <c r="N369" s="22" t="n">
        <v>0</v>
      </c>
      <c r="O369" s="22" t="n">
        <v>0</v>
      </c>
      <c r="P369" s="22" t="n">
        <v>1</v>
      </c>
      <c r="Q369" s="22" t="n">
        <v>0</v>
      </c>
      <c r="R369" s="22" t="n">
        <v>0</v>
      </c>
      <c r="S369" s="22" t="n">
        <v>0</v>
      </c>
      <c r="T369" s="22" t="n">
        <v>0</v>
      </c>
      <c r="U369" s="3">
        <f>IF(OR(N369=1,Q369=1),1,0)</f>
        <v/>
      </c>
      <c r="V369" s="3">
        <f>IF(OR(T369=1,P369=1),1,0)</f>
        <v/>
      </c>
      <c r="W369" s="3">
        <f>IF(OR(J369=1),1,0)</f>
        <v/>
      </c>
      <c r="X369" s="3">
        <f>IF(OR(I369=1,H369=1),1,0)</f>
        <v/>
      </c>
      <c r="Y369" s="3">
        <f>IF(OR(G369=1),1,0)</f>
        <v/>
      </c>
      <c r="Z369" s="3">
        <f>IF(OR(F369=1),1,0)</f>
        <v/>
      </c>
      <c r="AA369" s="3">
        <f>IF(OR(M369=1),1,0)</f>
        <v/>
      </c>
    </row>
    <row r="370">
      <c r="A370" s="22" t="inlineStr">
        <is>
          <t>70068d1077993311e38481ccede8a05b045f3eeb</t>
        </is>
      </c>
      <c r="B370" s="22" t="inlineStr">
        <is>
          <t>2026-10</t>
        </is>
      </c>
      <c r="C370" s="22" t="inlineStr">
        <is>
          <t>X</t>
        </is>
      </c>
      <c r="D370" s="22" t="n">
        <v>1</v>
      </c>
      <c r="E370" s="22" t="inlineStr">
        <is>
          <t>X: X search: IReV</t>
        </is>
      </c>
      <c r="F370" s="22" t="inlineStr">
        <is>
          <t>x:X search: IReV</t>
        </is>
      </c>
      <c r="G370" s="22" t="n">
        <v>-0.542</v>
      </c>
      <c r="H370" s="22" t="n">
        <v>0</v>
      </c>
      <c r="I370" s="22" t="n">
        <v>1</v>
      </c>
      <c r="J370" s="22" t="n">
        <v>0</v>
      </c>
      <c r="K370" s="22" t="n">
        <v>0</v>
      </c>
      <c r="L370" s="22" t="n">
        <v>0</v>
      </c>
      <c r="M370" s="22" t="n">
        <v>0</v>
      </c>
      <c r="N370" s="22" t="n">
        <v>0</v>
      </c>
      <c r="O370" s="22" t="n">
        <v>0</v>
      </c>
      <c r="P370" s="22" t="n">
        <v>0</v>
      </c>
      <c r="Q370" s="22" t="n">
        <v>0</v>
      </c>
      <c r="R370" s="22" t="n">
        <v>0</v>
      </c>
      <c r="S370" s="22" t="n">
        <v>0</v>
      </c>
      <c r="T370" s="22" t="n">
        <v>0</v>
      </c>
      <c r="U370" s="3">
        <f>IF(OR(N370=1,Q370=1),1,0)</f>
        <v/>
      </c>
      <c r="V370" s="3">
        <f>IF(OR(T370=1,P370=1),1,0)</f>
        <v/>
      </c>
      <c r="W370" s="3">
        <f>IF(OR(J370=1),1,0)</f>
        <v/>
      </c>
      <c r="X370" s="3">
        <f>IF(OR(I370=1,H370=1),1,0)</f>
        <v/>
      </c>
      <c r="Y370" s="3">
        <f>IF(OR(G370=1),1,0)</f>
        <v/>
      </c>
      <c r="Z370" s="3">
        <f>IF(OR(F370=1),1,0)</f>
        <v/>
      </c>
      <c r="AA370" s="3">
        <f>IF(OR(M370=1),1,0)</f>
        <v/>
      </c>
    </row>
    <row r="371">
      <c r="A371" s="22" t="inlineStr">
        <is>
          <t>a83379e75850a91c9b9a583f99c63588103f8e12</t>
        </is>
      </c>
      <c r="B371" s="22" t="inlineStr">
        <is>
          <t>2026-10</t>
        </is>
      </c>
      <c r="C371" s="22" t="inlineStr">
        <is>
          <t>X</t>
        </is>
      </c>
      <c r="D371" s="22" t="n">
        <v>1</v>
      </c>
      <c r="E371" s="22" t="inlineStr">
        <is>
          <t>X: X search: IReV</t>
        </is>
      </c>
      <c r="F371" s="22" t="inlineStr">
        <is>
          <t>x:X search: IReV</t>
        </is>
      </c>
      <c r="G371" s="22" t="n">
        <v>0.612</v>
      </c>
      <c r="H371" s="22" t="n">
        <v>0</v>
      </c>
      <c r="I371" s="22" t="n">
        <v>1</v>
      </c>
      <c r="J371" s="22" t="n">
        <v>0</v>
      </c>
      <c r="K371" s="22" t="n">
        <v>0</v>
      </c>
      <c r="L371" s="22" t="n">
        <v>0</v>
      </c>
      <c r="M371" s="22" t="n">
        <v>0</v>
      </c>
      <c r="N371" s="22" t="n">
        <v>0</v>
      </c>
      <c r="O371" s="22" t="n">
        <v>0</v>
      </c>
      <c r="P371" s="22" t="n">
        <v>0</v>
      </c>
      <c r="Q371" s="22" t="n">
        <v>0</v>
      </c>
      <c r="R371" s="22" t="n">
        <v>0</v>
      </c>
      <c r="S371" s="22" t="n">
        <v>0</v>
      </c>
      <c r="T371" s="22" t="n">
        <v>0</v>
      </c>
      <c r="U371" s="3">
        <f>IF(OR(N371=1,Q371=1),1,0)</f>
        <v/>
      </c>
      <c r="V371" s="3">
        <f>IF(OR(T371=1,P371=1),1,0)</f>
        <v/>
      </c>
      <c r="W371" s="3">
        <f>IF(OR(J371=1),1,0)</f>
        <v/>
      </c>
      <c r="X371" s="3">
        <f>IF(OR(I371=1,H371=1),1,0)</f>
        <v/>
      </c>
      <c r="Y371" s="3">
        <f>IF(OR(G371=1),1,0)</f>
        <v/>
      </c>
      <c r="Z371" s="3">
        <f>IF(OR(F371=1),1,0)</f>
        <v/>
      </c>
      <c r="AA371" s="3">
        <f>IF(OR(M371=1),1,0)</f>
        <v/>
      </c>
    </row>
    <row r="372">
      <c r="A372" s="22" t="inlineStr">
        <is>
          <t>8ec2028e2db421f4e076f8b5dee54706df51e427</t>
        </is>
      </c>
      <c r="B372" s="22" t="inlineStr">
        <is>
          <t>2026-10</t>
        </is>
      </c>
      <c r="C372" s="22" t="inlineStr">
        <is>
          <t>X</t>
        </is>
      </c>
      <c r="D372" s="22" t="n">
        <v>1</v>
      </c>
      <c r="E372" s="22" t="inlineStr">
        <is>
          <t>X: X search: IReV</t>
        </is>
      </c>
      <c r="F372" s="22" t="inlineStr">
        <is>
          <t>x:X search: IReV</t>
        </is>
      </c>
      <c r="G372" s="22" t="n">
        <v>0</v>
      </c>
      <c r="H372" s="22" t="n">
        <v>0</v>
      </c>
      <c r="I372" s="22" t="n">
        <v>1</v>
      </c>
      <c r="J372" s="22" t="n">
        <v>0</v>
      </c>
      <c r="K372" s="22" t="n">
        <v>0</v>
      </c>
      <c r="L372" s="22" t="n">
        <v>0</v>
      </c>
      <c r="M372" s="22" t="n">
        <v>0</v>
      </c>
      <c r="N372" s="22" t="n">
        <v>0</v>
      </c>
      <c r="O372" s="22" t="n">
        <v>0</v>
      </c>
      <c r="P372" s="22" t="n">
        <v>0</v>
      </c>
      <c r="Q372" s="22" t="n">
        <v>0</v>
      </c>
      <c r="R372" s="22" t="n">
        <v>0</v>
      </c>
      <c r="S372" s="22" t="n">
        <v>0</v>
      </c>
      <c r="T372" s="22" t="n">
        <v>0</v>
      </c>
      <c r="U372" s="3">
        <f>IF(OR(N372=1,Q372=1),1,0)</f>
        <v/>
      </c>
      <c r="V372" s="3">
        <f>IF(OR(T372=1,P372=1),1,0)</f>
        <v/>
      </c>
      <c r="W372" s="3">
        <f>IF(OR(J372=1),1,0)</f>
        <v/>
      </c>
      <c r="X372" s="3">
        <f>IF(OR(I372=1,H372=1),1,0)</f>
        <v/>
      </c>
      <c r="Y372" s="3">
        <f>IF(OR(G372=1),1,0)</f>
        <v/>
      </c>
      <c r="Z372" s="3">
        <f>IF(OR(F372=1),1,0)</f>
        <v/>
      </c>
      <c r="AA372" s="3">
        <f>IF(OR(M372=1),1,0)</f>
        <v/>
      </c>
    </row>
    <row r="373">
      <c r="A373" s="22" t="inlineStr">
        <is>
          <t>cf8a4164cf1b1970f16fded30644dc8588c0ed57</t>
        </is>
      </c>
      <c r="B373" s="22" t="inlineStr">
        <is>
          <t>2026-10</t>
        </is>
      </c>
      <c r="C373" s="22" t="inlineStr">
        <is>
          <t>X</t>
        </is>
      </c>
      <c r="D373" s="22" t="n">
        <v>1</v>
      </c>
      <c r="E373" s="22" t="inlineStr">
        <is>
          <t>X: X search: IReV</t>
        </is>
      </c>
      <c r="F373" s="22" t="inlineStr">
        <is>
          <t>x:X search: IReV</t>
        </is>
      </c>
      <c r="G373" s="22" t="n">
        <v>0.372</v>
      </c>
      <c r="H373" s="22" t="n">
        <v>0</v>
      </c>
      <c r="I373" s="22" t="n">
        <v>1</v>
      </c>
      <c r="J373" s="22" t="n">
        <v>0</v>
      </c>
      <c r="K373" s="22" t="n">
        <v>0</v>
      </c>
      <c r="L373" s="22" t="n">
        <v>0</v>
      </c>
      <c r="M373" s="22" t="n">
        <v>0</v>
      </c>
      <c r="N373" s="22" t="n">
        <v>0</v>
      </c>
      <c r="O373" s="22" t="n">
        <v>0</v>
      </c>
      <c r="P373" s="22" t="n">
        <v>0</v>
      </c>
      <c r="Q373" s="22" t="n">
        <v>0</v>
      </c>
      <c r="R373" s="22" t="n">
        <v>0</v>
      </c>
      <c r="S373" s="22" t="n">
        <v>0</v>
      </c>
      <c r="T373" s="22" t="n">
        <v>0</v>
      </c>
      <c r="U373" s="3">
        <f>IF(OR(N373=1,Q373=1),1,0)</f>
        <v/>
      </c>
      <c r="V373" s="3">
        <f>IF(OR(T373=1,P373=1),1,0)</f>
        <v/>
      </c>
      <c r="W373" s="3">
        <f>IF(OR(J373=1),1,0)</f>
        <v/>
      </c>
      <c r="X373" s="3">
        <f>IF(OR(I373=1,H373=1),1,0)</f>
        <v/>
      </c>
      <c r="Y373" s="3">
        <f>IF(OR(G373=1),1,0)</f>
        <v/>
      </c>
      <c r="Z373" s="3">
        <f>IF(OR(F373=1),1,0)</f>
        <v/>
      </c>
      <c r="AA373" s="3">
        <f>IF(OR(M373=1),1,0)</f>
        <v/>
      </c>
    </row>
    <row r="374">
      <c r="A374" s="22" t="inlineStr">
        <is>
          <t>47451071ea7007ea3d3e52470fec6184c05f3b6a</t>
        </is>
      </c>
      <c r="B374" s="22" t="inlineStr">
        <is>
          <t>2026-10</t>
        </is>
      </c>
      <c r="C374" s="22" t="inlineStr">
        <is>
          <t>X</t>
        </is>
      </c>
      <c r="D374" s="22" t="n">
        <v>1</v>
      </c>
      <c r="E374" s="22" t="inlineStr">
        <is>
          <t>X: X search: IReV</t>
        </is>
      </c>
      <c r="F374" s="22" t="inlineStr">
        <is>
          <t>x:X search: IReV</t>
        </is>
      </c>
      <c r="G374" s="22" t="n">
        <v>0.477</v>
      </c>
      <c r="H374" s="22" t="n">
        <v>0</v>
      </c>
      <c r="I374" s="22" t="n">
        <v>1</v>
      </c>
      <c r="J374" s="22" t="n">
        <v>0</v>
      </c>
      <c r="K374" s="22" t="n">
        <v>0</v>
      </c>
      <c r="L374" s="22" t="n">
        <v>0</v>
      </c>
      <c r="M374" s="22" t="n">
        <v>0</v>
      </c>
      <c r="N374" s="22" t="n">
        <v>0</v>
      </c>
      <c r="O374" s="22" t="n">
        <v>0</v>
      </c>
      <c r="P374" s="22" t="n">
        <v>0</v>
      </c>
      <c r="Q374" s="22" t="n">
        <v>1</v>
      </c>
      <c r="R374" s="22" t="n">
        <v>0</v>
      </c>
      <c r="S374" s="22" t="n">
        <v>0</v>
      </c>
      <c r="T374" s="22" t="n">
        <v>0</v>
      </c>
      <c r="U374" s="3">
        <f>IF(OR(N374=1,Q374=1),1,0)</f>
        <v/>
      </c>
      <c r="V374" s="3">
        <f>IF(OR(T374=1,P374=1),1,0)</f>
        <v/>
      </c>
      <c r="W374" s="3">
        <f>IF(OR(J374=1),1,0)</f>
        <v/>
      </c>
      <c r="X374" s="3">
        <f>IF(OR(I374=1,H374=1),1,0)</f>
        <v/>
      </c>
      <c r="Y374" s="3">
        <f>IF(OR(G374=1),1,0)</f>
        <v/>
      </c>
      <c r="Z374" s="3">
        <f>IF(OR(F374=1),1,0)</f>
        <v/>
      </c>
      <c r="AA374" s="3">
        <f>IF(OR(M374=1),1,0)</f>
        <v/>
      </c>
    </row>
    <row r="375">
      <c r="A375" s="22" t="inlineStr">
        <is>
          <t>b39bbd13d3781c22a17857e801a4b48ec80428a6</t>
        </is>
      </c>
      <c r="B375" s="22" t="inlineStr">
        <is>
          <t>2026-10</t>
        </is>
      </c>
      <c r="C375" s="22" t="inlineStr">
        <is>
          <t>X</t>
        </is>
      </c>
      <c r="D375" s="22" t="n">
        <v>1</v>
      </c>
      <c r="E375" s="22" t="inlineStr">
        <is>
          <t>X: X search: IReV</t>
        </is>
      </c>
      <c r="F375" s="22" t="inlineStr">
        <is>
          <t>x:X search: IReV</t>
        </is>
      </c>
      <c r="G375" s="22" t="n">
        <v>0</v>
      </c>
      <c r="H375" s="22" t="n">
        <v>0</v>
      </c>
      <c r="I375" s="22" t="n">
        <v>1</v>
      </c>
      <c r="J375" s="22" t="n">
        <v>0</v>
      </c>
      <c r="K375" s="22" t="n">
        <v>0</v>
      </c>
      <c r="L375" s="22" t="n">
        <v>0</v>
      </c>
      <c r="M375" s="22" t="n">
        <v>0</v>
      </c>
      <c r="N375" s="22" t="n">
        <v>0</v>
      </c>
      <c r="O375" s="22" t="n">
        <v>0</v>
      </c>
      <c r="P375" s="22" t="n">
        <v>0</v>
      </c>
      <c r="Q375" s="22" t="n">
        <v>0</v>
      </c>
      <c r="R375" s="22" t="n">
        <v>0</v>
      </c>
      <c r="S375" s="22" t="n">
        <v>0</v>
      </c>
      <c r="T375" s="22" t="n">
        <v>0</v>
      </c>
      <c r="U375" s="3">
        <f>IF(OR(N375=1,Q375=1),1,0)</f>
        <v/>
      </c>
      <c r="V375" s="3">
        <f>IF(OR(T375=1,P375=1),1,0)</f>
        <v/>
      </c>
      <c r="W375" s="3">
        <f>IF(OR(J375=1),1,0)</f>
        <v/>
      </c>
      <c r="X375" s="3">
        <f>IF(OR(I375=1,H375=1),1,0)</f>
        <v/>
      </c>
      <c r="Y375" s="3">
        <f>IF(OR(G375=1),1,0)</f>
        <v/>
      </c>
      <c r="Z375" s="3">
        <f>IF(OR(F375=1),1,0)</f>
        <v/>
      </c>
      <c r="AA375" s="3">
        <f>IF(OR(M375=1),1,0)</f>
        <v/>
      </c>
    </row>
    <row r="376">
      <c r="A376" s="22" t="inlineStr">
        <is>
          <t>99fcb2a3484cd000bd599d4a1a354e2f3704e687</t>
        </is>
      </c>
      <c r="B376" s="22" t="inlineStr">
        <is>
          <t>2026-10</t>
        </is>
      </c>
      <c r="C376" s="22" t="inlineStr">
        <is>
          <t>X</t>
        </is>
      </c>
      <c r="D376" s="22" t="n">
        <v>1</v>
      </c>
      <c r="E376" s="22" t="inlineStr">
        <is>
          <t>X: X search: IReV</t>
        </is>
      </c>
      <c r="F376" s="22" t="inlineStr">
        <is>
          <t>x:X search: IReV</t>
        </is>
      </c>
      <c r="G376" s="22" t="n">
        <v>0.779</v>
      </c>
      <c r="H376" s="22" t="n">
        <v>1</v>
      </c>
      <c r="I376" s="22" t="n">
        <v>1</v>
      </c>
      <c r="J376" s="22" t="n">
        <v>0</v>
      </c>
      <c r="K376" s="22" t="n">
        <v>0</v>
      </c>
      <c r="L376" s="22" t="n">
        <v>0</v>
      </c>
      <c r="M376" s="22" t="n">
        <v>0</v>
      </c>
      <c r="N376" s="22" t="n">
        <v>0</v>
      </c>
      <c r="O376" s="22" t="n">
        <v>0</v>
      </c>
      <c r="P376" s="22" t="n">
        <v>0</v>
      </c>
      <c r="Q376" s="22" t="n">
        <v>0</v>
      </c>
      <c r="R376" s="22" t="n">
        <v>0</v>
      </c>
      <c r="S376" s="22" t="n">
        <v>0</v>
      </c>
      <c r="T376" s="22" t="n">
        <v>0</v>
      </c>
      <c r="U376" s="3">
        <f>IF(OR(N376=1,Q376=1),1,0)</f>
        <v/>
      </c>
      <c r="V376" s="3">
        <f>IF(OR(T376=1,P376=1),1,0)</f>
        <v/>
      </c>
      <c r="W376" s="3">
        <f>IF(OR(J376=1),1,0)</f>
        <v/>
      </c>
      <c r="X376" s="3">
        <f>IF(OR(I376=1,H376=1),1,0)</f>
        <v/>
      </c>
      <c r="Y376" s="3">
        <f>IF(OR(G376=1),1,0)</f>
        <v/>
      </c>
      <c r="Z376" s="3">
        <f>IF(OR(F376=1),1,0)</f>
        <v/>
      </c>
      <c r="AA376" s="3">
        <f>IF(OR(M376=1),1,0)</f>
        <v/>
      </c>
    </row>
    <row r="377">
      <c r="A377" s="22" t="inlineStr">
        <is>
          <t>39e94670d68a9a1ac585b06f716ee62238a3b030</t>
        </is>
      </c>
      <c r="B377" s="22" t="inlineStr">
        <is>
          <t>2026-10</t>
        </is>
      </c>
      <c r="C377" s="22" t="inlineStr">
        <is>
          <t>X</t>
        </is>
      </c>
      <c r="D377" s="22" t="n">
        <v>1</v>
      </c>
      <c r="E377" s="22" t="inlineStr">
        <is>
          <t>X: X search: IReV</t>
        </is>
      </c>
      <c r="F377" s="22" t="inlineStr">
        <is>
          <t>x:X search: IReV</t>
        </is>
      </c>
      <c r="G377" s="22" t="n">
        <v>-0.34</v>
      </c>
      <c r="H377" s="22" t="n">
        <v>0</v>
      </c>
      <c r="I377" s="22" t="n">
        <v>1</v>
      </c>
      <c r="J377" s="22" t="n">
        <v>0</v>
      </c>
      <c r="K377" s="22" t="n">
        <v>0</v>
      </c>
      <c r="L377" s="22" t="n">
        <v>0</v>
      </c>
      <c r="M377" s="22" t="n">
        <v>0</v>
      </c>
      <c r="N377" s="22" t="n">
        <v>0</v>
      </c>
      <c r="O377" s="22" t="n">
        <v>0</v>
      </c>
      <c r="P377" s="22" t="n">
        <v>0</v>
      </c>
      <c r="Q377" s="22" t="n">
        <v>0</v>
      </c>
      <c r="R377" s="22" t="n">
        <v>0</v>
      </c>
      <c r="S377" s="22" t="n">
        <v>0</v>
      </c>
      <c r="T377" s="22" t="n">
        <v>0</v>
      </c>
      <c r="U377" s="3">
        <f>IF(OR(N377=1,Q377=1),1,0)</f>
        <v/>
      </c>
      <c r="V377" s="3">
        <f>IF(OR(T377=1,P377=1),1,0)</f>
        <v/>
      </c>
      <c r="W377" s="3">
        <f>IF(OR(J377=1),1,0)</f>
        <v/>
      </c>
      <c r="X377" s="3">
        <f>IF(OR(I377=1,H377=1),1,0)</f>
        <v/>
      </c>
      <c r="Y377" s="3">
        <f>IF(OR(G377=1),1,0)</f>
        <v/>
      </c>
      <c r="Z377" s="3">
        <f>IF(OR(F377=1),1,0)</f>
        <v/>
      </c>
      <c r="AA377" s="3">
        <f>IF(OR(M377=1),1,0)</f>
        <v/>
      </c>
    </row>
    <row r="378">
      <c r="A378" s="22" t="inlineStr">
        <is>
          <t>a89a91f9a4b0559d666bf56f8d22cb521cf8b090</t>
        </is>
      </c>
      <c r="B378" s="22" t="inlineStr">
        <is>
          <t>2026-10</t>
        </is>
      </c>
      <c r="C378" s="22" t="inlineStr">
        <is>
          <t>X</t>
        </is>
      </c>
      <c r="D378" s="22" t="n">
        <v>1</v>
      </c>
      <c r="E378" s="22" t="inlineStr">
        <is>
          <t>X: X search: IReV</t>
        </is>
      </c>
      <c r="F378" s="22" t="inlineStr">
        <is>
          <t>x:X search: IReV</t>
        </is>
      </c>
      <c r="G378" s="22" t="n">
        <v>0.796</v>
      </c>
      <c r="H378" s="22" t="n">
        <v>0</v>
      </c>
      <c r="I378" s="22" t="n">
        <v>1</v>
      </c>
      <c r="J378" s="22" t="n">
        <v>0</v>
      </c>
      <c r="K378" s="22" t="n">
        <v>0</v>
      </c>
      <c r="L378" s="22" t="n">
        <v>0</v>
      </c>
      <c r="M378" s="22" t="n">
        <v>0</v>
      </c>
      <c r="N378" s="22" t="n">
        <v>0</v>
      </c>
      <c r="O378" s="22" t="n">
        <v>0</v>
      </c>
      <c r="P378" s="22" t="n">
        <v>0</v>
      </c>
      <c r="Q378" s="22" t="n">
        <v>0</v>
      </c>
      <c r="R378" s="22" t="n">
        <v>0</v>
      </c>
      <c r="S378" s="22" t="n">
        <v>0</v>
      </c>
      <c r="T378" s="22" t="n">
        <v>0</v>
      </c>
      <c r="U378" s="3">
        <f>IF(OR(N378=1,Q378=1),1,0)</f>
        <v/>
      </c>
      <c r="V378" s="3">
        <f>IF(OR(T378=1,P378=1),1,0)</f>
        <v/>
      </c>
      <c r="W378" s="3">
        <f>IF(OR(J378=1),1,0)</f>
        <v/>
      </c>
      <c r="X378" s="3">
        <f>IF(OR(I378=1,H378=1),1,0)</f>
        <v/>
      </c>
      <c r="Y378" s="3">
        <f>IF(OR(G378=1),1,0)</f>
        <v/>
      </c>
      <c r="Z378" s="3">
        <f>IF(OR(F378=1),1,0)</f>
        <v/>
      </c>
      <c r="AA378" s="3">
        <f>IF(OR(M378=1),1,0)</f>
        <v/>
      </c>
    </row>
    <row r="379">
      <c r="A379" s="22" t="inlineStr">
        <is>
          <t>383531b20bef64fec6b8b130b7c3cfd3738594f3</t>
        </is>
      </c>
      <c r="B379" s="22" t="inlineStr">
        <is>
          <t>2026-10</t>
        </is>
      </c>
      <c r="C379" s="22" t="inlineStr">
        <is>
          <t>X</t>
        </is>
      </c>
      <c r="D379" s="22" t="n">
        <v>1</v>
      </c>
      <c r="E379" s="22" t="inlineStr">
        <is>
          <t>X: X search: IReV</t>
        </is>
      </c>
      <c r="F379" s="22" t="inlineStr">
        <is>
          <t>x:X search: IReV</t>
        </is>
      </c>
      <c r="G379" s="22" t="n">
        <v>-0.22</v>
      </c>
      <c r="H379" s="22" t="n">
        <v>0</v>
      </c>
      <c r="I379" s="22" t="n">
        <v>1</v>
      </c>
      <c r="J379" s="22" t="n">
        <v>0</v>
      </c>
      <c r="K379" s="22" t="n">
        <v>0</v>
      </c>
      <c r="L379" s="22" t="n">
        <v>0</v>
      </c>
      <c r="M379" s="22" t="n">
        <v>0</v>
      </c>
      <c r="N379" s="22" t="n">
        <v>0</v>
      </c>
      <c r="O379" s="22" t="n">
        <v>0</v>
      </c>
      <c r="P379" s="22" t="n">
        <v>0</v>
      </c>
      <c r="Q379" s="22" t="n">
        <v>0</v>
      </c>
      <c r="R379" s="22" t="n">
        <v>0</v>
      </c>
      <c r="S379" s="22" t="n">
        <v>0</v>
      </c>
      <c r="T379" s="22" t="n">
        <v>0</v>
      </c>
      <c r="U379" s="3">
        <f>IF(OR(N379=1,Q379=1),1,0)</f>
        <v/>
      </c>
      <c r="V379" s="3">
        <f>IF(OR(T379=1,P379=1),1,0)</f>
        <v/>
      </c>
      <c r="W379" s="3">
        <f>IF(OR(J379=1),1,0)</f>
        <v/>
      </c>
      <c r="X379" s="3">
        <f>IF(OR(I379=1,H379=1),1,0)</f>
        <v/>
      </c>
      <c r="Y379" s="3">
        <f>IF(OR(G379=1),1,0)</f>
        <v/>
      </c>
      <c r="Z379" s="3">
        <f>IF(OR(F379=1),1,0)</f>
        <v/>
      </c>
      <c r="AA379" s="3">
        <f>IF(OR(M379=1),1,0)</f>
        <v/>
      </c>
    </row>
    <row r="380">
      <c r="A380" s="22" t="inlineStr">
        <is>
          <t>fb96f59a502e45c9ebec078faa41a55f1bfab2f9</t>
        </is>
      </c>
      <c r="B380" s="22" t="inlineStr">
        <is>
          <t>2026-10</t>
        </is>
      </c>
      <c r="C380" s="22" t="inlineStr">
        <is>
          <t>X</t>
        </is>
      </c>
      <c r="D380" s="22" t="n">
        <v>1</v>
      </c>
      <c r="E380" s="22" t="inlineStr">
        <is>
          <t>X: X search: IReV</t>
        </is>
      </c>
      <c r="F380" s="22" t="inlineStr">
        <is>
          <t>x:X search: IReV</t>
        </is>
      </c>
      <c r="G380" s="22" t="n">
        <v>0.778</v>
      </c>
      <c r="H380" s="22" t="n">
        <v>0</v>
      </c>
      <c r="I380" s="22" t="n">
        <v>1</v>
      </c>
      <c r="J380" s="22" t="n">
        <v>0</v>
      </c>
      <c r="K380" s="22" t="n">
        <v>0</v>
      </c>
      <c r="L380" s="22" t="n">
        <v>0</v>
      </c>
      <c r="M380" s="22" t="n">
        <v>0</v>
      </c>
      <c r="N380" s="22" t="n">
        <v>0</v>
      </c>
      <c r="O380" s="22" t="n">
        <v>0</v>
      </c>
      <c r="P380" s="22" t="n">
        <v>0</v>
      </c>
      <c r="Q380" s="22" t="n">
        <v>0</v>
      </c>
      <c r="R380" s="22" t="n">
        <v>0</v>
      </c>
      <c r="S380" s="22" t="n">
        <v>0</v>
      </c>
      <c r="T380" s="22" t="n">
        <v>0</v>
      </c>
      <c r="U380" s="3">
        <f>IF(OR(N380=1,Q380=1),1,0)</f>
        <v/>
      </c>
      <c r="V380" s="3">
        <f>IF(OR(T380=1,P380=1),1,0)</f>
        <v/>
      </c>
      <c r="W380" s="3">
        <f>IF(OR(J380=1),1,0)</f>
        <v/>
      </c>
      <c r="X380" s="3">
        <f>IF(OR(I380=1,H380=1),1,0)</f>
        <v/>
      </c>
      <c r="Y380" s="3">
        <f>IF(OR(G380=1),1,0)</f>
        <v/>
      </c>
      <c r="Z380" s="3">
        <f>IF(OR(F380=1),1,0)</f>
        <v/>
      </c>
      <c r="AA380" s="3">
        <f>IF(OR(M380=1),1,0)</f>
        <v/>
      </c>
    </row>
    <row r="381">
      <c r="A381" s="22" t="inlineStr">
        <is>
          <t>b095f890fb964604e00468f2983e5b6b04c64032</t>
        </is>
      </c>
      <c r="B381" s="22" t="inlineStr">
        <is>
          <t>2026-10</t>
        </is>
      </c>
      <c r="C381" s="22" t="inlineStr">
        <is>
          <t>X</t>
        </is>
      </c>
      <c r="D381" s="22" t="n">
        <v>1</v>
      </c>
      <c r="E381" s="22" t="inlineStr">
        <is>
          <t>X: X search: IReV</t>
        </is>
      </c>
      <c r="F381" s="22" t="inlineStr">
        <is>
          <t>x:X search: IReV</t>
        </is>
      </c>
      <c r="G381" s="22" t="n">
        <v>0</v>
      </c>
      <c r="H381" s="22" t="n">
        <v>0</v>
      </c>
      <c r="I381" s="22" t="n">
        <v>1</v>
      </c>
      <c r="J381" s="22" t="n">
        <v>0</v>
      </c>
      <c r="K381" s="22" t="n">
        <v>0</v>
      </c>
      <c r="L381" s="22" t="n">
        <v>0</v>
      </c>
      <c r="M381" s="22" t="n">
        <v>0</v>
      </c>
      <c r="N381" s="22" t="n">
        <v>0</v>
      </c>
      <c r="O381" s="22" t="n">
        <v>0</v>
      </c>
      <c r="P381" s="22" t="n">
        <v>0</v>
      </c>
      <c r="Q381" s="22" t="n">
        <v>0</v>
      </c>
      <c r="R381" s="22" t="n">
        <v>0</v>
      </c>
      <c r="S381" s="22" t="n">
        <v>0</v>
      </c>
      <c r="T381" s="22" t="n">
        <v>0</v>
      </c>
      <c r="U381" s="3">
        <f>IF(OR(N381=1,Q381=1),1,0)</f>
        <v/>
      </c>
      <c r="V381" s="3">
        <f>IF(OR(T381=1,P381=1),1,0)</f>
        <v/>
      </c>
      <c r="W381" s="3">
        <f>IF(OR(J381=1),1,0)</f>
        <v/>
      </c>
      <c r="X381" s="3">
        <f>IF(OR(I381=1,H381=1),1,0)</f>
        <v/>
      </c>
      <c r="Y381" s="3">
        <f>IF(OR(G381=1),1,0)</f>
        <v/>
      </c>
      <c r="Z381" s="3">
        <f>IF(OR(F381=1),1,0)</f>
        <v/>
      </c>
      <c r="AA381" s="3">
        <f>IF(OR(M381=1),1,0)</f>
        <v/>
      </c>
    </row>
    <row r="382">
      <c r="A382" s="22" t="inlineStr">
        <is>
          <t>49a5c4a88888a6e3fd9ef5adbea37fdb2c7dfd84</t>
        </is>
      </c>
      <c r="B382" s="22" t="inlineStr">
        <is>
          <t>2026-10</t>
        </is>
      </c>
      <c r="C382" s="22" t="inlineStr">
        <is>
          <t>X</t>
        </is>
      </c>
      <c r="D382" s="22" t="n">
        <v>1</v>
      </c>
      <c r="E382" s="22" t="inlineStr">
        <is>
          <t>X: X search: IReV</t>
        </is>
      </c>
      <c r="F382" s="22" t="inlineStr">
        <is>
          <t>x:X search: IReV</t>
        </is>
      </c>
      <c r="G382" s="22" t="n">
        <v>-0.511</v>
      </c>
      <c r="H382" s="22" t="n">
        <v>1</v>
      </c>
      <c r="I382" s="22" t="n">
        <v>1</v>
      </c>
      <c r="J382" s="22" t="n">
        <v>0</v>
      </c>
      <c r="K382" s="22" t="n">
        <v>0</v>
      </c>
      <c r="L382" s="22" t="n">
        <v>0</v>
      </c>
      <c r="M382" s="22" t="n">
        <v>0</v>
      </c>
      <c r="N382" s="22" t="n">
        <v>0</v>
      </c>
      <c r="O382" s="22" t="n">
        <v>0</v>
      </c>
      <c r="P382" s="22" t="n">
        <v>0</v>
      </c>
      <c r="Q382" s="22" t="n">
        <v>0</v>
      </c>
      <c r="R382" s="22" t="n">
        <v>0</v>
      </c>
      <c r="S382" s="22" t="n">
        <v>0</v>
      </c>
      <c r="T382" s="22" t="n">
        <v>0</v>
      </c>
      <c r="U382" s="3">
        <f>IF(OR(N382=1,Q382=1),1,0)</f>
        <v/>
      </c>
      <c r="V382" s="3">
        <f>IF(OR(T382=1,P382=1),1,0)</f>
        <v/>
      </c>
      <c r="W382" s="3">
        <f>IF(OR(J382=1),1,0)</f>
        <v/>
      </c>
      <c r="X382" s="3">
        <f>IF(OR(I382=1,H382=1),1,0)</f>
        <v/>
      </c>
      <c r="Y382" s="3">
        <f>IF(OR(G382=1),1,0)</f>
        <v/>
      </c>
      <c r="Z382" s="3">
        <f>IF(OR(F382=1),1,0)</f>
        <v/>
      </c>
      <c r="AA382" s="3">
        <f>IF(OR(M382=1),1,0)</f>
        <v/>
      </c>
    </row>
    <row r="383">
      <c r="A383" s="22" t="inlineStr">
        <is>
          <t>c29a6e2817635c17327e6bf3f547174a42ef6970</t>
        </is>
      </c>
      <c r="B383" s="22" t="inlineStr">
        <is>
          <t>2026-10</t>
        </is>
      </c>
      <c r="C383" s="22" t="inlineStr">
        <is>
          <t>X</t>
        </is>
      </c>
      <c r="D383" s="22" t="n">
        <v>1</v>
      </c>
      <c r="E383" s="22" t="inlineStr">
        <is>
          <t>X: X search: IReV</t>
        </is>
      </c>
      <c r="F383" s="22" t="inlineStr">
        <is>
          <t>x:X search: IReV</t>
        </is>
      </c>
      <c r="G383" s="22" t="n">
        <v>0</v>
      </c>
      <c r="H383" s="22" t="n">
        <v>0</v>
      </c>
      <c r="I383" s="22" t="n">
        <v>1</v>
      </c>
      <c r="J383" s="22" t="n">
        <v>0</v>
      </c>
      <c r="K383" s="22" t="n">
        <v>0</v>
      </c>
      <c r="L383" s="22" t="n">
        <v>0</v>
      </c>
      <c r="M383" s="22" t="n">
        <v>0</v>
      </c>
      <c r="N383" s="22" t="n">
        <v>0</v>
      </c>
      <c r="O383" s="22" t="n">
        <v>0</v>
      </c>
      <c r="P383" s="22" t="n">
        <v>0</v>
      </c>
      <c r="Q383" s="22" t="n">
        <v>0</v>
      </c>
      <c r="R383" s="22" t="n">
        <v>0</v>
      </c>
      <c r="S383" s="22" t="n">
        <v>0</v>
      </c>
      <c r="T383" s="22" t="n">
        <v>0</v>
      </c>
      <c r="U383" s="3">
        <f>IF(OR(N383=1,Q383=1),1,0)</f>
        <v/>
      </c>
      <c r="V383" s="3">
        <f>IF(OR(T383=1,P383=1),1,0)</f>
        <v/>
      </c>
      <c r="W383" s="3">
        <f>IF(OR(J383=1),1,0)</f>
        <v/>
      </c>
      <c r="X383" s="3">
        <f>IF(OR(I383=1,H383=1),1,0)</f>
        <v/>
      </c>
      <c r="Y383" s="3">
        <f>IF(OR(G383=1),1,0)</f>
        <v/>
      </c>
      <c r="Z383" s="3">
        <f>IF(OR(F383=1),1,0)</f>
        <v/>
      </c>
      <c r="AA383" s="3">
        <f>IF(OR(M383=1),1,0)</f>
        <v/>
      </c>
    </row>
    <row r="384">
      <c r="A384" s="22" t="inlineStr">
        <is>
          <t>4de7455a8fe367d2b66aaf2e1dd6b86dbee2f237</t>
        </is>
      </c>
      <c r="B384" s="22" t="inlineStr">
        <is>
          <t>2026-10</t>
        </is>
      </c>
      <c r="C384" s="22" t="inlineStr">
        <is>
          <t>X</t>
        </is>
      </c>
      <c r="D384" s="22" t="n">
        <v>1</v>
      </c>
      <c r="E384" s="22" t="inlineStr">
        <is>
          <t>X: X search: IReV</t>
        </is>
      </c>
      <c r="F384" s="22" t="inlineStr">
        <is>
          <t>x:X search: IReV</t>
        </is>
      </c>
      <c r="G384" s="22" t="n">
        <v>-0.418</v>
      </c>
      <c r="H384" s="22" t="n">
        <v>0</v>
      </c>
      <c r="I384" s="22" t="n">
        <v>1</v>
      </c>
      <c r="J384" s="22" t="n">
        <v>0</v>
      </c>
      <c r="K384" s="22" t="n">
        <v>0</v>
      </c>
      <c r="L384" s="22" t="n">
        <v>0</v>
      </c>
      <c r="M384" s="22" t="n">
        <v>1</v>
      </c>
      <c r="N384" s="22" t="n">
        <v>0</v>
      </c>
      <c r="O384" s="22" t="n">
        <v>0</v>
      </c>
      <c r="P384" s="22" t="n">
        <v>0</v>
      </c>
      <c r="Q384" s="22" t="n">
        <v>0</v>
      </c>
      <c r="R384" s="22" t="n">
        <v>0</v>
      </c>
      <c r="S384" s="22" t="n">
        <v>0</v>
      </c>
      <c r="T384" s="22" t="n">
        <v>0</v>
      </c>
      <c r="U384" s="3">
        <f>IF(OR(N384=1,Q384=1),1,0)</f>
        <v/>
      </c>
      <c r="V384" s="3">
        <f>IF(OR(T384=1,P384=1),1,0)</f>
        <v/>
      </c>
      <c r="W384" s="3">
        <f>IF(OR(J384=1),1,0)</f>
        <v/>
      </c>
      <c r="X384" s="3">
        <f>IF(OR(I384=1,H384=1),1,0)</f>
        <v/>
      </c>
      <c r="Y384" s="3">
        <f>IF(OR(G384=1),1,0)</f>
        <v/>
      </c>
      <c r="Z384" s="3">
        <f>IF(OR(F384=1),1,0)</f>
        <v/>
      </c>
      <c r="AA384" s="3">
        <f>IF(OR(M384=1),1,0)</f>
        <v/>
      </c>
    </row>
    <row r="385">
      <c r="A385" s="22" t="inlineStr">
        <is>
          <t>ac6dfc318153c4ece135430a69dd137f1b9d0b72</t>
        </is>
      </c>
      <c r="B385" s="22" t="inlineStr">
        <is>
          <t>2026-10</t>
        </is>
      </c>
      <c r="C385" s="22" t="inlineStr">
        <is>
          <t>X</t>
        </is>
      </c>
      <c r="D385" s="22" t="n">
        <v>1</v>
      </c>
      <c r="E385" s="22" t="inlineStr">
        <is>
          <t>X: X search: IReV</t>
        </is>
      </c>
      <c r="F385" s="22" t="inlineStr">
        <is>
          <t>x:X search: IReV</t>
        </is>
      </c>
      <c r="G385" s="22" t="n">
        <v>0.06900000000000001</v>
      </c>
      <c r="H385" s="22" t="n">
        <v>1</v>
      </c>
      <c r="I385" s="22" t="n">
        <v>1</v>
      </c>
      <c r="J385" s="22" t="n">
        <v>0</v>
      </c>
      <c r="K385" s="22" t="n">
        <v>0</v>
      </c>
      <c r="L385" s="22" t="n">
        <v>0</v>
      </c>
      <c r="M385" s="22" t="n">
        <v>0</v>
      </c>
      <c r="N385" s="22" t="n">
        <v>0</v>
      </c>
      <c r="O385" s="22" t="n">
        <v>0</v>
      </c>
      <c r="P385" s="22" t="n">
        <v>0</v>
      </c>
      <c r="Q385" s="22" t="n">
        <v>0</v>
      </c>
      <c r="R385" s="22" t="n">
        <v>0</v>
      </c>
      <c r="S385" s="22" t="n">
        <v>0</v>
      </c>
      <c r="T385" s="22" t="n">
        <v>0</v>
      </c>
      <c r="U385" s="3">
        <f>IF(OR(N385=1,Q385=1),1,0)</f>
        <v/>
      </c>
      <c r="V385" s="3">
        <f>IF(OR(T385=1,P385=1),1,0)</f>
        <v/>
      </c>
      <c r="W385" s="3">
        <f>IF(OR(J385=1),1,0)</f>
        <v/>
      </c>
      <c r="X385" s="3">
        <f>IF(OR(I385=1,H385=1),1,0)</f>
        <v/>
      </c>
      <c r="Y385" s="3">
        <f>IF(OR(G385=1),1,0)</f>
        <v/>
      </c>
      <c r="Z385" s="3">
        <f>IF(OR(F385=1),1,0)</f>
        <v/>
      </c>
      <c r="AA385" s="3">
        <f>IF(OR(M385=1),1,0)</f>
        <v/>
      </c>
    </row>
    <row r="386">
      <c r="A386" s="22" t="inlineStr">
        <is>
          <t>7012c1a4110b8640039f0f47c7bcaa3b4a2c4694</t>
        </is>
      </c>
      <c r="B386" s="22" t="inlineStr">
        <is>
          <t>2026-10</t>
        </is>
      </c>
      <c r="C386" s="22" t="inlineStr">
        <is>
          <t>X</t>
        </is>
      </c>
      <c r="D386" s="22" t="n">
        <v>1</v>
      </c>
      <c r="E386" s="22" t="inlineStr">
        <is>
          <t>X: X search: IReV</t>
        </is>
      </c>
      <c r="F386" s="22" t="inlineStr">
        <is>
          <t>x:X search: IReV</t>
        </is>
      </c>
      <c r="G386" s="22" t="n">
        <v>0.9350000000000001</v>
      </c>
      <c r="H386" s="22" t="n">
        <v>1</v>
      </c>
      <c r="I386" s="22" t="n">
        <v>1</v>
      </c>
      <c r="J386" s="22" t="n">
        <v>0</v>
      </c>
      <c r="K386" s="22" t="n">
        <v>0</v>
      </c>
      <c r="L386" s="22" t="n">
        <v>0</v>
      </c>
      <c r="M386" s="22" t="n">
        <v>0</v>
      </c>
      <c r="N386" s="22" t="n">
        <v>0</v>
      </c>
      <c r="O386" s="22" t="n">
        <v>0</v>
      </c>
      <c r="P386" s="22" t="n">
        <v>0</v>
      </c>
      <c r="Q386" s="22" t="n">
        <v>0</v>
      </c>
      <c r="R386" s="22" t="n">
        <v>0</v>
      </c>
      <c r="S386" s="22" t="n">
        <v>0</v>
      </c>
      <c r="T386" s="22" t="n">
        <v>0</v>
      </c>
      <c r="U386" s="3">
        <f>IF(OR(N386=1,Q386=1),1,0)</f>
        <v/>
      </c>
      <c r="V386" s="3">
        <f>IF(OR(T386=1,P386=1),1,0)</f>
        <v/>
      </c>
      <c r="W386" s="3">
        <f>IF(OR(J386=1),1,0)</f>
        <v/>
      </c>
      <c r="X386" s="3">
        <f>IF(OR(I386=1,H386=1),1,0)</f>
        <v/>
      </c>
      <c r="Y386" s="3">
        <f>IF(OR(G386=1),1,0)</f>
        <v/>
      </c>
      <c r="Z386" s="3">
        <f>IF(OR(F386=1),1,0)</f>
        <v/>
      </c>
      <c r="AA386" s="3">
        <f>IF(OR(M386=1),1,0)</f>
        <v/>
      </c>
    </row>
    <row r="387">
      <c r="A387" s="22" t="inlineStr">
        <is>
          <t>6fd1ccff38c6d908628ec96de31e5cf6be433ac9</t>
        </is>
      </c>
      <c r="B387" s="22" t="inlineStr">
        <is>
          <t>2026-10</t>
        </is>
      </c>
      <c r="C387" s="22" t="inlineStr">
        <is>
          <t>X</t>
        </is>
      </c>
      <c r="D387" s="22" t="n">
        <v>1</v>
      </c>
      <c r="E387" s="22" t="inlineStr">
        <is>
          <t>X: X search: IReV</t>
        </is>
      </c>
      <c r="F387" s="22" t="inlineStr">
        <is>
          <t>x:X search: IReV</t>
        </is>
      </c>
      <c r="G387" s="22" t="n">
        <v>-0.625</v>
      </c>
      <c r="H387" s="22" t="n">
        <v>0</v>
      </c>
      <c r="I387" s="22" t="n">
        <v>1</v>
      </c>
      <c r="J387" s="22" t="n">
        <v>0</v>
      </c>
      <c r="K387" s="22" t="n">
        <v>0</v>
      </c>
      <c r="L387" s="22" t="n">
        <v>0</v>
      </c>
      <c r="M387" s="22" t="n">
        <v>0</v>
      </c>
      <c r="N387" s="22" t="n">
        <v>0</v>
      </c>
      <c r="O387" s="22" t="n">
        <v>0</v>
      </c>
      <c r="P387" s="22" t="n">
        <v>0</v>
      </c>
      <c r="Q387" s="22" t="n">
        <v>0</v>
      </c>
      <c r="R387" s="22" t="n">
        <v>0</v>
      </c>
      <c r="S387" s="22" t="n">
        <v>0</v>
      </c>
      <c r="T387" s="22" t="n">
        <v>0</v>
      </c>
      <c r="U387" s="3">
        <f>IF(OR(N387=1,Q387=1),1,0)</f>
        <v/>
      </c>
      <c r="V387" s="3">
        <f>IF(OR(T387=1,P387=1),1,0)</f>
        <v/>
      </c>
      <c r="W387" s="3">
        <f>IF(OR(J387=1),1,0)</f>
        <v/>
      </c>
      <c r="X387" s="3">
        <f>IF(OR(I387=1,H387=1),1,0)</f>
        <v/>
      </c>
      <c r="Y387" s="3">
        <f>IF(OR(G387=1),1,0)</f>
        <v/>
      </c>
      <c r="Z387" s="3">
        <f>IF(OR(F387=1),1,0)</f>
        <v/>
      </c>
      <c r="AA387" s="3">
        <f>IF(OR(M387=1),1,0)</f>
        <v/>
      </c>
    </row>
    <row r="388">
      <c r="A388" s="22" t="inlineStr">
        <is>
          <t>c8671f4ae492e4467185ea6360631a2ee25f9398</t>
        </is>
      </c>
      <c r="B388" s="22" t="inlineStr">
        <is>
          <t>2026-10</t>
        </is>
      </c>
      <c r="C388" s="22" t="inlineStr">
        <is>
          <t>X</t>
        </is>
      </c>
      <c r="D388" s="22" t="n">
        <v>1</v>
      </c>
      <c r="E388" s="22" t="inlineStr">
        <is>
          <t>X: X search: IReV</t>
        </is>
      </c>
      <c r="F388" s="22" t="inlineStr">
        <is>
          <t>x:X search: IReV</t>
        </is>
      </c>
      <c r="G388" s="22" t="n">
        <v>0.494</v>
      </c>
      <c r="H388" s="22" t="n">
        <v>0</v>
      </c>
      <c r="I388" s="22" t="n">
        <v>1</v>
      </c>
      <c r="J388" s="22" t="n">
        <v>0</v>
      </c>
      <c r="K388" s="22" t="n">
        <v>0</v>
      </c>
      <c r="L388" s="22" t="n">
        <v>0</v>
      </c>
      <c r="M388" s="22" t="n">
        <v>0</v>
      </c>
      <c r="N388" s="22" t="n">
        <v>0</v>
      </c>
      <c r="O388" s="22" t="n">
        <v>0</v>
      </c>
      <c r="P388" s="22" t="n">
        <v>0</v>
      </c>
      <c r="Q388" s="22" t="n">
        <v>0</v>
      </c>
      <c r="R388" s="22" t="n">
        <v>0</v>
      </c>
      <c r="S388" s="22" t="n">
        <v>0</v>
      </c>
      <c r="T388" s="22" t="n">
        <v>0</v>
      </c>
      <c r="U388" s="3">
        <f>IF(OR(N388=1,Q388=1),1,0)</f>
        <v/>
      </c>
      <c r="V388" s="3">
        <f>IF(OR(T388=1,P388=1),1,0)</f>
        <v/>
      </c>
      <c r="W388" s="3">
        <f>IF(OR(J388=1),1,0)</f>
        <v/>
      </c>
      <c r="X388" s="3">
        <f>IF(OR(I388=1,H388=1),1,0)</f>
        <v/>
      </c>
      <c r="Y388" s="3">
        <f>IF(OR(G388=1),1,0)</f>
        <v/>
      </c>
      <c r="Z388" s="3">
        <f>IF(OR(F388=1),1,0)</f>
        <v/>
      </c>
      <c r="AA388" s="3">
        <f>IF(OR(M388=1),1,0)</f>
        <v/>
      </c>
    </row>
    <row r="389">
      <c r="A389" s="22" t="inlineStr">
        <is>
          <t>56351f0cee500bc7c6d801c99f9d13c8a1ab93df</t>
        </is>
      </c>
      <c r="B389" s="22" t="inlineStr">
        <is>
          <t>2026-10</t>
        </is>
      </c>
      <c r="C389" s="22" t="inlineStr">
        <is>
          <t>X</t>
        </is>
      </c>
      <c r="D389" s="22" t="n">
        <v>1</v>
      </c>
      <c r="E389" s="22" t="inlineStr">
        <is>
          <t>X: X search: IReV</t>
        </is>
      </c>
      <c r="F389" s="22" t="inlineStr">
        <is>
          <t>x:X search: IReV</t>
        </is>
      </c>
      <c r="G389" s="22" t="n">
        <v>0.382</v>
      </c>
      <c r="H389" s="22" t="n">
        <v>1</v>
      </c>
      <c r="I389" s="22" t="n">
        <v>1</v>
      </c>
      <c r="J389" s="22" t="n">
        <v>0</v>
      </c>
      <c r="K389" s="22" t="n">
        <v>0</v>
      </c>
      <c r="L389" s="22" t="n">
        <v>0</v>
      </c>
      <c r="M389" s="22" t="n">
        <v>0</v>
      </c>
      <c r="N389" s="22" t="n">
        <v>0</v>
      </c>
      <c r="O389" s="22" t="n">
        <v>0</v>
      </c>
      <c r="P389" s="22" t="n">
        <v>0</v>
      </c>
      <c r="Q389" s="22" t="n">
        <v>0</v>
      </c>
      <c r="R389" s="22" t="n">
        <v>0</v>
      </c>
      <c r="S389" s="22" t="n">
        <v>0</v>
      </c>
      <c r="T389" s="22" t="n">
        <v>0</v>
      </c>
      <c r="U389" s="3">
        <f>IF(OR(N389=1,Q389=1),1,0)</f>
        <v/>
      </c>
      <c r="V389" s="3">
        <f>IF(OR(T389=1,P389=1),1,0)</f>
        <v/>
      </c>
      <c r="W389" s="3">
        <f>IF(OR(J389=1),1,0)</f>
        <v/>
      </c>
      <c r="X389" s="3">
        <f>IF(OR(I389=1,H389=1),1,0)</f>
        <v/>
      </c>
      <c r="Y389" s="3">
        <f>IF(OR(G389=1),1,0)</f>
        <v/>
      </c>
      <c r="Z389" s="3">
        <f>IF(OR(F389=1),1,0)</f>
        <v/>
      </c>
      <c r="AA389" s="3">
        <f>IF(OR(M389=1),1,0)</f>
        <v/>
      </c>
    </row>
    <row r="390">
      <c r="A390" s="22" t="inlineStr">
        <is>
          <t>0c2f931bf2fc393a2ef6f18b386d669f15f030e6</t>
        </is>
      </c>
      <c r="B390" s="22" t="inlineStr">
        <is>
          <t>2026-10</t>
        </is>
      </c>
      <c r="C390" s="22" t="inlineStr">
        <is>
          <t>X</t>
        </is>
      </c>
      <c r="D390" s="22" t="n">
        <v>1</v>
      </c>
      <c r="E390" s="22" t="inlineStr">
        <is>
          <t>X: X search: IReV</t>
        </is>
      </c>
      <c r="F390" s="22" t="inlineStr">
        <is>
          <t>x:X search: IReV</t>
        </is>
      </c>
      <c r="G390" s="22" t="n">
        <v>0</v>
      </c>
      <c r="H390" s="22" t="n">
        <v>0</v>
      </c>
      <c r="I390" s="22" t="n">
        <v>1</v>
      </c>
      <c r="J390" s="22" t="n">
        <v>0</v>
      </c>
      <c r="K390" s="22" t="n">
        <v>0</v>
      </c>
      <c r="L390" s="22" t="n">
        <v>0</v>
      </c>
      <c r="M390" s="22" t="n">
        <v>0</v>
      </c>
      <c r="N390" s="22" t="n">
        <v>0</v>
      </c>
      <c r="O390" s="22" t="n">
        <v>0</v>
      </c>
      <c r="P390" s="22" t="n">
        <v>1</v>
      </c>
      <c r="Q390" s="22" t="n">
        <v>0</v>
      </c>
      <c r="R390" s="22" t="n">
        <v>0</v>
      </c>
      <c r="S390" s="22" t="n">
        <v>0</v>
      </c>
      <c r="T390" s="22" t="n">
        <v>0</v>
      </c>
      <c r="U390" s="3">
        <f>IF(OR(N390=1,Q390=1),1,0)</f>
        <v/>
      </c>
      <c r="V390" s="3">
        <f>IF(OR(T390=1,P390=1),1,0)</f>
        <v/>
      </c>
      <c r="W390" s="3">
        <f>IF(OR(J390=1),1,0)</f>
        <v/>
      </c>
      <c r="X390" s="3">
        <f>IF(OR(I390=1,H390=1),1,0)</f>
        <v/>
      </c>
      <c r="Y390" s="3">
        <f>IF(OR(G390=1),1,0)</f>
        <v/>
      </c>
      <c r="Z390" s="3">
        <f>IF(OR(F390=1),1,0)</f>
        <v/>
      </c>
      <c r="AA390" s="3">
        <f>IF(OR(M390=1),1,0)</f>
        <v/>
      </c>
    </row>
    <row r="391">
      <c r="A391" s="22" t="inlineStr">
        <is>
          <t>657c36b5cb6007f7412572da1c5ce62be7e45570</t>
        </is>
      </c>
      <c r="B391" s="22" t="inlineStr">
        <is>
          <t>2026-10</t>
        </is>
      </c>
      <c r="C391" s="22" t="inlineStr">
        <is>
          <t>X</t>
        </is>
      </c>
      <c r="D391" s="22" t="n">
        <v>1</v>
      </c>
      <c r="E391" s="22" t="inlineStr">
        <is>
          <t>X: X search: IReV</t>
        </is>
      </c>
      <c r="F391" s="22" t="inlineStr">
        <is>
          <t>x:X search: IReV</t>
        </is>
      </c>
      <c r="G391" s="22" t="n">
        <v>0.377</v>
      </c>
      <c r="H391" s="22" t="n">
        <v>0</v>
      </c>
      <c r="I391" s="22" t="n">
        <v>1</v>
      </c>
      <c r="J391" s="22" t="n">
        <v>0</v>
      </c>
      <c r="K391" s="22" t="n">
        <v>0</v>
      </c>
      <c r="L391" s="22" t="n">
        <v>0</v>
      </c>
      <c r="M391" s="22" t="n">
        <v>0</v>
      </c>
      <c r="N391" s="22" t="n">
        <v>0</v>
      </c>
      <c r="O391" s="22" t="n">
        <v>0</v>
      </c>
      <c r="P391" s="22" t="n">
        <v>0</v>
      </c>
      <c r="Q391" s="22" t="n">
        <v>0</v>
      </c>
      <c r="R391" s="22" t="n">
        <v>0</v>
      </c>
      <c r="S391" s="22" t="n">
        <v>0</v>
      </c>
      <c r="T391" s="22" t="n">
        <v>0</v>
      </c>
      <c r="U391" s="3">
        <f>IF(OR(N391=1,Q391=1),1,0)</f>
        <v/>
      </c>
      <c r="V391" s="3">
        <f>IF(OR(T391=1,P391=1),1,0)</f>
        <v/>
      </c>
      <c r="W391" s="3">
        <f>IF(OR(J391=1),1,0)</f>
        <v/>
      </c>
      <c r="X391" s="3">
        <f>IF(OR(I391=1,H391=1),1,0)</f>
        <v/>
      </c>
      <c r="Y391" s="3">
        <f>IF(OR(G391=1),1,0)</f>
        <v/>
      </c>
      <c r="Z391" s="3">
        <f>IF(OR(F391=1),1,0)</f>
        <v/>
      </c>
      <c r="AA391" s="3">
        <f>IF(OR(M391=1),1,0)</f>
        <v/>
      </c>
    </row>
    <row r="392">
      <c r="A392" s="22" t="inlineStr">
        <is>
          <t>4475d6fd52f788b60ea04421a8bad38d46784b6a</t>
        </is>
      </c>
      <c r="B392" s="22" t="inlineStr">
        <is>
          <t>2026-10</t>
        </is>
      </c>
      <c r="C392" s="22" t="inlineStr">
        <is>
          <t>X</t>
        </is>
      </c>
      <c r="D392" s="22" t="n">
        <v>1</v>
      </c>
      <c r="E392" s="22" t="inlineStr">
        <is>
          <t>X: X search: IReV</t>
        </is>
      </c>
      <c r="F392" s="22" t="inlineStr">
        <is>
          <t>x:X search: IReV</t>
        </is>
      </c>
      <c r="G392" s="22" t="n">
        <v>-0.444</v>
      </c>
      <c r="H392" s="22" t="n">
        <v>0</v>
      </c>
      <c r="I392" s="22" t="n">
        <v>1</v>
      </c>
      <c r="J392" s="22" t="n">
        <v>0</v>
      </c>
      <c r="K392" s="22" t="n">
        <v>0</v>
      </c>
      <c r="L392" s="22" t="n">
        <v>0</v>
      </c>
      <c r="M392" s="22" t="n">
        <v>0</v>
      </c>
      <c r="N392" s="22" t="n">
        <v>0</v>
      </c>
      <c r="O392" s="22" t="n">
        <v>0</v>
      </c>
      <c r="P392" s="22" t="n">
        <v>0</v>
      </c>
      <c r="Q392" s="22" t="n">
        <v>0</v>
      </c>
      <c r="R392" s="22" t="n">
        <v>0</v>
      </c>
      <c r="S392" s="22" t="n">
        <v>0</v>
      </c>
      <c r="T392" s="22" t="n">
        <v>0</v>
      </c>
      <c r="U392" s="3">
        <f>IF(OR(N392=1,Q392=1),1,0)</f>
        <v/>
      </c>
      <c r="V392" s="3">
        <f>IF(OR(T392=1,P392=1),1,0)</f>
        <v/>
      </c>
      <c r="W392" s="3">
        <f>IF(OR(J392=1),1,0)</f>
        <v/>
      </c>
      <c r="X392" s="3">
        <f>IF(OR(I392=1,H392=1),1,0)</f>
        <v/>
      </c>
      <c r="Y392" s="3">
        <f>IF(OR(G392=1),1,0)</f>
        <v/>
      </c>
      <c r="Z392" s="3">
        <f>IF(OR(F392=1),1,0)</f>
        <v/>
      </c>
      <c r="AA392" s="3">
        <f>IF(OR(M392=1),1,0)</f>
        <v/>
      </c>
    </row>
    <row r="393">
      <c r="A393" s="22" t="inlineStr">
        <is>
          <t>d4df28ddf0a1beb01402d150fbcd958be05d394a</t>
        </is>
      </c>
      <c r="B393" s="22" t="inlineStr">
        <is>
          <t>2026-10</t>
        </is>
      </c>
      <c r="C393" s="22" t="inlineStr">
        <is>
          <t>X</t>
        </is>
      </c>
      <c r="D393" s="22" t="n">
        <v>1</v>
      </c>
      <c r="E393" s="22" t="inlineStr">
        <is>
          <t>X: X search: IReV</t>
        </is>
      </c>
      <c r="F393" s="22" t="inlineStr">
        <is>
          <t>x:X search: IReV</t>
        </is>
      </c>
      <c r="G393" s="22" t="n">
        <v>-0.477</v>
      </c>
      <c r="H393" s="22" t="n">
        <v>0</v>
      </c>
      <c r="I393" s="22" t="n">
        <v>1</v>
      </c>
      <c r="J393" s="22" t="n">
        <v>0</v>
      </c>
      <c r="K393" s="22" t="n">
        <v>0</v>
      </c>
      <c r="L393" s="22" t="n">
        <v>0</v>
      </c>
      <c r="M393" s="22" t="n">
        <v>1</v>
      </c>
      <c r="N393" s="22" t="n">
        <v>0</v>
      </c>
      <c r="O393" s="22" t="n">
        <v>0</v>
      </c>
      <c r="P393" s="22" t="n">
        <v>0</v>
      </c>
      <c r="Q393" s="22" t="n">
        <v>0</v>
      </c>
      <c r="R393" s="22" t="n">
        <v>0</v>
      </c>
      <c r="S393" s="22" t="n">
        <v>0</v>
      </c>
      <c r="T393" s="22" t="n">
        <v>0</v>
      </c>
      <c r="U393" s="3">
        <f>IF(OR(N393=1,Q393=1),1,0)</f>
        <v/>
      </c>
      <c r="V393" s="3">
        <f>IF(OR(T393=1,P393=1),1,0)</f>
        <v/>
      </c>
      <c r="W393" s="3">
        <f>IF(OR(J393=1),1,0)</f>
        <v/>
      </c>
      <c r="X393" s="3">
        <f>IF(OR(I393=1,H393=1),1,0)</f>
        <v/>
      </c>
      <c r="Y393" s="3">
        <f>IF(OR(G393=1),1,0)</f>
        <v/>
      </c>
      <c r="Z393" s="3">
        <f>IF(OR(F393=1),1,0)</f>
        <v/>
      </c>
      <c r="AA393" s="3">
        <f>IF(OR(M393=1),1,0)</f>
        <v/>
      </c>
    </row>
    <row r="394">
      <c r="A394" s="22" t="inlineStr">
        <is>
          <t>2005ee71e449d93cc8184bb04ff8aeb5701db686</t>
        </is>
      </c>
      <c r="B394" s="22" t="inlineStr">
        <is>
          <t>2026-10</t>
        </is>
      </c>
      <c r="C394" s="22" t="inlineStr">
        <is>
          <t>X</t>
        </is>
      </c>
      <c r="D394" s="22" t="n">
        <v>1</v>
      </c>
      <c r="E394" s="22" t="inlineStr">
        <is>
          <t>X: X search: IReV</t>
        </is>
      </c>
      <c r="F394" s="22" t="inlineStr">
        <is>
          <t>x:X search: IReV</t>
        </is>
      </c>
      <c r="G394" s="22" t="n">
        <v>0.105</v>
      </c>
      <c r="H394" s="22" t="n">
        <v>1</v>
      </c>
      <c r="I394" s="22" t="n">
        <v>1</v>
      </c>
      <c r="J394" s="22" t="n">
        <v>0</v>
      </c>
      <c r="K394" s="22" t="n">
        <v>0</v>
      </c>
      <c r="L394" s="22" t="n">
        <v>0</v>
      </c>
      <c r="M394" s="22" t="n">
        <v>0</v>
      </c>
      <c r="N394" s="22" t="n">
        <v>0</v>
      </c>
      <c r="O394" s="22" t="n">
        <v>0</v>
      </c>
      <c r="P394" s="22" t="n">
        <v>0</v>
      </c>
      <c r="Q394" s="22" t="n">
        <v>0</v>
      </c>
      <c r="R394" s="22" t="n">
        <v>0</v>
      </c>
      <c r="S394" s="22" t="n">
        <v>0</v>
      </c>
      <c r="T394" s="22" t="n">
        <v>0</v>
      </c>
      <c r="U394" s="3">
        <f>IF(OR(N394=1,Q394=1),1,0)</f>
        <v/>
      </c>
      <c r="V394" s="3">
        <f>IF(OR(T394=1,P394=1),1,0)</f>
        <v/>
      </c>
      <c r="W394" s="3">
        <f>IF(OR(J394=1),1,0)</f>
        <v/>
      </c>
      <c r="X394" s="3">
        <f>IF(OR(I394=1,H394=1),1,0)</f>
        <v/>
      </c>
      <c r="Y394" s="3">
        <f>IF(OR(G394=1),1,0)</f>
        <v/>
      </c>
      <c r="Z394" s="3">
        <f>IF(OR(F394=1),1,0)</f>
        <v/>
      </c>
      <c r="AA394" s="3">
        <f>IF(OR(M394=1),1,0)</f>
        <v/>
      </c>
    </row>
    <row r="395">
      <c r="A395" s="22" t="inlineStr">
        <is>
          <t>c74ecc128ac866bd543e73b57b39b1cd34953902</t>
        </is>
      </c>
      <c r="B395" s="22" t="inlineStr">
        <is>
          <t>2026-10</t>
        </is>
      </c>
      <c r="C395" s="22" t="inlineStr">
        <is>
          <t>X</t>
        </is>
      </c>
      <c r="D395" s="22" t="n">
        <v>1</v>
      </c>
      <c r="E395" s="22" t="inlineStr">
        <is>
          <t>X: X search: IReV</t>
        </is>
      </c>
      <c r="F395" s="22" t="inlineStr">
        <is>
          <t>x:X search: IReV</t>
        </is>
      </c>
      <c r="G395" s="22" t="n">
        <v>-0.459</v>
      </c>
      <c r="H395" s="22" t="n">
        <v>0</v>
      </c>
      <c r="I395" s="22" t="n">
        <v>1</v>
      </c>
      <c r="J395" s="22" t="n">
        <v>0</v>
      </c>
      <c r="K395" s="22" t="n">
        <v>0</v>
      </c>
      <c r="L395" s="22" t="n">
        <v>0</v>
      </c>
      <c r="M395" s="22" t="n">
        <v>0</v>
      </c>
      <c r="N395" s="22" t="n">
        <v>0</v>
      </c>
      <c r="O395" s="22" t="n">
        <v>0</v>
      </c>
      <c r="P395" s="22" t="n">
        <v>0</v>
      </c>
      <c r="Q395" s="22" t="n">
        <v>0</v>
      </c>
      <c r="R395" s="22" t="n">
        <v>0</v>
      </c>
      <c r="S395" s="22" t="n">
        <v>0</v>
      </c>
      <c r="T395" s="22" t="n">
        <v>0</v>
      </c>
      <c r="U395" s="3">
        <f>IF(OR(N395=1,Q395=1),1,0)</f>
        <v/>
      </c>
      <c r="V395" s="3">
        <f>IF(OR(T395=1,P395=1),1,0)</f>
        <v/>
      </c>
      <c r="W395" s="3">
        <f>IF(OR(J395=1),1,0)</f>
        <v/>
      </c>
      <c r="X395" s="3">
        <f>IF(OR(I395=1,H395=1),1,0)</f>
        <v/>
      </c>
      <c r="Y395" s="3">
        <f>IF(OR(G395=1),1,0)</f>
        <v/>
      </c>
      <c r="Z395" s="3">
        <f>IF(OR(F395=1),1,0)</f>
        <v/>
      </c>
      <c r="AA395" s="3">
        <f>IF(OR(M395=1),1,0)</f>
        <v/>
      </c>
    </row>
    <row r="396">
      <c r="A396" s="22" t="inlineStr">
        <is>
          <t>f431c5509692f45204e46c5fda2145396e15aad3</t>
        </is>
      </c>
      <c r="B396" s="22" t="inlineStr">
        <is>
          <t>2026-10</t>
        </is>
      </c>
      <c r="C396" s="22" t="inlineStr">
        <is>
          <t>X</t>
        </is>
      </c>
      <c r="D396" s="22" t="n">
        <v>1</v>
      </c>
      <c r="E396" s="22" t="inlineStr">
        <is>
          <t>X: X search: IReV</t>
        </is>
      </c>
      <c r="F396" s="22" t="inlineStr">
        <is>
          <t>x:X search: IReV</t>
        </is>
      </c>
      <c r="G396" s="22" t="n">
        <v>-0.44</v>
      </c>
      <c r="H396" s="22" t="n">
        <v>0</v>
      </c>
      <c r="I396" s="22" t="n">
        <v>1</v>
      </c>
      <c r="J396" s="22" t="n">
        <v>0</v>
      </c>
      <c r="K396" s="22" t="n">
        <v>0</v>
      </c>
      <c r="L396" s="22" t="n">
        <v>0</v>
      </c>
      <c r="M396" s="22" t="n">
        <v>1</v>
      </c>
      <c r="N396" s="22" t="n">
        <v>0</v>
      </c>
      <c r="O396" s="22" t="n">
        <v>0</v>
      </c>
      <c r="P396" s="22" t="n">
        <v>0</v>
      </c>
      <c r="Q396" s="22" t="n">
        <v>0</v>
      </c>
      <c r="R396" s="22" t="n">
        <v>0</v>
      </c>
      <c r="S396" s="22" t="n">
        <v>0</v>
      </c>
      <c r="T396" s="22" t="n">
        <v>0</v>
      </c>
      <c r="U396" s="3">
        <f>IF(OR(N396=1,Q396=1),1,0)</f>
        <v/>
      </c>
      <c r="V396" s="3">
        <f>IF(OR(T396=1,P396=1),1,0)</f>
        <v/>
      </c>
      <c r="W396" s="3">
        <f>IF(OR(J396=1),1,0)</f>
        <v/>
      </c>
      <c r="X396" s="3">
        <f>IF(OR(I396=1,H396=1),1,0)</f>
        <v/>
      </c>
      <c r="Y396" s="3">
        <f>IF(OR(G396=1),1,0)</f>
        <v/>
      </c>
      <c r="Z396" s="3">
        <f>IF(OR(F396=1),1,0)</f>
        <v/>
      </c>
      <c r="AA396" s="3">
        <f>IF(OR(M396=1),1,0)</f>
        <v/>
      </c>
    </row>
    <row r="397">
      <c r="A397" s="22" t="inlineStr">
        <is>
          <t>495beb676065093addb9b63b76f39bc2ce3e2647</t>
        </is>
      </c>
      <c r="B397" s="22" t="inlineStr">
        <is>
          <t>2026-10</t>
        </is>
      </c>
      <c r="C397" s="22" t="inlineStr">
        <is>
          <t>X</t>
        </is>
      </c>
      <c r="D397" s="22" t="n">
        <v>1</v>
      </c>
      <c r="E397" s="22" t="inlineStr">
        <is>
          <t>X: X search: IReV</t>
        </is>
      </c>
      <c r="F397" s="22" t="inlineStr">
        <is>
          <t>x:X search: IReV</t>
        </is>
      </c>
      <c r="G397" s="22" t="n">
        <v>0</v>
      </c>
      <c r="H397" s="22" t="n">
        <v>0</v>
      </c>
      <c r="I397" s="22" t="n">
        <v>1</v>
      </c>
      <c r="J397" s="22" t="n">
        <v>0</v>
      </c>
      <c r="K397" s="22" t="n">
        <v>0</v>
      </c>
      <c r="L397" s="22" t="n">
        <v>0</v>
      </c>
      <c r="M397" s="22" t="n">
        <v>0</v>
      </c>
      <c r="N397" s="22" t="n">
        <v>0</v>
      </c>
      <c r="O397" s="22" t="n">
        <v>0</v>
      </c>
      <c r="P397" s="22" t="n">
        <v>0</v>
      </c>
      <c r="Q397" s="22" t="n">
        <v>0</v>
      </c>
      <c r="R397" s="22" t="n">
        <v>0</v>
      </c>
      <c r="S397" s="22" t="n">
        <v>0</v>
      </c>
      <c r="T397" s="22" t="n">
        <v>0</v>
      </c>
      <c r="U397" s="3">
        <f>IF(OR(N397=1,Q397=1),1,0)</f>
        <v/>
      </c>
      <c r="V397" s="3">
        <f>IF(OR(T397=1,P397=1),1,0)</f>
        <v/>
      </c>
      <c r="W397" s="3">
        <f>IF(OR(J397=1),1,0)</f>
        <v/>
      </c>
      <c r="X397" s="3">
        <f>IF(OR(I397=1,H397=1),1,0)</f>
        <v/>
      </c>
      <c r="Y397" s="3">
        <f>IF(OR(G397=1),1,0)</f>
        <v/>
      </c>
      <c r="Z397" s="3">
        <f>IF(OR(F397=1),1,0)</f>
        <v/>
      </c>
      <c r="AA397" s="3">
        <f>IF(OR(M397=1),1,0)</f>
        <v/>
      </c>
    </row>
    <row r="398">
      <c r="A398" s="22" t="inlineStr">
        <is>
          <t>52973d1bf3db5d9ad0f3e9c83c51c308714745c9</t>
        </is>
      </c>
      <c r="B398" s="22" t="inlineStr">
        <is>
          <t>2026-10</t>
        </is>
      </c>
      <c r="C398" s="22" t="inlineStr">
        <is>
          <t>X</t>
        </is>
      </c>
      <c r="D398" s="22" t="n">
        <v>1</v>
      </c>
      <c r="E398" s="22" t="inlineStr">
        <is>
          <t>X: X search: IReV</t>
        </is>
      </c>
      <c r="F398" s="22" t="inlineStr">
        <is>
          <t>x:X search: IReV</t>
        </is>
      </c>
      <c r="G398" s="22" t="n">
        <v>-0.103</v>
      </c>
      <c r="H398" s="22" t="n">
        <v>0</v>
      </c>
      <c r="I398" s="22" t="n">
        <v>1</v>
      </c>
      <c r="J398" s="22" t="n">
        <v>0</v>
      </c>
      <c r="K398" s="22" t="n">
        <v>0</v>
      </c>
      <c r="L398" s="22" t="n">
        <v>0</v>
      </c>
      <c r="M398" s="22" t="n">
        <v>0</v>
      </c>
      <c r="N398" s="22" t="n">
        <v>0</v>
      </c>
      <c r="O398" s="22" t="n">
        <v>0</v>
      </c>
      <c r="P398" s="22" t="n">
        <v>0</v>
      </c>
      <c r="Q398" s="22" t="n">
        <v>0</v>
      </c>
      <c r="R398" s="22" t="n">
        <v>0</v>
      </c>
      <c r="S398" s="22" t="n">
        <v>0</v>
      </c>
      <c r="T398" s="22" t="n">
        <v>0</v>
      </c>
      <c r="U398" s="3">
        <f>IF(OR(N398=1,Q398=1),1,0)</f>
        <v/>
      </c>
      <c r="V398" s="3">
        <f>IF(OR(T398=1,P398=1),1,0)</f>
        <v/>
      </c>
      <c r="W398" s="3">
        <f>IF(OR(J398=1),1,0)</f>
        <v/>
      </c>
      <c r="X398" s="3">
        <f>IF(OR(I398=1,H398=1),1,0)</f>
        <v/>
      </c>
      <c r="Y398" s="3">
        <f>IF(OR(G398=1),1,0)</f>
        <v/>
      </c>
      <c r="Z398" s="3">
        <f>IF(OR(F398=1),1,0)</f>
        <v/>
      </c>
      <c r="AA398" s="3">
        <f>IF(OR(M398=1),1,0)</f>
        <v/>
      </c>
    </row>
    <row r="399">
      <c r="A399" s="22" t="inlineStr">
        <is>
          <t>7aa4bb0d49f67e5b2209bf42fe4906f5b95e3ff7</t>
        </is>
      </c>
      <c r="B399" s="22" t="inlineStr">
        <is>
          <t>2026-10</t>
        </is>
      </c>
      <c r="C399" s="22" t="inlineStr">
        <is>
          <t>X</t>
        </is>
      </c>
      <c r="D399" s="22" t="n">
        <v>1</v>
      </c>
      <c r="E399" s="22" t="inlineStr">
        <is>
          <t>X: X search: IReV</t>
        </is>
      </c>
      <c r="F399" s="22" t="inlineStr">
        <is>
          <t>x:X search: IReV</t>
        </is>
      </c>
      <c r="G399" s="22" t="n">
        <v>-0.428</v>
      </c>
      <c r="H399" s="22" t="n">
        <v>1</v>
      </c>
      <c r="I399" s="22" t="n">
        <v>1</v>
      </c>
      <c r="J399" s="22" t="n">
        <v>0</v>
      </c>
      <c r="K399" s="22" t="n">
        <v>0</v>
      </c>
      <c r="L399" s="22" t="n">
        <v>0</v>
      </c>
      <c r="M399" s="22" t="n">
        <v>0</v>
      </c>
      <c r="N399" s="22" t="n">
        <v>0</v>
      </c>
      <c r="O399" s="22" t="n">
        <v>0</v>
      </c>
      <c r="P399" s="22" t="n">
        <v>0</v>
      </c>
      <c r="Q399" s="22" t="n">
        <v>0</v>
      </c>
      <c r="R399" s="22" t="n">
        <v>0</v>
      </c>
      <c r="S399" s="22" t="n">
        <v>0</v>
      </c>
      <c r="T399" s="22" t="n">
        <v>0</v>
      </c>
      <c r="U399" s="3">
        <f>IF(OR(N399=1,Q399=1),1,0)</f>
        <v/>
      </c>
      <c r="V399" s="3">
        <f>IF(OR(T399=1,P399=1),1,0)</f>
        <v/>
      </c>
      <c r="W399" s="3">
        <f>IF(OR(J399=1),1,0)</f>
        <v/>
      </c>
      <c r="X399" s="3">
        <f>IF(OR(I399=1,H399=1),1,0)</f>
        <v/>
      </c>
      <c r="Y399" s="3">
        <f>IF(OR(G399=1),1,0)</f>
        <v/>
      </c>
      <c r="Z399" s="3">
        <f>IF(OR(F399=1),1,0)</f>
        <v/>
      </c>
      <c r="AA399" s="3">
        <f>IF(OR(M399=1),1,0)</f>
        <v/>
      </c>
    </row>
    <row r="400">
      <c r="A400" s="22" t="inlineStr">
        <is>
          <t>43f9f8e0b9b2245879328f3b6defb91edc9b4b47</t>
        </is>
      </c>
      <c r="B400" s="22" t="inlineStr">
        <is>
          <t>2026-10</t>
        </is>
      </c>
      <c r="C400" s="22" t="inlineStr">
        <is>
          <t>X</t>
        </is>
      </c>
      <c r="D400" s="22" t="n">
        <v>1</v>
      </c>
      <c r="E400" s="22" t="inlineStr">
        <is>
          <t>X: X search: IReV</t>
        </is>
      </c>
      <c r="F400" s="22" t="inlineStr">
        <is>
          <t>x:X search: IReV</t>
        </is>
      </c>
      <c r="G400" s="22" t="n">
        <v>-0.128</v>
      </c>
      <c r="H400" s="22" t="n">
        <v>0</v>
      </c>
      <c r="I400" s="22" t="n">
        <v>1</v>
      </c>
      <c r="J400" s="22" t="n">
        <v>0</v>
      </c>
      <c r="K400" s="22" t="n">
        <v>0</v>
      </c>
      <c r="L400" s="22" t="n">
        <v>0</v>
      </c>
      <c r="M400" s="22" t="n">
        <v>0</v>
      </c>
      <c r="N400" s="22" t="n">
        <v>0</v>
      </c>
      <c r="O400" s="22" t="n">
        <v>0</v>
      </c>
      <c r="P400" s="22" t="n">
        <v>0</v>
      </c>
      <c r="Q400" s="22" t="n">
        <v>0</v>
      </c>
      <c r="R400" s="22" t="n">
        <v>0</v>
      </c>
      <c r="S400" s="22" t="n">
        <v>0</v>
      </c>
      <c r="T400" s="22" t="n">
        <v>0</v>
      </c>
      <c r="U400" s="3">
        <f>IF(OR(N400=1,Q400=1),1,0)</f>
        <v/>
      </c>
      <c r="V400" s="3">
        <f>IF(OR(T400=1,P400=1),1,0)</f>
        <v/>
      </c>
      <c r="W400" s="3">
        <f>IF(OR(J400=1),1,0)</f>
        <v/>
      </c>
      <c r="X400" s="3">
        <f>IF(OR(I400=1,H400=1),1,0)</f>
        <v/>
      </c>
      <c r="Y400" s="3">
        <f>IF(OR(G400=1),1,0)</f>
        <v/>
      </c>
      <c r="Z400" s="3">
        <f>IF(OR(F400=1),1,0)</f>
        <v/>
      </c>
      <c r="AA400" s="3">
        <f>IF(OR(M400=1),1,0)</f>
        <v/>
      </c>
    </row>
    <row r="401">
      <c r="A401" s="22" t="inlineStr">
        <is>
          <t>a6c7dea92560edb108700daaba009cc702079ef0</t>
        </is>
      </c>
      <c r="B401" s="22" t="inlineStr">
        <is>
          <t>2026-10</t>
        </is>
      </c>
      <c r="C401" s="22" t="inlineStr">
        <is>
          <t>X</t>
        </is>
      </c>
      <c r="D401" s="22" t="n">
        <v>1</v>
      </c>
      <c r="E401" s="22" t="inlineStr">
        <is>
          <t>X: X search: IReV</t>
        </is>
      </c>
      <c r="F401" s="22" t="inlineStr">
        <is>
          <t>x:X search: IReV</t>
        </is>
      </c>
      <c r="G401" s="22" t="n">
        <v>0</v>
      </c>
      <c r="H401" s="22" t="n">
        <v>1</v>
      </c>
      <c r="I401" s="22" t="n">
        <v>1</v>
      </c>
      <c r="J401" s="22" t="n">
        <v>0</v>
      </c>
      <c r="K401" s="22" t="n">
        <v>0</v>
      </c>
      <c r="L401" s="22" t="n">
        <v>0</v>
      </c>
      <c r="M401" s="22" t="n">
        <v>0</v>
      </c>
      <c r="N401" s="22" t="n">
        <v>0</v>
      </c>
      <c r="O401" s="22" t="n">
        <v>0</v>
      </c>
      <c r="P401" s="22" t="n">
        <v>0</v>
      </c>
      <c r="Q401" s="22" t="n">
        <v>0</v>
      </c>
      <c r="R401" s="22" t="n">
        <v>0</v>
      </c>
      <c r="S401" s="22" t="n">
        <v>0</v>
      </c>
      <c r="T401" s="22" t="n">
        <v>0</v>
      </c>
      <c r="U401" s="3">
        <f>IF(OR(N401=1,Q401=1),1,0)</f>
        <v/>
      </c>
      <c r="V401" s="3">
        <f>IF(OR(T401=1,P401=1),1,0)</f>
        <v/>
      </c>
      <c r="W401" s="3">
        <f>IF(OR(J401=1),1,0)</f>
        <v/>
      </c>
      <c r="X401" s="3">
        <f>IF(OR(I401=1,H401=1),1,0)</f>
        <v/>
      </c>
      <c r="Y401" s="3">
        <f>IF(OR(G401=1),1,0)</f>
        <v/>
      </c>
      <c r="Z401" s="3">
        <f>IF(OR(F401=1),1,0)</f>
        <v/>
      </c>
      <c r="AA401" s="3">
        <f>IF(OR(M401=1),1,0)</f>
        <v/>
      </c>
    </row>
    <row r="402">
      <c r="A402" s="22" t="inlineStr">
        <is>
          <t>4ab963c70d32be5b6a9843e087545e6167a789fe</t>
        </is>
      </c>
      <c r="B402" s="22" t="inlineStr">
        <is>
          <t>2026-10</t>
        </is>
      </c>
      <c r="C402" s="22" t="inlineStr">
        <is>
          <t>X</t>
        </is>
      </c>
      <c r="D402" s="22" t="n">
        <v>1</v>
      </c>
      <c r="E402" s="22" t="inlineStr">
        <is>
          <t>X: X search: IReV</t>
        </is>
      </c>
      <c r="F402" s="22" t="inlineStr">
        <is>
          <t>x:X search: IReV</t>
        </is>
      </c>
      <c r="G402" s="22" t="n">
        <v>0.624</v>
      </c>
      <c r="H402" s="22" t="n">
        <v>1</v>
      </c>
      <c r="I402" s="22" t="n">
        <v>1</v>
      </c>
      <c r="J402" s="22" t="n">
        <v>0</v>
      </c>
      <c r="K402" s="22" t="n">
        <v>0</v>
      </c>
      <c r="L402" s="22" t="n">
        <v>0</v>
      </c>
      <c r="M402" s="22" t="n">
        <v>0</v>
      </c>
      <c r="N402" s="22" t="n">
        <v>0</v>
      </c>
      <c r="O402" s="22" t="n">
        <v>0</v>
      </c>
      <c r="P402" s="22" t="n">
        <v>0</v>
      </c>
      <c r="Q402" s="22" t="n">
        <v>0</v>
      </c>
      <c r="R402" s="22" t="n">
        <v>0</v>
      </c>
      <c r="S402" s="22" t="n">
        <v>0</v>
      </c>
      <c r="T402" s="22" t="n">
        <v>0</v>
      </c>
      <c r="U402" s="3">
        <f>IF(OR(N402=1,Q402=1),1,0)</f>
        <v/>
      </c>
      <c r="V402" s="3">
        <f>IF(OR(T402=1,P402=1),1,0)</f>
        <v/>
      </c>
      <c r="W402" s="3">
        <f>IF(OR(J402=1),1,0)</f>
        <v/>
      </c>
      <c r="X402" s="3">
        <f>IF(OR(I402=1,H402=1),1,0)</f>
        <v/>
      </c>
      <c r="Y402" s="3">
        <f>IF(OR(G402=1),1,0)</f>
        <v/>
      </c>
      <c r="Z402" s="3">
        <f>IF(OR(F402=1),1,0)</f>
        <v/>
      </c>
      <c r="AA402" s="3">
        <f>IF(OR(M402=1),1,0)</f>
        <v/>
      </c>
    </row>
    <row r="403">
      <c r="A403" s="22" t="inlineStr">
        <is>
          <t>0c76c9107aecab1c2130e3351c506ed8a0ed40ca</t>
        </is>
      </c>
      <c r="B403" s="22" t="inlineStr">
        <is>
          <t>2026-10</t>
        </is>
      </c>
      <c r="C403" s="22" t="inlineStr">
        <is>
          <t>X</t>
        </is>
      </c>
      <c r="D403" s="22" t="n">
        <v>1</v>
      </c>
      <c r="E403" s="22" t="inlineStr">
        <is>
          <t>X: X search: IReV</t>
        </is>
      </c>
      <c r="F403" s="22" t="inlineStr">
        <is>
          <t>x:X search: IReV</t>
        </is>
      </c>
      <c r="G403" s="22" t="n">
        <v>0.128</v>
      </c>
      <c r="H403" s="22" t="n">
        <v>1</v>
      </c>
      <c r="I403" s="22" t="n">
        <v>1</v>
      </c>
      <c r="J403" s="22" t="n">
        <v>0</v>
      </c>
      <c r="K403" s="22" t="n">
        <v>0</v>
      </c>
      <c r="L403" s="22" t="n">
        <v>0</v>
      </c>
      <c r="M403" s="22" t="n">
        <v>0</v>
      </c>
      <c r="N403" s="22" t="n">
        <v>0</v>
      </c>
      <c r="O403" s="22" t="n">
        <v>0</v>
      </c>
      <c r="P403" s="22" t="n">
        <v>0</v>
      </c>
      <c r="Q403" s="22" t="n">
        <v>0</v>
      </c>
      <c r="R403" s="22" t="n">
        <v>0</v>
      </c>
      <c r="S403" s="22" t="n">
        <v>0</v>
      </c>
      <c r="T403" s="22" t="n">
        <v>0</v>
      </c>
      <c r="U403" s="3">
        <f>IF(OR(N403=1,Q403=1),1,0)</f>
        <v/>
      </c>
      <c r="V403" s="3">
        <f>IF(OR(T403=1,P403=1),1,0)</f>
        <v/>
      </c>
      <c r="W403" s="3">
        <f>IF(OR(J403=1),1,0)</f>
        <v/>
      </c>
      <c r="X403" s="3">
        <f>IF(OR(I403=1,H403=1),1,0)</f>
        <v/>
      </c>
      <c r="Y403" s="3">
        <f>IF(OR(G403=1),1,0)</f>
        <v/>
      </c>
      <c r="Z403" s="3">
        <f>IF(OR(F403=1),1,0)</f>
        <v/>
      </c>
      <c r="AA403" s="3">
        <f>IF(OR(M403=1),1,0)</f>
        <v/>
      </c>
    </row>
    <row r="404">
      <c r="A404" s="22" t="inlineStr">
        <is>
          <t>5abcda071f556052d1904cdde5c1cac62341703e</t>
        </is>
      </c>
      <c r="B404" s="22" t="inlineStr">
        <is>
          <t>2026-10</t>
        </is>
      </c>
      <c r="C404" s="22" t="inlineStr">
        <is>
          <t>X</t>
        </is>
      </c>
      <c r="D404" s="22" t="n">
        <v>1</v>
      </c>
      <c r="E404" s="22" t="inlineStr">
        <is>
          <t>X: X search: IReV</t>
        </is>
      </c>
      <c r="F404" s="22" t="inlineStr">
        <is>
          <t>x:X search: IReV</t>
        </is>
      </c>
      <c r="G404" s="22" t="n">
        <v>0.128</v>
      </c>
      <c r="H404" s="22" t="n">
        <v>0</v>
      </c>
      <c r="I404" s="22" t="n">
        <v>1</v>
      </c>
      <c r="J404" s="22" t="n">
        <v>0</v>
      </c>
      <c r="K404" s="22" t="n">
        <v>0</v>
      </c>
      <c r="L404" s="22" t="n">
        <v>0</v>
      </c>
      <c r="M404" s="22" t="n">
        <v>0</v>
      </c>
      <c r="N404" s="22" t="n">
        <v>0</v>
      </c>
      <c r="O404" s="22" t="n">
        <v>0</v>
      </c>
      <c r="P404" s="22" t="n">
        <v>0</v>
      </c>
      <c r="Q404" s="22" t="n">
        <v>0</v>
      </c>
      <c r="R404" s="22" t="n">
        <v>0</v>
      </c>
      <c r="S404" s="22" t="n">
        <v>0</v>
      </c>
      <c r="T404" s="22" t="n">
        <v>0</v>
      </c>
      <c r="U404" s="3">
        <f>IF(OR(N404=1,Q404=1),1,0)</f>
        <v/>
      </c>
      <c r="V404" s="3">
        <f>IF(OR(T404=1,P404=1),1,0)</f>
        <v/>
      </c>
      <c r="W404" s="3">
        <f>IF(OR(J404=1),1,0)</f>
        <v/>
      </c>
      <c r="X404" s="3">
        <f>IF(OR(I404=1,H404=1),1,0)</f>
        <v/>
      </c>
      <c r="Y404" s="3">
        <f>IF(OR(G404=1),1,0)</f>
        <v/>
      </c>
      <c r="Z404" s="3">
        <f>IF(OR(F404=1),1,0)</f>
        <v/>
      </c>
      <c r="AA404" s="3">
        <f>IF(OR(M404=1),1,0)</f>
        <v/>
      </c>
    </row>
    <row r="405">
      <c r="A405" s="22" t="inlineStr">
        <is>
          <t>23cf344c1047de0fb2d7dcf738d8e3ca8967c57b</t>
        </is>
      </c>
      <c r="B405" s="22" t="inlineStr">
        <is>
          <t>2026-10</t>
        </is>
      </c>
      <c r="C405" s="22" t="inlineStr">
        <is>
          <t>X</t>
        </is>
      </c>
      <c r="D405" s="22" t="n">
        <v>1</v>
      </c>
      <c r="E405" s="22" t="inlineStr">
        <is>
          <t>X: X search: IReV</t>
        </is>
      </c>
      <c r="F405" s="22" t="inlineStr">
        <is>
          <t>x:X search: IReV</t>
        </is>
      </c>
      <c r="G405" s="22" t="n">
        <v>0.25</v>
      </c>
      <c r="H405" s="22" t="n">
        <v>1</v>
      </c>
      <c r="I405" s="22" t="n">
        <v>1</v>
      </c>
      <c r="J405" s="22" t="n">
        <v>0</v>
      </c>
      <c r="K405" s="22" t="n">
        <v>0</v>
      </c>
      <c r="L405" s="22" t="n">
        <v>0</v>
      </c>
      <c r="M405" s="22" t="n">
        <v>0</v>
      </c>
      <c r="N405" s="22" t="n">
        <v>0</v>
      </c>
      <c r="O405" s="22" t="n">
        <v>0</v>
      </c>
      <c r="P405" s="22" t="n">
        <v>0</v>
      </c>
      <c r="Q405" s="22" t="n">
        <v>0</v>
      </c>
      <c r="R405" s="22" t="n">
        <v>0</v>
      </c>
      <c r="S405" s="22" t="n">
        <v>0</v>
      </c>
      <c r="T405" s="22" t="n">
        <v>0</v>
      </c>
      <c r="U405" s="3">
        <f>IF(OR(N405=1,Q405=1),1,0)</f>
        <v/>
      </c>
      <c r="V405" s="3">
        <f>IF(OR(T405=1,P405=1),1,0)</f>
        <v/>
      </c>
      <c r="W405" s="3">
        <f>IF(OR(J405=1),1,0)</f>
        <v/>
      </c>
      <c r="X405" s="3">
        <f>IF(OR(I405=1,H405=1),1,0)</f>
        <v/>
      </c>
      <c r="Y405" s="3">
        <f>IF(OR(G405=1),1,0)</f>
        <v/>
      </c>
      <c r="Z405" s="3">
        <f>IF(OR(F405=1),1,0)</f>
        <v/>
      </c>
      <c r="AA405" s="3">
        <f>IF(OR(M405=1),1,0)</f>
        <v/>
      </c>
    </row>
    <row r="406">
      <c r="A406" s="22" t="inlineStr">
        <is>
          <t>18c5159ca30511853f283b453fb8844269767eec</t>
        </is>
      </c>
      <c r="B406" s="22" t="inlineStr">
        <is>
          <t>2026-10</t>
        </is>
      </c>
      <c r="C406" s="22" t="inlineStr">
        <is>
          <t>X</t>
        </is>
      </c>
      <c r="D406" s="22" t="n">
        <v>1</v>
      </c>
      <c r="E406" s="22" t="inlineStr">
        <is>
          <t>X: X search: IReV</t>
        </is>
      </c>
      <c r="F406" s="22" t="inlineStr">
        <is>
          <t>x:X search: IReV</t>
        </is>
      </c>
      <c r="G406" s="22" t="n">
        <v>-0.9340000000000001</v>
      </c>
      <c r="H406" s="22" t="n">
        <v>1</v>
      </c>
      <c r="I406" s="22" t="n">
        <v>1</v>
      </c>
      <c r="J406" s="22" t="n">
        <v>0</v>
      </c>
      <c r="K406" s="22" t="n">
        <v>0</v>
      </c>
      <c r="L406" s="22" t="n">
        <v>0</v>
      </c>
      <c r="M406" s="22" t="n">
        <v>0</v>
      </c>
      <c r="N406" s="22" t="n">
        <v>0</v>
      </c>
      <c r="O406" s="22" t="n">
        <v>0</v>
      </c>
      <c r="P406" s="22" t="n">
        <v>0</v>
      </c>
      <c r="Q406" s="22" t="n">
        <v>0</v>
      </c>
      <c r="R406" s="22" t="n">
        <v>0</v>
      </c>
      <c r="S406" s="22" t="n">
        <v>0</v>
      </c>
      <c r="T406" s="22" t="n">
        <v>0</v>
      </c>
      <c r="U406" s="3">
        <f>IF(OR(N406=1,Q406=1),1,0)</f>
        <v/>
      </c>
      <c r="V406" s="3">
        <f>IF(OR(T406=1,P406=1),1,0)</f>
        <v/>
      </c>
      <c r="W406" s="3">
        <f>IF(OR(J406=1),1,0)</f>
        <v/>
      </c>
      <c r="X406" s="3">
        <f>IF(OR(I406=1,H406=1),1,0)</f>
        <v/>
      </c>
      <c r="Y406" s="3">
        <f>IF(OR(G406=1),1,0)</f>
        <v/>
      </c>
      <c r="Z406" s="3">
        <f>IF(OR(F406=1),1,0)</f>
        <v/>
      </c>
      <c r="AA406" s="3">
        <f>IF(OR(M406=1),1,0)</f>
        <v/>
      </c>
    </row>
    <row r="407">
      <c r="A407" s="22" t="inlineStr">
        <is>
          <t>275f47befcd634ecf3bf0c94480523b9089098c6</t>
        </is>
      </c>
      <c r="B407" s="22" t="inlineStr">
        <is>
          <t>2026-10</t>
        </is>
      </c>
      <c r="C407" s="22" t="inlineStr">
        <is>
          <t>X</t>
        </is>
      </c>
      <c r="D407" s="22" t="n">
        <v>1</v>
      </c>
      <c r="E407" s="22" t="inlineStr">
        <is>
          <t>X: X search: IReV</t>
        </is>
      </c>
      <c r="F407" s="22" t="inlineStr">
        <is>
          <t>x:X search: IReV</t>
        </is>
      </c>
      <c r="G407" s="22" t="n">
        <v>-0.624</v>
      </c>
      <c r="H407" s="22" t="n">
        <v>1</v>
      </c>
      <c r="I407" s="22" t="n">
        <v>1</v>
      </c>
      <c r="J407" s="22" t="n">
        <v>0</v>
      </c>
      <c r="K407" s="22" t="n">
        <v>0</v>
      </c>
      <c r="L407" s="22" t="n">
        <v>0</v>
      </c>
      <c r="M407" s="22" t="n">
        <v>1</v>
      </c>
      <c r="N407" s="22" t="n">
        <v>0</v>
      </c>
      <c r="O407" s="22" t="n">
        <v>0</v>
      </c>
      <c r="P407" s="22" t="n">
        <v>0</v>
      </c>
      <c r="Q407" s="22" t="n">
        <v>0</v>
      </c>
      <c r="R407" s="22" t="n">
        <v>0</v>
      </c>
      <c r="S407" s="22" t="n">
        <v>0</v>
      </c>
      <c r="T407" s="22" t="n">
        <v>0</v>
      </c>
      <c r="U407" s="3">
        <f>IF(OR(N407=1,Q407=1),1,0)</f>
        <v/>
      </c>
      <c r="V407" s="3">
        <f>IF(OR(T407=1,P407=1),1,0)</f>
        <v/>
      </c>
      <c r="W407" s="3">
        <f>IF(OR(J407=1),1,0)</f>
        <v/>
      </c>
      <c r="X407" s="3">
        <f>IF(OR(I407=1,H407=1),1,0)</f>
        <v/>
      </c>
      <c r="Y407" s="3">
        <f>IF(OR(G407=1),1,0)</f>
        <v/>
      </c>
      <c r="Z407" s="3">
        <f>IF(OR(F407=1),1,0)</f>
        <v/>
      </c>
      <c r="AA407" s="3">
        <f>IF(OR(M407=1),1,0)</f>
        <v/>
      </c>
    </row>
    <row r="408">
      <c r="A408" s="22" t="inlineStr">
        <is>
          <t>c42050923c4c07dbda63e6eb31ae2794e371cfdd</t>
        </is>
      </c>
      <c r="B408" s="22" t="inlineStr">
        <is>
          <t>2026-10</t>
        </is>
      </c>
      <c r="C408" s="22" t="inlineStr">
        <is>
          <t>X</t>
        </is>
      </c>
      <c r="D408" s="22" t="n">
        <v>1</v>
      </c>
      <c r="E408" s="22" t="inlineStr">
        <is>
          <t>X: X search: IReV</t>
        </is>
      </c>
      <c r="F408" s="22" t="inlineStr">
        <is>
          <t>x:X search: IReV</t>
        </is>
      </c>
      <c r="G408" s="22" t="n">
        <v>0.353</v>
      </c>
      <c r="H408" s="22" t="n">
        <v>0</v>
      </c>
      <c r="I408" s="22" t="n">
        <v>1</v>
      </c>
      <c r="J408" s="22" t="n">
        <v>0</v>
      </c>
      <c r="K408" s="22" t="n">
        <v>0</v>
      </c>
      <c r="L408" s="22" t="n">
        <v>0</v>
      </c>
      <c r="M408" s="22" t="n">
        <v>0</v>
      </c>
      <c r="N408" s="22" t="n">
        <v>0</v>
      </c>
      <c r="O408" s="22" t="n">
        <v>0</v>
      </c>
      <c r="P408" s="22" t="n">
        <v>0</v>
      </c>
      <c r="Q408" s="22" t="n">
        <v>0</v>
      </c>
      <c r="R408" s="22" t="n">
        <v>0</v>
      </c>
      <c r="S408" s="22" t="n">
        <v>0</v>
      </c>
      <c r="T408" s="22" t="n">
        <v>0</v>
      </c>
      <c r="U408" s="3">
        <f>IF(OR(N408=1,Q408=1),1,0)</f>
        <v/>
      </c>
      <c r="V408" s="3">
        <f>IF(OR(T408=1,P408=1),1,0)</f>
        <v/>
      </c>
      <c r="W408" s="3">
        <f>IF(OR(J408=1),1,0)</f>
        <v/>
      </c>
      <c r="X408" s="3">
        <f>IF(OR(I408=1,H408=1),1,0)</f>
        <v/>
      </c>
      <c r="Y408" s="3">
        <f>IF(OR(G408=1),1,0)</f>
        <v/>
      </c>
      <c r="Z408" s="3">
        <f>IF(OR(F408=1),1,0)</f>
        <v/>
      </c>
      <c r="AA408" s="3">
        <f>IF(OR(M408=1),1,0)</f>
        <v/>
      </c>
    </row>
    <row r="409">
      <c r="A409" s="22" t="inlineStr">
        <is>
          <t>25326132d5ca5de6880f827c173a53a1dd3fcf88</t>
        </is>
      </c>
      <c r="B409" s="22" t="inlineStr">
        <is>
          <t>2026-10</t>
        </is>
      </c>
      <c r="C409" s="22" t="inlineStr">
        <is>
          <t>X</t>
        </is>
      </c>
      <c r="D409" s="22" t="n">
        <v>1</v>
      </c>
      <c r="E409" s="22" t="inlineStr">
        <is>
          <t>X: X search: IReV</t>
        </is>
      </c>
      <c r="F409" s="22" t="inlineStr">
        <is>
          <t>x:X search: IReV</t>
        </is>
      </c>
      <c r="G409" s="22" t="n">
        <v>0.192</v>
      </c>
      <c r="H409" s="22" t="n">
        <v>0</v>
      </c>
      <c r="I409" s="22" t="n">
        <v>1</v>
      </c>
      <c r="J409" s="22" t="n">
        <v>0</v>
      </c>
      <c r="K409" s="22" t="n">
        <v>0</v>
      </c>
      <c r="L409" s="22" t="n">
        <v>0</v>
      </c>
      <c r="M409" s="22" t="n">
        <v>0</v>
      </c>
      <c r="N409" s="22" t="n">
        <v>0</v>
      </c>
      <c r="O409" s="22" t="n">
        <v>0</v>
      </c>
      <c r="P409" s="22" t="n">
        <v>0</v>
      </c>
      <c r="Q409" s="22" t="n">
        <v>0</v>
      </c>
      <c r="R409" s="22" t="n">
        <v>0</v>
      </c>
      <c r="S409" s="22" t="n">
        <v>0</v>
      </c>
      <c r="T409" s="22" t="n">
        <v>0</v>
      </c>
      <c r="U409" s="3">
        <f>IF(OR(N409=1,Q409=1),1,0)</f>
        <v/>
      </c>
      <c r="V409" s="3">
        <f>IF(OR(T409=1,P409=1),1,0)</f>
        <v/>
      </c>
      <c r="W409" s="3">
        <f>IF(OR(J409=1),1,0)</f>
        <v/>
      </c>
      <c r="X409" s="3">
        <f>IF(OR(I409=1,H409=1),1,0)</f>
        <v/>
      </c>
      <c r="Y409" s="3">
        <f>IF(OR(G409=1),1,0)</f>
        <v/>
      </c>
      <c r="Z409" s="3">
        <f>IF(OR(F409=1),1,0)</f>
        <v/>
      </c>
      <c r="AA409" s="3">
        <f>IF(OR(M409=1),1,0)</f>
        <v/>
      </c>
    </row>
    <row r="410">
      <c r="A410" s="22" t="inlineStr">
        <is>
          <t>f329d5dbbe3fd6624b65dec8d9466ba4c3d9187e</t>
        </is>
      </c>
      <c r="B410" s="22" t="inlineStr">
        <is>
          <t>2026-10</t>
        </is>
      </c>
      <c r="C410" s="22" t="inlineStr">
        <is>
          <t>X</t>
        </is>
      </c>
      <c r="D410" s="22" t="n">
        <v>1</v>
      </c>
      <c r="E410" s="22" t="inlineStr">
        <is>
          <t>X: X search: IReV</t>
        </is>
      </c>
      <c r="F410" s="22" t="inlineStr">
        <is>
          <t>x:X search: IReV</t>
        </is>
      </c>
      <c r="G410" s="22" t="n">
        <v>0.431</v>
      </c>
      <c r="H410" s="22" t="n">
        <v>1</v>
      </c>
      <c r="I410" s="22" t="n">
        <v>1</v>
      </c>
      <c r="J410" s="22" t="n">
        <v>0</v>
      </c>
      <c r="K410" s="22" t="n">
        <v>0</v>
      </c>
      <c r="L410" s="22" t="n">
        <v>0</v>
      </c>
      <c r="M410" s="22" t="n">
        <v>0</v>
      </c>
      <c r="N410" s="22" t="n">
        <v>0</v>
      </c>
      <c r="O410" s="22" t="n">
        <v>0</v>
      </c>
      <c r="P410" s="22" t="n">
        <v>0</v>
      </c>
      <c r="Q410" s="22" t="n">
        <v>0</v>
      </c>
      <c r="R410" s="22" t="n">
        <v>0</v>
      </c>
      <c r="S410" s="22" t="n">
        <v>0</v>
      </c>
      <c r="T410" s="22" t="n">
        <v>0</v>
      </c>
      <c r="U410" s="3">
        <f>IF(OR(N410=1,Q410=1),1,0)</f>
        <v/>
      </c>
      <c r="V410" s="3">
        <f>IF(OR(T410=1,P410=1),1,0)</f>
        <v/>
      </c>
      <c r="W410" s="3">
        <f>IF(OR(J410=1),1,0)</f>
        <v/>
      </c>
      <c r="X410" s="3">
        <f>IF(OR(I410=1,H410=1),1,0)</f>
        <v/>
      </c>
      <c r="Y410" s="3">
        <f>IF(OR(G410=1),1,0)</f>
        <v/>
      </c>
      <c r="Z410" s="3">
        <f>IF(OR(F410=1),1,0)</f>
        <v/>
      </c>
      <c r="AA410" s="3">
        <f>IF(OR(M410=1),1,0)</f>
        <v/>
      </c>
    </row>
    <row r="411">
      <c r="A411" s="22" t="inlineStr">
        <is>
          <t>f2c6c9764411aab4fc02a7e8163d608fedd79a4e</t>
        </is>
      </c>
      <c r="B411" s="22" t="inlineStr">
        <is>
          <t>2026-10</t>
        </is>
      </c>
      <c r="C411" s="22" t="inlineStr">
        <is>
          <t>X</t>
        </is>
      </c>
      <c r="D411" s="22" t="n">
        <v>1</v>
      </c>
      <c r="E411" s="22" t="inlineStr">
        <is>
          <t>X: X search: IReV</t>
        </is>
      </c>
      <c r="F411" s="22" t="inlineStr">
        <is>
          <t>x:X search: IReV</t>
        </is>
      </c>
      <c r="G411" s="22" t="n">
        <v>0.84</v>
      </c>
      <c r="H411" s="22" t="n">
        <v>0</v>
      </c>
      <c r="I411" s="22" t="n">
        <v>1</v>
      </c>
      <c r="J411" s="22" t="n">
        <v>0</v>
      </c>
      <c r="K411" s="22" t="n">
        <v>0</v>
      </c>
      <c r="L411" s="22" t="n">
        <v>0</v>
      </c>
      <c r="M411" s="22" t="n">
        <v>0</v>
      </c>
      <c r="N411" s="22" t="n">
        <v>0</v>
      </c>
      <c r="O411" s="22" t="n">
        <v>0</v>
      </c>
      <c r="P411" s="22" t="n">
        <v>0</v>
      </c>
      <c r="Q411" s="22" t="n">
        <v>0</v>
      </c>
      <c r="R411" s="22" t="n">
        <v>0</v>
      </c>
      <c r="S411" s="22" t="n">
        <v>0</v>
      </c>
      <c r="T411" s="22" t="n">
        <v>0</v>
      </c>
      <c r="U411" s="3">
        <f>IF(OR(N411=1,Q411=1),1,0)</f>
        <v/>
      </c>
      <c r="V411" s="3">
        <f>IF(OR(T411=1,P411=1),1,0)</f>
        <v/>
      </c>
      <c r="W411" s="3">
        <f>IF(OR(J411=1),1,0)</f>
        <v/>
      </c>
      <c r="X411" s="3">
        <f>IF(OR(I411=1,H411=1),1,0)</f>
        <v/>
      </c>
      <c r="Y411" s="3">
        <f>IF(OR(G411=1),1,0)</f>
        <v/>
      </c>
      <c r="Z411" s="3">
        <f>IF(OR(F411=1),1,0)</f>
        <v/>
      </c>
      <c r="AA411" s="3">
        <f>IF(OR(M411=1),1,0)</f>
        <v/>
      </c>
    </row>
    <row r="412">
      <c r="A412" s="22" t="inlineStr">
        <is>
          <t>2addab597aefca840ec19ad7c89e7f8d98098e22</t>
        </is>
      </c>
      <c r="B412" s="22" t="inlineStr">
        <is>
          <t>2026-10</t>
        </is>
      </c>
      <c r="C412" s="22" t="inlineStr">
        <is>
          <t>X</t>
        </is>
      </c>
      <c r="D412" s="22" t="n">
        <v>1</v>
      </c>
      <c r="E412" s="22" t="inlineStr">
        <is>
          <t>X: X search: IReV</t>
        </is>
      </c>
      <c r="F412" s="22" t="inlineStr">
        <is>
          <t>x:X search: IReV</t>
        </is>
      </c>
      <c r="G412" s="22" t="n">
        <v>-0.527</v>
      </c>
      <c r="H412" s="22" t="n">
        <v>1</v>
      </c>
      <c r="I412" s="22" t="n">
        <v>1</v>
      </c>
      <c r="J412" s="22" t="n">
        <v>0</v>
      </c>
      <c r="K412" s="22" t="n">
        <v>0</v>
      </c>
      <c r="L412" s="22" t="n">
        <v>0</v>
      </c>
      <c r="M412" s="22" t="n">
        <v>1</v>
      </c>
      <c r="N412" s="22" t="n">
        <v>0</v>
      </c>
      <c r="O412" s="22" t="n">
        <v>0</v>
      </c>
      <c r="P412" s="22" t="n">
        <v>0</v>
      </c>
      <c r="Q412" s="22" t="n">
        <v>0</v>
      </c>
      <c r="R412" s="22" t="n">
        <v>0</v>
      </c>
      <c r="S412" s="22" t="n">
        <v>0</v>
      </c>
      <c r="T412" s="22" t="n">
        <v>0</v>
      </c>
      <c r="U412" s="3">
        <f>IF(OR(N412=1,Q412=1),1,0)</f>
        <v/>
      </c>
      <c r="V412" s="3">
        <f>IF(OR(T412=1,P412=1),1,0)</f>
        <v/>
      </c>
      <c r="W412" s="3">
        <f>IF(OR(J412=1),1,0)</f>
        <v/>
      </c>
      <c r="X412" s="3">
        <f>IF(OR(I412=1,H412=1),1,0)</f>
        <v/>
      </c>
      <c r="Y412" s="3">
        <f>IF(OR(G412=1),1,0)</f>
        <v/>
      </c>
      <c r="Z412" s="3">
        <f>IF(OR(F412=1),1,0)</f>
        <v/>
      </c>
      <c r="AA412" s="3">
        <f>IF(OR(M412=1),1,0)</f>
        <v/>
      </c>
    </row>
    <row r="413">
      <c r="A413" s="22" t="inlineStr">
        <is>
          <t>16bc4cd6b9a172e6fefe7ffb3882a1add72fbb93</t>
        </is>
      </c>
      <c r="B413" s="22" t="inlineStr">
        <is>
          <t>2026-10</t>
        </is>
      </c>
      <c r="C413" s="22" t="inlineStr">
        <is>
          <t>X</t>
        </is>
      </c>
      <c r="D413" s="22" t="n">
        <v>1</v>
      </c>
      <c r="E413" s="22" t="inlineStr">
        <is>
          <t>X: X search: IReV</t>
        </is>
      </c>
      <c r="F413" s="22" t="inlineStr">
        <is>
          <t>x:X search: IReV</t>
        </is>
      </c>
      <c r="G413" s="22" t="n">
        <v>-0.586</v>
      </c>
      <c r="H413" s="22" t="n">
        <v>1</v>
      </c>
      <c r="I413" s="22" t="n">
        <v>1</v>
      </c>
      <c r="J413" s="22" t="n">
        <v>0</v>
      </c>
      <c r="K413" s="22" t="n">
        <v>0</v>
      </c>
      <c r="L413" s="22" t="n">
        <v>0</v>
      </c>
      <c r="M413" s="22" t="n">
        <v>1</v>
      </c>
      <c r="N413" s="22" t="n">
        <v>0</v>
      </c>
      <c r="O413" s="22" t="n">
        <v>0</v>
      </c>
      <c r="P413" s="22" t="n">
        <v>0</v>
      </c>
      <c r="Q413" s="22" t="n">
        <v>0</v>
      </c>
      <c r="R413" s="22" t="n">
        <v>0</v>
      </c>
      <c r="S413" s="22" t="n">
        <v>0</v>
      </c>
      <c r="T413" s="22" t="n">
        <v>0</v>
      </c>
      <c r="U413" s="3">
        <f>IF(OR(N413=1,Q413=1),1,0)</f>
        <v/>
      </c>
      <c r="V413" s="3">
        <f>IF(OR(T413=1,P413=1),1,0)</f>
        <v/>
      </c>
      <c r="W413" s="3">
        <f>IF(OR(J413=1),1,0)</f>
        <v/>
      </c>
      <c r="X413" s="3">
        <f>IF(OR(I413=1,H413=1),1,0)</f>
        <v/>
      </c>
      <c r="Y413" s="3">
        <f>IF(OR(G413=1),1,0)</f>
        <v/>
      </c>
      <c r="Z413" s="3">
        <f>IF(OR(F413=1),1,0)</f>
        <v/>
      </c>
      <c r="AA413" s="3">
        <f>IF(OR(M413=1),1,0)</f>
        <v/>
      </c>
    </row>
    <row r="414">
      <c r="A414" s="22" t="inlineStr">
        <is>
          <t>b95199f9803fcf1646d67e97df5e87b70c9eebb5</t>
        </is>
      </c>
      <c r="B414" s="22" t="inlineStr">
        <is>
          <t>2026-10</t>
        </is>
      </c>
      <c r="C414" s="22" t="inlineStr">
        <is>
          <t>X</t>
        </is>
      </c>
      <c r="D414" s="22" t="n">
        <v>1</v>
      </c>
      <c r="E414" s="22" t="inlineStr">
        <is>
          <t>X: X search: IReV</t>
        </is>
      </c>
      <c r="F414" s="22" t="inlineStr">
        <is>
          <t>x:X search: IReV</t>
        </is>
      </c>
      <c r="G414" s="22" t="n">
        <v>0.57</v>
      </c>
      <c r="H414" s="22" t="n">
        <v>0</v>
      </c>
      <c r="I414" s="22" t="n">
        <v>1</v>
      </c>
      <c r="J414" s="22" t="n">
        <v>0</v>
      </c>
      <c r="K414" s="22" t="n">
        <v>0</v>
      </c>
      <c r="L414" s="22" t="n">
        <v>0</v>
      </c>
      <c r="M414" s="22" t="n">
        <v>0</v>
      </c>
      <c r="N414" s="22" t="n">
        <v>0</v>
      </c>
      <c r="O414" s="22" t="n">
        <v>0</v>
      </c>
      <c r="P414" s="22" t="n">
        <v>0</v>
      </c>
      <c r="Q414" s="22" t="n">
        <v>0</v>
      </c>
      <c r="R414" s="22" t="n">
        <v>0</v>
      </c>
      <c r="S414" s="22" t="n">
        <v>0</v>
      </c>
      <c r="T414" s="22" t="n">
        <v>0</v>
      </c>
      <c r="U414" s="3">
        <f>IF(OR(N414=1,Q414=1),1,0)</f>
        <v/>
      </c>
      <c r="V414" s="3">
        <f>IF(OR(T414=1,P414=1),1,0)</f>
        <v/>
      </c>
      <c r="W414" s="3">
        <f>IF(OR(J414=1),1,0)</f>
        <v/>
      </c>
      <c r="X414" s="3">
        <f>IF(OR(I414=1,H414=1),1,0)</f>
        <v/>
      </c>
      <c r="Y414" s="3">
        <f>IF(OR(G414=1),1,0)</f>
        <v/>
      </c>
      <c r="Z414" s="3">
        <f>IF(OR(F414=1),1,0)</f>
        <v/>
      </c>
      <c r="AA414" s="3">
        <f>IF(OR(M414=1),1,0)</f>
        <v/>
      </c>
    </row>
    <row r="415">
      <c r="A415" s="22" t="inlineStr">
        <is>
          <t>d727e4e5e995c22eb3bdd6197342c2cc6fc1ff91</t>
        </is>
      </c>
      <c r="B415" s="22" t="inlineStr">
        <is>
          <t>2026-10</t>
        </is>
      </c>
      <c r="C415" s="22" t="inlineStr">
        <is>
          <t>X</t>
        </is>
      </c>
      <c r="D415" s="22" t="n">
        <v>1</v>
      </c>
      <c r="E415" s="22" t="inlineStr">
        <is>
          <t>X: X search: IReV</t>
        </is>
      </c>
      <c r="F415" s="22" t="inlineStr">
        <is>
          <t>x:X search: IReV</t>
        </is>
      </c>
      <c r="G415" s="22" t="n">
        <v>0.569</v>
      </c>
      <c r="H415" s="22" t="n">
        <v>0</v>
      </c>
      <c r="I415" s="22" t="n">
        <v>1</v>
      </c>
      <c r="J415" s="22" t="n">
        <v>0</v>
      </c>
      <c r="K415" s="22" t="n">
        <v>0</v>
      </c>
      <c r="L415" s="22" t="n">
        <v>0</v>
      </c>
      <c r="M415" s="22" t="n">
        <v>0</v>
      </c>
      <c r="N415" s="22" t="n">
        <v>0</v>
      </c>
      <c r="O415" s="22" t="n">
        <v>0</v>
      </c>
      <c r="P415" s="22" t="n">
        <v>0</v>
      </c>
      <c r="Q415" s="22" t="n">
        <v>0</v>
      </c>
      <c r="R415" s="22" t="n">
        <v>0</v>
      </c>
      <c r="S415" s="22" t="n">
        <v>0</v>
      </c>
      <c r="T415" s="22" t="n">
        <v>0</v>
      </c>
      <c r="U415" s="3">
        <f>IF(OR(N415=1,Q415=1),1,0)</f>
        <v/>
      </c>
      <c r="V415" s="3">
        <f>IF(OR(T415=1,P415=1),1,0)</f>
        <v/>
      </c>
      <c r="W415" s="3">
        <f>IF(OR(J415=1),1,0)</f>
        <v/>
      </c>
      <c r="X415" s="3">
        <f>IF(OR(I415=1,H415=1),1,0)</f>
        <v/>
      </c>
      <c r="Y415" s="3">
        <f>IF(OR(G415=1),1,0)</f>
        <v/>
      </c>
      <c r="Z415" s="3">
        <f>IF(OR(F415=1),1,0)</f>
        <v/>
      </c>
      <c r="AA415" s="3">
        <f>IF(OR(M415=1),1,0)</f>
        <v/>
      </c>
    </row>
    <row r="416">
      <c r="A416" s="22" t="inlineStr">
        <is>
          <t>44073635b580a9bbf653eb92c957b1a7dfbb8dec</t>
        </is>
      </c>
      <c r="B416" s="22" t="inlineStr">
        <is>
          <t>2026-10</t>
        </is>
      </c>
      <c r="C416" s="22" t="inlineStr">
        <is>
          <t>X</t>
        </is>
      </c>
      <c r="D416" s="22" t="n">
        <v>1</v>
      </c>
      <c r="E416" s="22" t="inlineStr">
        <is>
          <t>X: X search: IReV</t>
        </is>
      </c>
      <c r="F416" s="22" t="inlineStr">
        <is>
          <t>x:X search: IReV</t>
        </is>
      </c>
      <c r="G416" s="22" t="n">
        <v>0.758</v>
      </c>
      <c r="H416" s="22" t="n">
        <v>0</v>
      </c>
      <c r="I416" s="22" t="n">
        <v>1</v>
      </c>
      <c r="J416" s="22" t="n">
        <v>0</v>
      </c>
      <c r="K416" s="22" t="n">
        <v>0</v>
      </c>
      <c r="L416" s="22" t="n">
        <v>0</v>
      </c>
      <c r="M416" s="22" t="n">
        <v>0</v>
      </c>
      <c r="N416" s="22" t="n">
        <v>0</v>
      </c>
      <c r="O416" s="22" t="n">
        <v>1</v>
      </c>
      <c r="P416" s="22" t="n">
        <v>0</v>
      </c>
      <c r="Q416" s="22" t="n">
        <v>0</v>
      </c>
      <c r="R416" s="22" t="n">
        <v>0</v>
      </c>
      <c r="S416" s="22" t="n">
        <v>0</v>
      </c>
      <c r="T416" s="22" t="n">
        <v>0</v>
      </c>
      <c r="U416" s="3">
        <f>IF(OR(N416=1,Q416=1),1,0)</f>
        <v/>
      </c>
      <c r="V416" s="3">
        <f>IF(OR(T416=1,P416=1),1,0)</f>
        <v/>
      </c>
      <c r="W416" s="3">
        <f>IF(OR(J416=1),1,0)</f>
        <v/>
      </c>
      <c r="X416" s="3">
        <f>IF(OR(I416=1,H416=1),1,0)</f>
        <v/>
      </c>
      <c r="Y416" s="3">
        <f>IF(OR(G416=1),1,0)</f>
        <v/>
      </c>
      <c r="Z416" s="3">
        <f>IF(OR(F416=1),1,0)</f>
        <v/>
      </c>
      <c r="AA416" s="3">
        <f>IF(OR(M416=1),1,0)</f>
        <v/>
      </c>
    </row>
    <row r="417">
      <c r="A417" s="22" t="inlineStr">
        <is>
          <t>556f4efa422ca46d935ede05bc5833617994e19b</t>
        </is>
      </c>
      <c r="B417" s="22" t="inlineStr">
        <is>
          <t>2026-10</t>
        </is>
      </c>
      <c r="C417" s="22" t="inlineStr">
        <is>
          <t>Nairaland</t>
        </is>
      </c>
      <c r="D417" s="22" t="n">
        <v>0</v>
      </c>
      <c r="E417" s="22" t="inlineStr">
        <is>
          <t>Nairaland: Nairaland</t>
        </is>
      </c>
      <c r="F417" s="22" t="inlineStr">
        <is>
          <t>nairaland:Nairaland</t>
        </is>
      </c>
      <c r="G417" s="22" t="n">
        <v>-0.511</v>
      </c>
      <c r="H417" s="22" t="n">
        <v>1</v>
      </c>
      <c r="I417" s="22" t="n">
        <v>0</v>
      </c>
      <c r="J417" s="22" t="n">
        <v>0</v>
      </c>
      <c r="K417" s="22" t="n">
        <v>0</v>
      </c>
      <c r="L417" s="22" t="n">
        <v>0</v>
      </c>
      <c r="M417" s="22" t="n">
        <v>0</v>
      </c>
      <c r="N417" s="22" t="n">
        <v>0</v>
      </c>
      <c r="O417" s="22" t="n">
        <v>0</v>
      </c>
      <c r="P417" s="22" t="n">
        <v>0</v>
      </c>
      <c r="Q417" s="22" t="n">
        <v>0</v>
      </c>
      <c r="R417" s="22" t="n">
        <v>0</v>
      </c>
      <c r="S417" s="22" t="n">
        <v>0</v>
      </c>
      <c r="T417" s="22" t="n">
        <v>0</v>
      </c>
      <c r="U417" s="3">
        <f>IF(OR(N417=1,Q417=1),1,0)</f>
        <v/>
      </c>
      <c r="V417" s="3">
        <f>IF(OR(T417=1,P417=1),1,0)</f>
        <v/>
      </c>
      <c r="W417" s="3">
        <f>IF(OR(J417=1),1,0)</f>
        <v/>
      </c>
      <c r="X417" s="3">
        <f>IF(OR(I417=1,H417=1),1,0)</f>
        <v/>
      </c>
      <c r="Y417" s="3">
        <f>IF(OR(G417=1),1,0)</f>
        <v/>
      </c>
      <c r="Z417" s="3">
        <f>IF(OR(F417=1),1,0)</f>
        <v/>
      </c>
      <c r="AA417" s="3">
        <f>IF(OR(M417=1),1,0)</f>
        <v/>
      </c>
    </row>
    <row r="418">
      <c r="A418" s="22" t="inlineStr">
        <is>
          <t>474cdffc94f33a19d47f3d9cb179711390c152b0</t>
        </is>
      </c>
      <c r="B418" s="22" t="inlineStr">
        <is>
          <t>2026-10</t>
        </is>
      </c>
      <c r="C418" s="22" t="inlineStr">
        <is>
          <t>Nairaland</t>
        </is>
      </c>
      <c r="D418" s="22" t="n">
        <v>0</v>
      </c>
      <c r="E418" s="22" t="inlineStr">
        <is>
          <t>Nairaland: Nairaland</t>
        </is>
      </c>
      <c r="F418" s="22" t="inlineStr">
        <is>
          <t>nairaland:Nairaland</t>
        </is>
      </c>
      <c r="G418" s="22" t="n">
        <v>-0.772</v>
      </c>
      <c r="H418" s="22" t="n">
        <v>1</v>
      </c>
      <c r="I418" s="22" t="n">
        <v>0</v>
      </c>
      <c r="J418" s="22" t="n">
        <v>0</v>
      </c>
      <c r="K418" s="22" t="n">
        <v>0</v>
      </c>
      <c r="L418" s="22" t="n">
        <v>0</v>
      </c>
      <c r="M418" s="22" t="n">
        <v>0</v>
      </c>
      <c r="N418" s="22" t="n">
        <v>0</v>
      </c>
      <c r="O418" s="22" t="n">
        <v>0</v>
      </c>
      <c r="P418" s="22" t="n">
        <v>0</v>
      </c>
      <c r="Q418" s="22" t="n">
        <v>0</v>
      </c>
      <c r="R418" s="22" t="n">
        <v>0</v>
      </c>
      <c r="S418" s="22" t="n">
        <v>0</v>
      </c>
      <c r="T418" s="22" t="n">
        <v>0</v>
      </c>
      <c r="U418" s="3">
        <f>IF(OR(N418=1,Q418=1),1,0)</f>
        <v/>
      </c>
      <c r="V418" s="3">
        <f>IF(OR(T418=1,P418=1),1,0)</f>
        <v/>
      </c>
      <c r="W418" s="3">
        <f>IF(OR(J418=1),1,0)</f>
        <v/>
      </c>
      <c r="X418" s="3">
        <f>IF(OR(I418=1,H418=1),1,0)</f>
        <v/>
      </c>
      <c r="Y418" s="3">
        <f>IF(OR(G418=1),1,0)</f>
        <v/>
      </c>
      <c r="Z418" s="3">
        <f>IF(OR(F418=1),1,0)</f>
        <v/>
      </c>
      <c r="AA418" s="3">
        <f>IF(OR(M418=1),1,0)</f>
        <v/>
      </c>
    </row>
    <row r="419">
      <c r="A419" s="22" t="inlineStr">
        <is>
          <t>3e5c90c6e2148ea929ef906ba869864bf3132aac</t>
        </is>
      </c>
      <c r="B419" s="22" t="inlineStr">
        <is>
          <t>2026-10</t>
        </is>
      </c>
      <c r="C419" s="22" t="inlineStr">
        <is>
          <t>Nairaland</t>
        </is>
      </c>
      <c r="D419" s="22" t="n">
        <v>0</v>
      </c>
      <c r="E419" s="22" t="inlineStr">
        <is>
          <t>Nairaland: Nairaland</t>
        </is>
      </c>
      <c r="F419" s="22" t="inlineStr">
        <is>
          <t>nairaland:Nairaland</t>
        </is>
      </c>
      <c r="G419" s="22" t="n">
        <v>0.534</v>
      </c>
      <c r="H419" s="22" t="n">
        <v>0</v>
      </c>
      <c r="I419" s="22" t="n">
        <v>0</v>
      </c>
      <c r="J419" s="22" t="n">
        <v>0</v>
      </c>
      <c r="K419" s="22" t="n">
        <v>0</v>
      </c>
      <c r="L419" s="22" t="n">
        <v>0</v>
      </c>
      <c r="M419" s="22" t="n">
        <v>0</v>
      </c>
      <c r="N419" s="22" t="n">
        <v>0</v>
      </c>
      <c r="O419" s="22" t="n">
        <v>0</v>
      </c>
      <c r="P419" s="22" t="n">
        <v>0</v>
      </c>
      <c r="Q419" s="22" t="n">
        <v>0</v>
      </c>
      <c r="R419" s="22" t="n">
        <v>0</v>
      </c>
      <c r="S419" s="22" t="n">
        <v>0</v>
      </c>
      <c r="T419" s="22" t="n">
        <v>0</v>
      </c>
      <c r="U419" s="3">
        <f>IF(OR(N419=1,Q419=1),1,0)</f>
        <v/>
      </c>
      <c r="V419" s="3">
        <f>IF(OR(T419=1,P419=1),1,0)</f>
        <v/>
      </c>
      <c r="W419" s="3">
        <f>IF(OR(J419=1),1,0)</f>
        <v/>
      </c>
      <c r="X419" s="3">
        <f>IF(OR(I419=1,H419=1),1,0)</f>
        <v/>
      </c>
      <c r="Y419" s="3">
        <f>IF(OR(G419=1),1,0)</f>
        <v/>
      </c>
      <c r="Z419" s="3">
        <f>IF(OR(F419=1),1,0)</f>
        <v/>
      </c>
      <c r="AA419" s="3">
        <f>IF(OR(M419=1),1,0)</f>
        <v/>
      </c>
    </row>
    <row r="420">
      <c r="A420" s="22" t="inlineStr">
        <is>
          <t>2f0a0049d9601b3ea2f7c424b4c31da85afa9cb3</t>
        </is>
      </c>
      <c r="B420" s="22" t="inlineStr">
        <is>
          <t>2026-10</t>
        </is>
      </c>
      <c r="C420" s="22" t="inlineStr">
        <is>
          <t>Nairaland</t>
        </is>
      </c>
      <c r="D420" s="22" t="n">
        <v>0</v>
      </c>
      <c r="E420" s="22" t="inlineStr">
        <is>
          <t>Nairaland: Nairaland</t>
        </is>
      </c>
      <c r="F420" s="22" t="inlineStr">
        <is>
          <t>nairaland:Nairaland</t>
        </is>
      </c>
      <c r="G420" s="22" t="n">
        <v>-0.736</v>
      </c>
      <c r="H420" s="22" t="n">
        <v>1</v>
      </c>
      <c r="I420" s="22" t="n">
        <v>0</v>
      </c>
      <c r="J420" s="22" t="n">
        <v>0</v>
      </c>
      <c r="K420" s="22" t="n">
        <v>0</v>
      </c>
      <c r="L420" s="22" t="n">
        <v>0</v>
      </c>
      <c r="M420" s="22" t="n">
        <v>0</v>
      </c>
      <c r="N420" s="22" t="n">
        <v>0</v>
      </c>
      <c r="O420" s="22" t="n">
        <v>0</v>
      </c>
      <c r="P420" s="22" t="n">
        <v>0</v>
      </c>
      <c r="Q420" s="22" t="n">
        <v>0</v>
      </c>
      <c r="R420" s="22" t="n">
        <v>0</v>
      </c>
      <c r="S420" s="22" t="n">
        <v>0</v>
      </c>
      <c r="T420" s="22" t="n">
        <v>0</v>
      </c>
      <c r="U420" s="3">
        <f>IF(OR(N420=1,Q420=1),1,0)</f>
        <v/>
      </c>
      <c r="V420" s="3">
        <f>IF(OR(T420=1,P420=1),1,0)</f>
        <v/>
      </c>
      <c r="W420" s="3">
        <f>IF(OR(J420=1),1,0)</f>
        <v/>
      </c>
      <c r="X420" s="3">
        <f>IF(OR(I420=1,H420=1),1,0)</f>
        <v/>
      </c>
      <c r="Y420" s="3">
        <f>IF(OR(G420=1),1,0)</f>
        <v/>
      </c>
      <c r="Z420" s="3">
        <f>IF(OR(F420=1),1,0)</f>
        <v/>
      </c>
      <c r="AA420" s="3">
        <f>IF(OR(M420=1),1,0)</f>
        <v/>
      </c>
    </row>
    <row r="421">
      <c r="A421" s="22" t="inlineStr">
        <is>
          <t>6e4964eed6e7e4fe28514bb0a03f0afe0bad2aab</t>
        </is>
      </c>
      <c r="B421" s="22" t="inlineStr">
        <is>
          <t>2026-10</t>
        </is>
      </c>
      <c r="C421" s="22" t="inlineStr">
        <is>
          <t>Nairaland</t>
        </is>
      </c>
      <c r="D421" s="22" t="n">
        <v>0</v>
      </c>
      <c r="E421" s="22" t="inlineStr">
        <is>
          <t>Nairaland: Nairaland</t>
        </is>
      </c>
      <c r="F421" s="22" t="inlineStr">
        <is>
          <t>nairaland:Nairaland</t>
        </is>
      </c>
      <c r="G421" s="22" t="n">
        <v>0.712</v>
      </c>
      <c r="H421" s="22" t="n">
        <v>0</v>
      </c>
      <c r="I421" s="22" t="n">
        <v>0</v>
      </c>
      <c r="J421" s="22" t="n">
        <v>0</v>
      </c>
      <c r="K421" s="22" t="n">
        <v>0</v>
      </c>
      <c r="L421" s="22" t="n">
        <v>0</v>
      </c>
      <c r="M421" s="22" t="n">
        <v>0</v>
      </c>
      <c r="N421" s="22" t="n">
        <v>0</v>
      </c>
      <c r="O421" s="22" t="n">
        <v>0</v>
      </c>
      <c r="P421" s="22" t="n">
        <v>0</v>
      </c>
      <c r="Q421" s="22" t="n">
        <v>0</v>
      </c>
      <c r="R421" s="22" t="n">
        <v>0</v>
      </c>
      <c r="S421" s="22" t="n">
        <v>0</v>
      </c>
      <c r="T421" s="22" t="n">
        <v>0</v>
      </c>
      <c r="U421" s="3">
        <f>IF(OR(N421=1,Q421=1),1,0)</f>
        <v/>
      </c>
      <c r="V421" s="3">
        <f>IF(OR(T421=1,P421=1),1,0)</f>
        <v/>
      </c>
      <c r="W421" s="3">
        <f>IF(OR(J421=1),1,0)</f>
        <v/>
      </c>
      <c r="X421" s="3">
        <f>IF(OR(I421=1,H421=1),1,0)</f>
        <v/>
      </c>
      <c r="Y421" s="3">
        <f>IF(OR(G421=1),1,0)</f>
        <v/>
      </c>
      <c r="Z421" s="3">
        <f>IF(OR(F421=1),1,0)</f>
        <v/>
      </c>
      <c r="AA421" s="3">
        <f>IF(OR(M421=1),1,0)</f>
        <v/>
      </c>
    </row>
    <row r="422">
      <c r="A422" s="22" t="inlineStr">
        <is>
          <t>c9cca679110d85e1f4effbccaa346a1a7b7167e4</t>
        </is>
      </c>
      <c r="B422" s="22" t="inlineStr">
        <is>
          <t>2026-10</t>
        </is>
      </c>
      <c r="C422" s="22" t="inlineStr">
        <is>
          <t>Nairaland</t>
        </is>
      </c>
      <c r="D422" s="22" t="n">
        <v>0</v>
      </c>
      <c r="E422" s="22" t="inlineStr">
        <is>
          <t>Nairaland: Nairaland</t>
        </is>
      </c>
      <c r="F422" s="22" t="inlineStr">
        <is>
          <t>nairaland:Nairaland</t>
        </is>
      </c>
      <c r="G422" s="22" t="n">
        <v>-0.474</v>
      </c>
      <c r="H422" s="22" t="n">
        <v>0</v>
      </c>
      <c r="I422" s="22" t="n">
        <v>0</v>
      </c>
      <c r="J422" s="22" t="n">
        <v>0</v>
      </c>
      <c r="K422" s="22" t="n">
        <v>0</v>
      </c>
      <c r="L422" s="22" t="n">
        <v>0</v>
      </c>
      <c r="M422" s="22" t="n">
        <v>1</v>
      </c>
      <c r="N422" s="22" t="n">
        <v>0</v>
      </c>
      <c r="O422" s="22" t="n">
        <v>0</v>
      </c>
      <c r="P422" s="22" t="n">
        <v>0</v>
      </c>
      <c r="Q422" s="22" t="n">
        <v>0</v>
      </c>
      <c r="R422" s="22" t="n">
        <v>0</v>
      </c>
      <c r="S422" s="22" t="n">
        <v>0</v>
      </c>
      <c r="T422" s="22" t="n">
        <v>0</v>
      </c>
      <c r="U422" s="3">
        <f>IF(OR(N422=1,Q422=1),1,0)</f>
        <v/>
      </c>
      <c r="V422" s="3">
        <f>IF(OR(T422=1,P422=1),1,0)</f>
        <v/>
      </c>
      <c r="W422" s="3">
        <f>IF(OR(J422=1),1,0)</f>
        <v/>
      </c>
      <c r="X422" s="3">
        <f>IF(OR(I422=1,H422=1),1,0)</f>
        <v/>
      </c>
      <c r="Y422" s="3">
        <f>IF(OR(G422=1),1,0)</f>
        <v/>
      </c>
      <c r="Z422" s="3">
        <f>IF(OR(F422=1),1,0)</f>
        <v/>
      </c>
      <c r="AA422" s="3">
        <f>IF(OR(M422=1),1,0)</f>
        <v/>
      </c>
    </row>
    <row r="423">
      <c r="A423" s="22" t="inlineStr">
        <is>
          <t>e2344d1ff0b42e834c1928277f92ae9b661343ec</t>
        </is>
      </c>
      <c r="B423" s="22" t="inlineStr">
        <is>
          <t>2026-10</t>
        </is>
      </c>
      <c r="C423" s="22" t="inlineStr">
        <is>
          <t>Nairaland</t>
        </is>
      </c>
      <c r="D423" s="22" t="n">
        <v>0</v>
      </c>
      <c r="E423" s="22" t="inlineStr">
        <is>
          <t>Nairaland: Nairaland</t>
        </is>
      </c>
      <c r="F423" s="22" t="inlineStr">
        <is>
          <t>nairaland:Nairaland</t>
        </is>
      </c>
      <c r="G423" s="22" t="n">
        <v>0.7</v>
      </c>
      <c r="H423" s="22" t="n">
        <v>0</v>
      </c>
      <c r="I423" s="22" t="n">
        <v>0</v>
      </c>
      <c r="J423" s="22" t="n">
        <v>0</v>
      </c>
      <c r="K423" s="22" t="n">
        <v>0</v>
      </c>
      <c r="L423" s="22" t="n">
        <v>0</v>
      </c>
      <c r="M423" s="22" t="n">
        <v>0</v>
      </c>
      <c r="N423" s="22" t="n">
        <v>0</v>
      </c>
      <c r="O423" s="22" t="n">
        <v>0</v>
      </c>
      <c r="P423" s="22" t="n">
        <v>0</v>
      </c>
      <c r="Q423" s="22" t="n">
        <v>0</v>
      </c>
      <c r="R423" s="22" t="n">
        <v>0</v>
      </c>
      <c r="S423" s="22" t="n">
        <v>0</v>
      </c>
      <c r="T423" s="22" t="n">
        <v>0</v>
      </c>
      <c r="U423" s="3">
        <f>IF(OR(N423=1,Q423=1),1,0)</f>
        <v/>
      </c>
      <c r="V423" s="3">
        <f>IF(OR(T423=1,P423=1),1,0)</f>
        <v/>
      </c>
      <c r="W423" s="3">
        <f>IF(OR(J423=1),1,0)</f>
        <v/>
      </c>
      <c r="X423" s="3">
        <f>IF(OR(I423=1,H423=1),1,0)</f>
        <v/>
      </c>
      <c r="Y423" s="3">
        <f>IF(OR(G423=1),1,0)</f>
        <v/>
      </c>
      <c r="Z423" s="3">
        <f>IF(OR(F423=1),1,0)</f>
        <v/>
      </c>
      <c r="AA423" s="3">
        <f>IF(OR(M423=1),1,0)</f>
        <v/>
      </c>
    </row>
    <row r="424">
      <c r="A424" s="22" t="inlineStr">
        <is>
          <t>b86c2c7ed2a65341ac500f9a161067bb5cd00d07</t>
        </is>
      </c>
      <c r="B424" s="22" t="inlineStr">
        <is>
          <t>2026-10</t>
        </is>
      </c>
      <c r="C424" s="22" t="inlineStr">
        <is>
          <t>Nairaland</t>
        </is>
      </c>
      <c r="D424" s="22" t="n">
        <v>0</v>
      </c>
      <c r="E424" s="22" t="inlineStr">
        <is>
          <t>Nairaland: Nairaland</t>
        </is>
      </c>
      <c r="F424" s="22" t="inlineStr">
        <is>
          <t>nairaland:Nairaland</t>
        </is>
      </c>
      <c r="G424" s="22" t="n">
        <v>-0.44</v>
      </c>
      <c r="H424" s="22" t="n">
        <v>1</v>
      </c>
      <c r="I424" s="22" t="n">
        <v>0</v>
      </c>
      <c r="J424" s="22" t="n">
        <v>0</v>
      </c>
      <c r="K424" s="22" t="n">
        <v>0</v>
      </c>
      <c r="L424" s="22" t="n">
        <v>0</v>
      </c>
      <c r="M424" s="22" t="n">
        <v>0</v>
      </c>
      <c r="N424" s="22" t="n">
        <v>0</v>
      </c>
      <c r="O424" s="22" t="n">
        <v>0</v>
      </c>
      <c r="P424" s="22" t="n">
        <v>0</v>
      </c>
      <c r="Q424" s="22" t="n">
        <v>0</v>
      </c>
      <c r="R424" s="22" t="n">
        <v>0</v>
      </c>
      <c r="S424" s="22" t="n">
        <v>0</v>
      </c>
      <c r="T424" s="22" t="n">
        <v>0</v>
      </c>
      <c r="U424" s="3">
        <f>IF(OR(N424=1,Q424=1),1,0)</f>
        <v/>
      </c>
      <c r="V424" s="3">
        <f>IF(OR(T424=1,P424=1),1,0)</f>
        <v/>
      </c>
      <c r="W424" s="3">
        <f>IF(OR(J424=1),1,0)</f>
        <v/>
      </c>
      <c r="X424" s="3">
        <f>IF(OR(I424=1,H424=1),1,0)</f>
        <v/>
      </c>
      <c r="Y424" s="3">
        <f>IF(OR(G424=1),1,0)</f>
        <v/>
      </c>
      <c r="Z424" s="3">
        <f>IF(OR(F424=1),1,0)</f>
        <v/>
      </c>
      <c r="AA424" s="3">
        <f>IF(OR(M424=1),1,0)</f>
        <v/>
      </c>
    </row>
    <row r="425">
      <c r="A425" s="22" t="inlineStr">
        <is>
          <t>10505bb966102484a730f09fefcd7c1bc94d11d6</t>
        </is>
      </c>
      <c r="B425" s="22" t="inlineStr">
        <is>
          <t>2026-10</t>
        </is>
      </c>
      <c r="C425" s="22" t="inlineStr">
        <is>
          <t>Nairaland</t>
        </is>
      </c>
      <c r="D425" s="22" t="n">
        <v>0</v>
      </c>
      <c r="E425" s="22" t="inlineStr">
        <is>
          <t>Nairaland: Nairaland</t>
        </is>
      </c>
      <c r="F425" s="22" t="inlineStr">
        <is>
          <t>nairaland:Nairaland</t>
        </is>
      </c>
      <c r="G425" s="22" t="n">
        <v>-0.917</v>
      </c>
      <c r="H425" s="22" t="n">
        <v>0</v>
      </c>
      <c r="I425" s="22" t="n">
        <v>1</v>
      </c>
      <c r="J425" s="22" t="n">
        <v>0</v>
      </c>
      <c r="K425" s="22" t="n">
        <v>0</v>
      </c>
      <c r="L425" s="22" t="n">
        <v>0</v>
      </c>
      <c r="M425" s="22" t="n">
        <v>1</v>
      </c>
      <c r="N425" s="22" t="n">
        <v>0</v>
      </c>
      <c r="O425" s="22" t="n">
        <v>0</v>
      </c>
      <c r="P425" s="22" t="n">
        <v>0</v>
      </c>
      <c r="Q425" s="22" t="n">
        <v>0</v>
      </c>
      <c r="R425" s="22" t="n">
        <v>0</v>
      </c>
      <c r="S425" s="22" t="n">
        <v>0</v>
      </c>
      <c r="T425" s="22" t="n">
        <v>0</v>
      </c>
      <c r="U425" s="3">
        <f>IF(OR(N425=1,Q425=1),1,0)</f>
        <v/>
      </c>
      <c r="V425" s="3">
        <f>IF(OR(T425=1,P425=1),1,0)</f>
        <v/>
      </c>
      <c r="W425" s="3">
        <f>IF(OR(J425=1),1,0)</f>
        <v/>
      </c>
      <c r="X425" s="3">
        <f>IF(OR(I425=1,H425=1),1,0)</f>
        <v/>
      </c>
      <c r="Y425" s="3">
        <f>IF(OR(G425=1),1,0)</f>
        <v/>
      </c>
      <c r="Z425" s="3">
        <f>IF(OR(F425=1),1,0)</f>
        <v/>
      </c>
      <c r="AA425" s="3">
        <f>IF(OR(M425=1),1,0)</f>
        <v/>
      </c>
    </row>
    <row r="426">
      <c r="A426" s="22" t="inlineStr">
        <is>
          <t>3a49a71dbef632b76caca9efd7ee81edbb06fd5d</t>
        </is>
      </c>
      <c r="B426" s="22" t="inlineStr">
        <is>
          <t>2026-10</t>
        </is>
      </c>
      <c r="C426" s="22" t="inlineStr">
        <is>
          <t>Nairaland</t>
        </is>
      </c>
      <c r="D426" s="22" t="n">
        <v>0</v>
      </c>
      <c r="E426" s="22" t="inlineStr">
        <is>
          <t>Nairaland: Nairaland</t>
        </is>
      </c>
      <c r="F426" s="22" t="inlineStr">
        <is>
          <t>nairaland:Nairaland</t>
        </is>
      </c>
      <c r="G426" s="22" t="n">
        <v>0</v>
      </c>
      <c r="H426" s="22" t="n">
        <v>0</v>
      </c>
      <c r="I426" s="22" t="n">
        <v>0</v>
      </c>
      <c r="J426" s="22" t="n">
        <v>0</v>
      </c>
      <c r="K426" s="22" t="n">
        <v>0</v>
      </c>
      <c r="L426" s="22" t="n">
        <v>0</v>
      </c>
      <c r="M426" s="22" t="n">
        <v>0</v>
      </c>
      <c r="N426" s="22" t="n">
        <v>0</v>
      </c>
      <c r="O426" s="22" t="n">
        <v>0</v>
      </c>
      <c r="P426" s="22" t="n">
        <v>0</v>
      </c>
      <c r="Q426" s="22" t="n">
        <v>0</v>
      </c>
      <c r="R426" s="22" t="n">
        <v>0</v>
      </c>
      <c r="S426" s="22" t="n">
        <v>0</v>
      </c>
      <c r="T426" s="22" t="n">
        <v>0</v>
      </c>
      <c r="U426" s="3">
        <f>IF(OR(N426=1,Q426=1),1,0)</f>
        <v/>
      </c>
      <c r="V426" s="3">
        <f>IF(OR(T426=1,P426=1),1,0)</f>
        <v/>
      </c>
      <c r="W426" s="3">
        <f>IF(OR(J426=1),1,0)</f>
        <v/>
      </c>
      <c r="X426" s="3">
        <f>IF(OR(I426=1,H426=1),1,0)</f>
        <v/>
      </c>
      <c r="Y426" s="3">
        <f>IF(OR(G426=1),1,0)</f>
        <v/>
      </c>
      <c r="Z426" s="3">
        <f>IF(OR(F426=1),1,0)</f>
        <v/>
      </c>
      <c r="AA426" s="3">
        <f>IF(OR(M426=1),1,0)</f>
        <v/>
      </c>
    </row>
    <row r="427">
      <c r="A427" s="22" t="inlineStr">
        <is>
          <t>61d2b338622cd09cfec2cd00f6b391ad72a80c09</t>
        </is>
      </c>
      <c r="B427" s="22" t="inlineStr">
        <is>
          <t>2026-10</t>
        </is>
      </c>
      <c r="C427" s="22" t="inlineStr">
        <is>
          <t>Nairaland</t>
        </is>
      </c>
      <c r="D427" s="22" t="n">
        <v>0</v>
      </c>
      <c r="E427" s="22" t="inlineStr">
        <is>
          <t>Nairaland: Nairaland</t>
        </is>
      </c>
      <c r="F427" s="22" t="inlineStr">
        <is>
          <t>nairaland:Nairaland</t>
        </is>
      </c>
      <c r="G427" s="22" t="n">
        <v>-0.596</v>
      </c>
      <c r="H427" s="22" t="n">
        <v>0</v>
      </c>
      <c r="I427" s="22" t="n">
        <v>0</v>
      </c>
      <c r="J427" s="22" t="n">
        <v>0</v>
      </c>
      <c r="K427" s="22" t="n">
        <v>0</v>
      </c>
      <c r="L427" s="22" t="n">
        <v>0</v>
      </c>
      <c r="M427" s="22" t="n">
        <v>1</v>
      </c>
      <c r="N427" s="22" t="n">
        <v>0</v>
      </c>
      <c r="O427" s="22" t="n">
        <v>0</v>
      </c>
      <c r="P427" s="22" t="n">
        <v>0</v>
      </c>
      <c r="Q427" s="22" t="n">
        <v>0</v>
      </c>
      <c r="R427" s="22" t="n">
        <v>0</v>
      </c>
      <c r="S427" s="22" t="n">
        <v>0</v>
      </c>
      <c r="T427" s="22" t="n">
        <v>0</v>
      </c>
      <c r="U427" s="3">
        <f>IF(OR(N427=1,Q427=1),1,0)</f>
        <v/>
      </c>
      <c r="V427" s="3">
        <f>IF(OR(T427=1,P427=1),1,0)</f>
        <v/>
      </c>
      <c r="W427" s="3">
        <f>IF(OR(J427=1),1,0)</f>
        <v/>
      </c>
      <c r="X427" s="3">
        <f>IF(OR(I427=1,H427=1),1,0)</f>
        <v/>
      </c>
      <c r="Y427" s="3">
        <f>IF(OR(G427=1),1,0)</f>
        <v/>
      </c>
      <c r="Z427" s="3">
        <f>IF(OR(F427=1),1,0)</f>
        <v/>
      </c>
      <c r="AA427" s="3">
        <f>IF(OR(M427=1),1,0)</f>
        <v/>
      </c>
    </row>
    <row r="428">
      <c r="A428" s="22" t="inlineStr">
        <is>
          <t>5ea77c3688cde7f411962ad13610d6e77bb008ff</t>
        </is>
      </c>
      <c r="B428" s="22" t="inlineStr">
        <is>
          <t>2026-10</t>
        </is>
      </c>
      <c r="C428" s="22" t="inlineStr">
        <is>
          <t>Nairaland</t>
        </is>
      </c>
      <c r="D428" s="22" t="n">
        <v>0</v>
      </c>
      <c r="E428" s="22" t="inlineStr">
        <is>
          <t>Nairaland: Nairaland</t>
        </is>
      </c>
      <c r="F428" s="22" t="inlineStr">
        <is>
          <t>nairaland:Nairaland</t>
        </is>
      </c>
      <c r="G428" s="22" t="n">
        <v>0</v>
      </c>
      <c r="H428" s="22" t="n">
        <v>1</v>
      </c>
      <c r="I428" s="22" t="n">
        <v>0</v>
      </c>
      <c r="J428" s="22" t="n">
        <v>0</v>
      </c>
      <c r="K428" s="22" t="n">
        <v>0</v>
      </c>
      <c r="L428" s="22" t="n">
        <v>0</v>
      </c>
      <c r="M428" s="22" t="n">
        <v>0</v>
      </c>
      <c r="N428" s="22" t="n">
        <v>0</v>
      </c>
      <c r="O428" s="22" t="n">
        <v>0</v>
      </c>
      <c r="P428" s="22" t="n">
        <v>0</v>
      </c>
      <c r="Q428" s="22" t="n">
        <v>0</v>
      </c>
      <c r="R428" s="22" t="n">
        <v>0</v>
      </c>
      <c r="S428" s="22" t="n">
        <v>0</v>
      </c>
      <c r="T428" s="22" t="n">
        <v>0</v>
      </c>
      <c r="U428" s="3">
        <f>IF(OR(N428=1,Q428=1),1,0)</f>
        <v/>
      </c>
      <c r="V428" s="3">
        <f>IF(OR(T428=1,P428=1),1,0)</f>
        <v/>
      </c>
      <c r="W428" s="3">
        <f>IF(OR(J428=1),1,0)</f>
        <v/>
      </c>
      <c r="X428" s="3">
        <f>IF(OR(I428=1,H428=1),1,0)</f>
        <v/>
      </c>
      <c r="Y428" s="3">
        <f>IF(OR(G428=1),1,0)</f>
        <v/>
      </c>
      <c r="Z428" s="3">
        <f>IF(OR(F428=1),1,0)</f>
        <v/>
      </c>
      <c r="AA428" s="3">
        <f>IF(OR(M428=1),1,0)</f>
        <v/>
      </c>
    </row>
    <row r="429">
      <c r="A429" s="22" t="inlineStr">
        <is>
          <t>fd3977592d4a355bed834a00e61582e239167ef5</t>
        </is>
      </c>
      <c r="B429" s="22" t="inlineStr">
        <is>
          <t>2026-10</t>
        </is>
      </c>
      <c r="C429" s="22" t="inlineStr">
        <is>
          <t>Nairaland</t>
        </is>
      </c>
      <c r="D429" s="22" t="n">
        <v>0</v>
      </c>
      <c r="E429" s="22" t="inlineStr">
        <is>
          <t>Nairaland: Nairaland</t>
        </is>
      </c>
      <c r="F429" s="22" t="inlineStr">
        <is>
          <t>nairaland:Nairaland</t>
        </is>
      </c>
      <c r="G429" s="22" t="n">
        <v>-0.881</v>
      </c>
      <c r="H429" s="22" t="n">
        <v>0</v>
      </c>
      <c r="I429" s="22" t="n">
        <v>0</v>
      </c>
      <c r="J429" s="22" t="n">
        <v>1</v>
      </c>
      <c r="K429" s="22" t="n">
        <v>0</v>
      </c>
      <c r="L429" s="22" t="n">
        <v>0</v>
      </c>
      <c r="M429" s="22" t="n">
        <v>1</v>
      </c>
      <c r="N429" s="22" t="n">
        <v>0</v>
      </c>
      <c r="O429" s="22" t="n">
        <v>0</v>
      </c>
      <c r="P429" s="22" t="n">
        <v>0</v>
      </c>
      <c r="Q429" s="22" t="n">
        <v>0</v>
      </c>
      <c r="R429" s="22" t="n">
        <v>0</v>
      </c>
      <c r="S429" s="22" t="n">
        <v>0</v>
      </c>
      <c r="T429" s="22" t="n">
        <v>0</v>
      </c>
      <c r="U429" s="3">
        <f>IF(OR(N429=1,Q429=1),1,0)</f>
        <v/>
      </c>
      <c r="V429" s="3">
        <f>IF(OR(T429=1,P429=1),1,0)</f>
        <v/>
      </c>
      <c r="W429" s="3">
        <f>IF(OR(J429=1),1,0)</f>
        <v/>
      </c>
      <c r="X429" s="3">
        <f>IF(OR(I429=1,H429=1),1,0)</f>
        <v/>
      </c>
      <c r="Y429" s="3">
        <f>IF(OR(G429=1),1,0)</f>
        <v/>
      </c>
      <c r="Z429" s="3">
        <f>IF(OR(F429=1),1,0)</f>
        <v/>
      </c>
      <c r="AA429" s="3">
        <f>IF(OR(M429=1),1,0)</f>
        <v/>
      </c>
    </row>
    <row r="430">
      <c r="A430" s="22" t="inlineStr">
        <is>
          <t>d86190db00ef3a0a9ca6b7aa0af683935b4859be</t>
        </is>
      </c>
      <c r="B430" s="22" t="inlineStr">
        <is>
          <t>2026-10</t>
        </is>
      </c>
      <c r="C430" s="22" t="inlineStr">
        <is>
          <t>Nairaland</t>
        </is>
      </c>
      <c r="D430" s="22" t="n">
        <v>0</v>
      </c>
      <c r="E430" s="22" t="inlineStr">
        <is>
          <t>Nairaland: Nairaland</t>
        </is>
      </c>
      <c r="F430" s="22" t="inlineStr">
        <is>
          <t>nairaland:Nairaland</t>
        </is>
      </c>
      <c r="G430" s="22" t="n">
        <v>-0.527</v>
      </c>
      <c r="H430" s="22" t="n">
        <v>0</v>
      </c>
      <c r="I430" s="22" t="n">
        <v>0</v>
      </c>
      <c r="J430" s="22" t="n">
        <v>0</v>
      </c>
      <c r="K430" s="22" t="n">
        <v>0</v>
      </c>
      <c r="L430" s="22" t="n">
        <v>1</v>
      </c>
      <c r="M430" s="22" t="n">
        <v>0</v>
      </c>
      <c r="N430" s="22" t="n">
        <v>0</v>
      </c>
      <c r="O430" s="22" t="n">
        <v>0</v>
      </c>
      <c r="P430" s="22" t="n">
        <v>0</v>
      </c>
      <c r="Q430" s="22" t="n">
        <v>0</v>
      </c>
      <c r="R430" s="22" t="n">
        <v>0</v>
      </c>
      <c r="S430" s="22" t="n">
        <v>0</v>
      </c>
      <c r="T430" s="22" t="n">
        <v>1</v>
      </c>
      <c r="U430" s="3">
        <f>IF(OR(N430=1,Q430=1),1,0)</f>
        <v/>
      </c>
      <c r="V430" s="3">
        <f>IF(OR(T430=1,P430=1),1,0)</f>
        <v/>
      </c>
      <c r="W430" s="3">
        <f>IF(OR(J430=1),1,0)</f>
        <v/>
      </c>
      <c r="X430" s="3">
        <f>IF(OR(I430=1,H430=1),1,0)</f>
        <v/>
      </c>
      <c r="Y430" s="3">
        <f>IF(OR(G430=1),1,0)</f>
        <v/>
      </c>
      <c r="Z430" s="3">
        <f>IF(OR(F430=1),1,0)</f>
        <v/>
      </c>
      <c r="AA430" s="3">
        <f>IF(OR(M430=1),1,0)</f>
        <v/>
      </c>
    </row>
    <row r="431">
      <c r="A431" s="22" t="inlineStr">
        <is>
          <t>1b998456f8bc6ed7e9f3dbced310fb2f7c552856</t>
        </is>
      </c>
      <c r="B431" s="22" t="inlineStr">
        <is>
          <t>2026-10</t>
        </is>
      </c>
      <c r="C431" s="22" t="inlineStr">
        <is>
          <t>Nairaland</t>
        </is>
      </c>
      <c r="D431" s="22" t="n">
        <v>0</v>
      </c>
      <c r="E431" s="22" t="inlineStr">
        <is>
          <t>Nairaland: Nairaland</t>
        </is>
      </c>
      <c r="F431" s="22" t="inlineStr">
        <is>
          <t>nairaland:Nairaland</t>
        </is>
      </c>
      <c r="G431" s="22" t="n">
        <v>-0.09</v>
      </c>
      <c r="H431" s="22" t="n">
        <v>1</v>
      </c>
      <c r="I431" s="22" t="n">
        <v>0</v>
      </c>
      <c r="J431" s="22" t="n">
        <v>0</v>
      </c>
      <c r="K431" s="22" t="n">
        <v>1</v>
      </c>
      <c r="L431" s="22" t="n">
        <v>0</v>
      </c>
      <c r="M431" s="22" t="n">
        <v>0</v>
      </c>
      <c r="N431" s="22" t="n">
        <v>0</v>
      </c>
      <c r="O431" s="22" t="n">
        <v>0</v>
      </c>
      <c r="P431" s="22" t="n">
        <v>0</v>
      </c>
      <c r="Q431" s="22" t="n">
        <v>0</v>
      </c>
      <c r="R431" s="22" t="n">
        <v>0</v>
      </c>
      <c r="S431" s="22" t="n">
        <v>0</v>
      </c>
      <c r="T431" s="22" t="n">
        <v>0</v>
      </c>
      <c r="U431" s="3">
        <f>IF(OR(N431=1,Q431=1),1,0)</f>
        <v/>
      </c>
      <c r="V431" s="3">
        <f>IF(OR(T431=1,P431=1),1,0)</f>
        <v/>
      </c>
      <c r="W431" s="3">
        <f>IF(OR(J431=1),1,0)</f>
        <v/>
      </c>
      <c r="X431" s="3">
        <f>IF(OR(I431=1,H431=1),1,0)</f>
        <v/>
      </c>
      <c r="Y431" s="3">
        <f>IF(OR(G431=1),1,0)</f>
        <v/>
      </c>
      <c r="Z431" s="3">
        <f>IF(OR(F431=1),1,0)</f>
        <v/>
      </c>
      <c r="AA431" s="3">
        <f>IF(OR(M431=1),1,0)</f>
        <v/>
      </c>
    </row>
    <row r="432">
      <c r="A432" s="22" t="inlineStr">
        <is>
          <t>4c2a10b313000f616ec05abda97882f292775f44</t>
        </is>
      </c>
      <c r="B432" s="22" t="inlineStr">
        <is>
          <t>2026-10</t>
        </is>
      </c>
      <c r="C432" s="22" t="inlineStr">
        <is>
          <t>Nairaland</t>
        </is>
      </c>
      <c r="D432" s="22" t="n">
        <v>0</v>
      </c>
      <c r="E432" s="22" t="inlineStr">
        <is>
          <t>Nairaland: Nairaland</t>
        </is>
      </c>
      <c r="F432" s="22" t="inlineStr">
        <is>
          <t>nairaland:Nairaland</t>
        </is>
      </c>
      <c r="G432" s="22" t="n">
        <v>-0.735</v>
      </c>
      <c r="H432" s="22" t="n">
        <v>1</v>
      </c>
      <c r="I432" s="22" t="n">
        <v>0</v>
      </c>
      <c r="J432" s="22" t="n">
        <v>0</v>
      </c>
      <c r="K432" s="22" t="n">
        <v>0</v>
      </c>
      <c r="L432" s="22" t="n">
        <v>0</v>
      </c>
      <c r="M432" s="22" t="n">
        <v>0</v>
      </c>
      <c r="N432" s="22" t="n">
        <v>0</v>
      </c>
      <c r="O432" s="22" t="n">
        <v>0</v>
      </c>
      <c r="P432" s="22" t="n">
        <v>0</v>
      </c>
      <c r="Q432" s="22" t="n">
        <v>0</v>
      </c>
      <c r="R432" s="22" t="n">
        <v>0</v>
      </c>
      <c r="S432" s="22" t="n">
        <v>0</v>
      </c>
      <c r="T432" s="22" t="n">
        <v>0</v>
      </c>
      <c r="U432" s="3">
        <f>IF(OR(N432=1,Q432=1),1,0)</f>
        <v/>
      </c>
      <c r="V432" s="3">
        <f>IF(OR(T432=1,P432=1),1,0)</f>
        <v/>
      </c>
      <c r="W432" s="3">
        <f>IF(OR(J432=1),1,0)</f>
        <v/>
      </c>
      <c r="X432" s="3">
        <f>IF(OR(I432=1,H432=1),1,0)</f>
        <v/>
      </c>
      <c r="Y432" s="3">
        <f>IF(OR(G432=1),1,0)</f>
        <v/>
      </c>
      <c r="Z432" s="3">
        <f>IF(OR(F432=1),1,0)</f>
        <v/>
      </c>
      <c r="AA432" s="3">
        <f>IF(OR(M432=1),1,0)</f>
        <v/>
      </c>
    </row>
    <row r="433">
      <c r="A433" s="22" t="inlineStr">
        <is>
          <t>acab993f11ca2ca4398ef06a12ccc2d3fe3c4028</t>
        </is>
      </c>
      <c r="B433" s="22" t="inlineStr">
        <is>
          <t>2026-10</t>
        </is>
      </c>
      <c r="C433" s="22" t="inlineStr">
        <is>
          <t>Nairaland</t>
        </is>
      </c>
      <c r="D433" s="22" t="n">
        <v>0</v>
      </c>
      <c r="E433" s="22" t="inlineStr">
        <is>
          <t>Nairaland: Nairaland</t>
        </is>
      </c>
      <c r="F433" s="22" t="inlineStr">
        <is>
          <t>nairaland:Nairaland</t>
        </is>
      </c>
      <c r="G433" s="22" t="n">
        <v>0.898</v>
      </c>
      <c r="H433" s="22" t="n">
        <v>1</v>
      </c>
      <c r="I433" s="22" t="n">
        <v>1</v>
      </c>
      <c r="J433" s="22" t="n">
        <v>0</v>
      </c>
      <c r="K433" s="22" t="n">
        <v>0</v>
      </c>
      <c r="L433" s="22" t="n">
        <v>0</v>
      </c>
      <c r="M433" s="22" t="n">
        <v>0</v>
      </c>
      <c r="N433" s="22" t="n">
        <v>0</v>
      </c>
      <c r="O433" s="22" t="n">
        <v>1</v>
      </c>
      <c r="P433" s="22" t="n">
        <v>0</v>
      </c>
      <c r="Q433" s="22" t="n">
        <v>0</v>
      </c>
      <c r="R433" s="22" t="n">
        <v>0</v>
      </c>
      <c r="S433" s="22" t="n">
        <v>0</v>
      </c>
      <c r="T433" s="22" t="n">
        <v>0</v>
      </c>
      <c r="U433" s="3">
        <f>IF(OR(N433=1,Q433=1),1,0)</f>
        <v/>
      </c>
      <c r="V433" s="3">
        <f>IF(OR(T433=1,P433=1),1,0)</f>
        <v/>
      </c>
      <c r="W433" s="3">
        <f>IF(OR(J433=1),1,0)</f>
        <v/>
      </c>
      <c r="X433" s="3">
        <f>IF(OR(I433=1,H433=1),1,0)</f>
        <v/>
      </c>
      <c r="Y433" s="3">
        <f>IF(OR(G433=1),1,0)</f>
        <v/>
      </c>
      <c r="Z433" s="3">
        <f>IF(OR(F433=1),1,0)</f>
        <v/>
      </c>
      <c r="AA433" s="3">
        <f>IF(OR(M433=1),1,0)</f>
        <v/>
      </c>
    </row>
    <row r="434">
      <c r="A434" s="22" t="inlineStr">
        <is>
          <t>81334a8a9930dbcc2487cd8bdea4d07877a781a4</t>
        </is>
      </c>
      <c r="B434" s="22" t="inlineStr">
        <is>
          <t>2026-10</t>
        </is>
      </c>
      <c r="C434" s="22" t="inlineStr">
        <is>
          <t>Nairaland</t>
        </is>
      </c>
      <c r="D434" s="22" t="n">
        <v>0</v>
      </c>
      <c r="E434" s="22" t="inlineStr">
        <is>
          <t>Nairaland: Nairaland</t>
        </is>
      </c>
      <c r="F434" s="22" t="inlineStr">
        <is>
          <t>nairaland:Nairaland</t>
        </is>
      </c>
      <c r="G434" s="22" t="n">
        <v>0.103</v>
      </c>
      <c r="H434" s="22" t="n">
        <v>0</v>
      </c>
      <c r="I434" s="22" t="n">
        <v>0</v>
      </c>
      <c r="J434" s="22" t="n">
        <v>0</v>
      </c>
      <c r="K434" s="22" t="n">
        <v>0</v>
      </c>
      <c r="L434" s="22" t="n">
        <v>0</v>
      </c>
      <c r="M434" s="22" t="n">
        <v>0</v>
      </c>
      <c r="N434" s="22" t="n">
        <v>0</v>
      </c>
      <c r="O434" s="22" t="n">
        <v>0</v>
      </c>
      <c r="P434" s="22" t="n">
        <v>0</v>
      </c>
      <c r="Q434" s="22" t="n">
        <v>1</v>
      </c>
      <c r="R434" s="22" t="n">
        <v>0</v>
      </c>
      <c r="S434" s="22" t="n">
        <v>0</v>
      </c>
      <c r="T434" s="22" t="n">
        <v>0</v>
      </c>
      <c r="U434" s="3">
        <f>IF(OR(N434=1,Q434=1),1,0)</f>
        <v/>
      </c>
      <c r="V434" s="3">
        <f>IF(OR(T434=1,P434=1),1,0)</f>
        <v/>
      </c>
      <c r="W434" s="3">
        <f>IF(OR(J434=1),1,0)</f>
        <v/>
      </c>
      <c r="X434" s="3">
        <f>IF(OR(I434=1,H434=1),1,0)</f>
        <v/>
      </c>
      <c r="Y434" s="3">
        <f>IF(OR(G434=1),1,0)</f>
        <v/>
      </c>
      <c r="Z434" s="3">
        <f>IF(OR(F434=1),1,0)</f>
        <v/>
      </c>
      <c r="AA434" s="3">
        <f>IF(OR(M434=1),1,0)</f>
        <v/>
      </c>
    </row>
    <row r="435">
      <c r="A435" s="22" t="inlineStr">
        <is>
          <t>a22be4d222277c2b4d5d488e647fd5e64be33375</t>
        </is>
      </c>
      <c r="B435" s="22" t="inlineStr">
        <is>
          <t>2026-10</t>
        </is>
      </c>
      <c r="C435" s="22" t="inlineStr">
        <is>
          <t>Nairaland</t>
        </is>
      </c>
      <c r="D435" s="22" t="n">
        <v>0</v>
      </c>
      <c r="E435" s="22" t="inlineStr">
        <is>
          <t>Nairaland: Nairaland</t>
        </is>
      </c>
      <c r="F435" s="22" t="inlineStr">
        <is>
          <t>nairaland:Nairaland</t>
        </is>
      </c>
      <c r="G435" s="22" t="n">
        <v>-0.923</v>
      </c>
      <c r="H435" s="22" t="n">
        <v>0</v>
      </c>
      <c r="I435" s="22" t="n">
        <v>0</v>
      </c>
      <c r="J435" s="22" t="n">
        <v>0</v>
      </c>
      <c r="K435" s="22" t="n">
        <v>0</v>
      </c>
      <c r="L435" s="22" t="n">
        <v>0</v>
      </c>
      <c r="M435" s="22" t="n">
        <v>0</v>
      </c>
      <c r="N435" s="22" t="n">
        <v>0</v>
      </c>
      <c r="O435" s="22" t="n">
        <v>0</v>
      </c>
      <c r="P435" s="22" t="n">
        <v>0</v>
      </c>
      <c r="Q435" s="22" t="n">
        <v>1</v>
      </c>
      <c r="R435" s="22" t="n">
        <v>0</v>
      </c>
      <c r="S435" s="22" t="n">
        <v>0</v>
      </c>
      <c r="T435" s="22" t="n">
        <v>0</v>
      </c>
      <c r="U435" s="3">
        <f>IF(OR(N435=1,Q435=1),1,0)</f>
        <v/>
      </c>
      <c r="V435" s="3">
        <f>IF(OR(T435=1,P435=1),1,0)</f>
        <v/>
      </c>
      <c r="W435" s="3">
        <f>IF(OR(J435=1),1,0)</f>
        <v/>
      </c>
      <c r="X435" s="3">
        <f>IF(OR(I435=1,H435=1),1,0)</f>
        <v/>
      </c>
      <c r="Y435" s="3">
        <f>IF(OR(G435=1),1,0)</f>
        <v/>
      </c>
      <c r="Z435" s="3">
        <f>IF(OR(F435=1),1,0)</f>
        <v/>
      </c>
      <c r="AA435" s="3">
        <f>IF(OR(M435=1),1,0)</f>
        <v/>
      </c>
    </row>
    <row r="436">
      <c r="A436" s="22" t="inlineStr">
        <is>
          <t>6766a06e8cad8969a01417f77261edb52cb6cd7c</t>
        </is>
      </c>
      <c r="B436" s="22" t="inlineStr">
        <is>
          <t>2026-10</t>
        </is>
      </c>
      <c r="C436" s="22" t="inlineStr">
        <is>
          <t>Nairaland</t>
        </is>
      </c>
      <c r="D436" s="22" t="n">
        <v>0</v>
      </c>
      <c r="E436" s="22" t="inlineStr">
        <is>
          <t>Nairaland: Nairaland</t>
        </is>
      </c>
      <c r="F436" s="22" t="inlineStr">
        <is>
          <t>nairaland:Nairaland</t>
        </is>
      </c>
      <c r="G436" s="22" t="n">
        <v>-0.57</v>
      </c>
      <c r="H436" s="22" t="n">
        <v>0</v>
      </c>
      <c r="I436" s="22" t="n">
        <v>0</v>
      </c>
      <c r="J436" s="22" t="n">
        <v>0</v>
      </c>
      <c r="K436" s="22" t="n">
        <v>0</v>
      </c>
      <c r="L436" s="22" t="n">
        <v>0</v>
      </c>
      <c r="M436" s="22" t="n">
        <v>1</v>
      </c>
      <c r="N436" s="22" t="n">
        <v>0</v>
      </c>
      <c r="O436" s="22" t="n">
        <v>0</v>
      </c>
      <c r="P436" s="22" t="n">
        <v>0</v>
      </c>
      <c r="Q436" s="22" t="n">
        <v>0</v>
      </c>
      <c r="R436" s="22" t="n">
        <v>0</v>
      </c>
      <c r="S436" s="22" t="n">
        <v>0</v>
      </c>
      <c r="T436" s="22" t="n">
        <v>0</v>
      </c>
      <c r="U436" s="3">
        <f>IF(OR(N436=1,Q436=1),1,0)</f>
        <v/>
      </c>
      <c r="V436" s="3">
        <f>IF(OR(T436=1,P436=1),1,0)</f>
        <v/>
      </c>
      <c r="W436" s="3">
        <f>IF(OR(J436=1),1,0)</f>
        <v/>
      </c>
      <c r="X436" s="3">
        <f>IF(OR(I436=1,H436=1),1,0)</f>
        <v/>
      </c>
      <c r="Y436" s="3">
        <f>IF(OR(G436=1),1,0)</f>
        <v/>
      </c>
      <c r="Z436" s="3">
        <f>IF(OR(F436=1),1,0)</f>
        <v/>
      </c>
      <c r="AA436" s="3">
        <f>IF(OR(M436=1),1,0)</f>
        <v/>
      </c>
    </row>
    <row r="437">
      <c r="A437" s="22" t="inlineStr">
        <is>
          <t>e59de7e7085031408d8b892b2b197b60ada173b3</t>
        </is>
      </c>
      <c r="B437" s="22" t="inlineStr">
        <is>
          <t>2026-10</t>
        </is>
      </c>
      <c r="C437" s="22" t="inlineStr">
        <is>
          <t>Nairaland</t>
        </is>
      </c>
      <c r="D437" s="22" t="n">
        <v>0</v>
      </c>
      <c r="E437" s="22" t="inlineStr">
        <is>
          <t>Nairaland: Nairaland</t>
        </is>
      </c>
      <c r="F437" s="22" t="inlineStr">
        <is>
          <t>nairaland:Nairaland</t>
        </is>
      </c>
      <c r="G437" s="22" t="n">
        <v>-0.796</v>
      </c>
      <c r="H437" s="22" t="n">
        <v>0</v>
      </c>
      <c r="I437" s="22" t="n">
        <v>0</v>
      </c>
      <c r="J437" s="22" t="n">
        <v>0</v>
      </c>
      <c r="K437" s="22" t="n">
        <v>0</v>
      </c>
      <c r="L437" s="22" t="n">
        <v>0</v>
      </c>
      <c r="M437" s="22" t="n">
        <v>1</v>
      </c>
      <c r="N437" s="22" t="n">
        <v>0</v>
      </c>
      <c r="O437" s="22" t="n">
        <v>0</v>
      </c>
      <c r="P437" s="22" t="n">
        <v>0</v>
      </c>
      <c r="Q437" s="22" t="n">
        <v>1</v>
      </c>
      <c r="R437" s="22" t="n">
        <v>0</v>
      </c>
      <c r="S437" s="22" t="n">
        <v>0</v>
      </c>
      <c r="T437" s="22" t="n">
        <v>0</v>
      </c>
      <c r="U437" s="3">
        <f>IF(OR(N437=1,Q437=1),1,0)</f>
        <v/>
      </c>
      <c r="V437" s="3">
        <f>IF(OR(T437=1,P437=1),1,0)</f>
        <v/>
      </c>
      <c r="W437" s="3">
        <f>IF(OR(J437=1),1,0)</f>
        <v/>
      </c>
      <c r="X437" s="3">
        <f>IF(OR(I437=1,H437=1),1,0)</f>
        <v/>
      </c>
      <c r="Y437" s="3">
        <f>IF(OR(G437=1),1,0)</f>
        <v/>
      </c>
      <c r="Z437" s="3">
        <f>IF(OR(F437=1),1,0)</f>
        <v/>
      </c>
      <c r="AA437" s="3">
        <f>IF(OR(M437=1),1,0)</f>
        <v/>
      </c>
    </row>
    <row r="438">
      <c r="A438" s="22" t="inlineStr">
        <is>
          <t>0e8614bf2d935b615eb8736bf89ab3e4000d3380</t>
        </is>
      </c>
      <c r="B438" s="22" t="inlineStr">
        <is>
          <t>2026-10</t>
        </is>
      </c>
      <c r="C438" s="22" t="inlineStr">
        <is>
          <t>Nairaland</t>
        </is>
      </c>
      <c r="D438" s="22" t="n">
        <v>0</v>
      </c>
      <c r="E438" s="22" t="inlineStr">
        <is>
          <t>Nairaland: Nairaland</t>
        </is>
      </c>
      <c r="F438" s="22" t="inlineStr">
        <is>
          <t>nairaland:Nairaland</t>
        </is>
      </c>
      <c r="G438" s="22" t="n">
        <v>-0.34</v>
      </c>
      <c r="H438" s="22" t="n">
        <v>0</v>
      </c>
      <c r="I438" s="22" t="n">
        <v>0</v>
      </c>
      <c r="J438" s="22" t="n">
        <v>0</v>
      </c>
      <c r="K438" s="22" t="n">
        <v>0</v>
      </c>
      <c r="L438" s="22" t="n">
        <v>0</v>
      </c>
      <c r="M438" s="22" t="n">
        <v>1</v>
      </c>
      <c r="N438" s="22" t="n">
        <v>0</v>
      </c>
      <c r="O438" s="22" t="n">
        <v>0</v>
      </c>
      <c r="P438" s="22" t="n">
        <v>0</v>
      </c>
      <c r="Q438" s="22" t="n">
        <v>0</v>
      </c>
      <c r="R438" s="22" t="n">
        <v>0</v>
      </c>
      <c r="S438" s="22" t="n">
        <v>0</v>
      </c>
      <c r="T438" s="22" t="n">
        <v>0</v>
      </c>
      <c r="U438" s="3">
        <f>IF(OR(N438=1,Q438=1),1,0)</f>
        <v/>
      </c>
      <c r="V438" s="3">
        <f>IF(OR(T438=1,P438=1),1,0)</f>
        <v/>
      </c>
      <c r="W438" s="3">
        <f>IF(OR(J438=1),1,0)</f>
        <v/>
      </c>
      <c r="X438" s="3">
        <f>IF(OR(I438=1,H438=1),1,0)</f>
        <v/>
      </c>
      <c r="Y438" s="3">
        <f>IF(OR(G438=1),1,0)</f>
        <v/>
      </c>
      <c r="Z438" s="3">
        <f>IF(OR(F438=1),1,0)</f>
        <v/>
      </c>
      <c r="AA438" s="3">
        <f>IF(OR(M438=1),1,0)</f>
        <v/>
      </c>
    </row>
    <row r="439">
      <c r="A439" s="22" t="inlineStr">
        <is>
          <t>674e6c6524d9fc5a7472785ac262c2bcc4537211</t>
        </is>
      </c>
      <c r="B439" s="22" t="inlineStr">
        <is>
          <t>2026-10</t>
        </is>
      </c>
      <c r="C439" s="22" t="inlineStr">
        <is>
          <t>Nairaland</t>
        </is>
      </c>
      <c r="D439" s="22" t="n">
        <v>0</v>
      </c>
      <c r="E439" s="22" t="inlineStr">
        <is>
          <t>Nairaland: Nairaland</t>
        </is>
      </c>
      <c r="F439" s="22" t="inlineStr">
        <is>
          <t>nairaland:Nairaland</t>
        </is>
      </c>
      <c r="G439" s="22" t="n">
        <v>-0.728</v>
      </c>
      <c r="H439" s="22" t="n">
        <v>0</v>
      </c>
      <c r="I439" s="22" t="n">
        <v>0</v>
      </c>
      <c r="J439" s="22" t="n">
        <v>0</v>
      </c>
      <c r="K439" s="22" t="n">
        <v>0</v>
      </c>
      <c r="L439" s="22" t="n">
        <v>0</v>
      </c>
      <c r="M439" s="22" t="n">
        <v>1</v>
      </c>
      <c r="N439" s="22" t="n">
        <v>0</v>
      </c>
      <c r="O439" s="22" t="n">
        <v>0</v>
      </c>
      <c r="P439" s="22" t="n">
        <v>0</v>
      </c>
      <c r="Q439" s="22" t="n">
        <v>0</v>
      </c>
      <c r="R439" s="22" t="n">
        <v>0</v>
      </c>
      <c r="S439" s="22" t="n">
        <v>0</v>
      </c>
      <c r="T439" s="22" t="n">
        <v>0</v>
      </c>
      <c r="U439" s="3">
        <f>IF(OR(N439=1,Q439=1),1,0)</f>
        <v/>
      </c>
      <c r="V439" s="3">
        <f>IF(OR(T439=1,P439=1),1,0)</f>
        <v/>
      </c>
      <c r="W439" s="3">
        <f>IF(OR(J439=1),1,0)</f>
        <v/>
      </c>
      <c r="X439" s="3">
        <f>IF(OR(I439=1,H439=1),1,0)</f>
        <v/>
      </c>
      <c r="Y439" s="3">
        <f>IF(OR(G439=1),1,0)</f>
        <v/>
      </c>
      <c r="Z439" s="3">
        <f>IF(OR(F439=1),1,0)</f>
        <v/>
      </c>
      <c r="AA439" s="3">
        <f>IF(OR(M439=1),1,0)</f>
        <v/>
      </c>
    </row>
    <row r="440">
      <c r="A440" s="22" t="inlineStr">
        <is>
          <t>236a8c1d2e28e83864e94805de621256deeb5da6</t>
        </is>
      </c>
      <c r="B440" s="22" t="inlineStr">
        <is>
          <t>2026-10</t>
        </is>
      </c>
      <c r="C440" s="22" t="inlineStr">
        <is>
          <t>Nairaland</t>
        </is>
      </c>
      <c r="D440" s="22" t="n">
        <v>0</v>
      </c>
      <c r="E440" s="22" t="inlineStr">
        <is>
          <t>Nairaland: Nairaland</t>
        </is>
      </c>
      <c r="F440" s="22" t="inlineStr">
        <is>
          <t>nairaland:Nairaland</t>
        </is>
      </c>
      <c r="G440" s="22" t="n">
        <v>-0.698</v>
      </c>
      <c r="H440" s="22" t="n">
        <v>0</v>
      </c>
      <c r="I440" s="22" t="n">
        <v>0</v>
      </c>
      <c r="J440" s="22" t="n">
        <v>0</v>
      </c>
      <c r="K440" s="22" t="n">
        <v>0</v>
      </c>
      <c r="L440" s="22" t="n">
        <v>0</v>
      </c>
      <c r="M440" s="22" t="n">
        <v>1</v>
      </c>
      <c r="N440" s="22" t="n">
        <v>0</v>
      </c>
      <c r="O440" s="22" t="n">
        <v>0</v>
      </c>
      <c r="P440" s="22" t="n">
        <v>0</v>
      </c>
      <c r="Q440" s="22" t="n">
        <v>0</v>
      </c>
      <c r="R440" s="22" t="n">
        <v>0</v>
      </c>
      <c r="S440" s="22" t="n">
        <v>0</v>
      </c>
      <c r="T440" s="22" t="n">
        <v>0</v>
      </c>
      <c r="U440" s="3">
        <f>IF(OR(N440=1,Q440=1),1,0)</f>
        <v/>
      </c>
      <c r="V440" s="3">
        <f>IF(OR(T440=1,P440=1),1,0)</f>
        <v/>
      </c>
      <c r="W440" s="3">
        <f>IF(OR(J440=1),1,0)</f>
        <v/>
      </c>
      <c r="X440" s="3">
        <f>IF(OR(I440=1,H440=1),1,0)</f>
        <v/>
      </c>
      <c r="Y440" s="3">
        <f>IF(OR(G440=1),1,0)</f>
        <v/>
      </c>
      <c r="Z440" s="3">
        <f>IF(OR(F440=1),1,0)</f>
        <v/>
      </c>
      <c r="AA440" s="3">
        <f>IF(OR(M440=1),1,0)</f>
        <v/>
      </c>
    </row>
    <row r="441">
      <c r="A441" s="22" t="inlineStr">
        <is>
          <t>25303be5325fc16d0b75dcc49dda060c487ace87</t>
        </is>
      </c>
      <c r="B441" s="22" t="inlineStr">
        <is>
          <t>2026-10</t>
        </is>
      </c>
      <c r="C441" s="22" t="inlineStr">
        <is>
          <t>Nairaland</t>
        </is>
      </c>
      <c r="D441" s="22" t="n">
        <v>0</v>
      </c>
      <c r="E441" s="22" t="inlineStr">
        <is>
          <t>Nairaland: Nairaland</t>
        </is>
      </c>
      <c r="F441" s="22" t="inlineStr">
        <is>
          <t>nairaland:Nairaland</t>
        </is>
      </c>
      <c r="G441" s="22" t="n">
        <v>-0.43</v>
      </c>
      <c r="H441" s="22" t="n">
        <v>0</v>
      </c>
      <c r="I441" s="22" t="n">
        <v>0</v>
      </c>
      <c r="J441" s="22" t="n">
        <v>0</v>
      </c>
      <c r="K441" s="22" t="n">
        <v>0</v>
      </c>
      <c r="L441" s="22" t="n">
        <v>0</v>
      </c>
      <c r="M441" s="22" t="n">
        <v>1</v>
      </c>
      <c r="N441" s="22" t="n">
        <v>0</v>
      </c>
      <c r="O441" s="22" t="n">
        <v>0</v>
      </c>
      <c r="P441" s="22" t="n">
        <v>0</v>
      </c>
      <c r="Q441" s="22" t="n">
        <v>0</v>
      </c>
      <c r="R441" s="22" t="n">
        <v>0</v>
      </c>
      <c r="S441" s="22" t="n">
        <v>0</v>
      </c>
      <c r="T441" s="22" t="n">
        <v>0</v>
      </c>
      <c r="U441" s="3">
        <f>IF(OR(N441=1,Q441=1),1,0)</f>
        <v/>
      </c>
      <c r="V441" s="3">
        <f>IF(OR(T441=1,P441=1),1,0)</f>
        <v/>
      </c>
      <c r="W441" s="3">
        <f>IF(OR(J441=1),1,0)</f>
        <v/>
      </c>
      <c r="X441" s="3">
        <f>IF(OR(I441=1,H441=1),1,0)</f>
        <v/>
      </c>
      <c r="Y441" s="3">
        <f>IF(OR(G441=1),1,0)</f>
        <v/>
      </c>
      <c r="Z441" s="3">
        <f>IF(OR(F441=1),1,0)</f>
        <v/>
      </c>
      <c r="AA441" s="3">
        <f>IF(OR(M441=1),1,0)</f>
        <v/>
      </c>
    </row>
    <row r="442">
      <c r="A442" s="22" t="inlineStr">
        <is>
          <t>150715063cf22ad4cae0e9d21efd9ed384adeb21</t>
        </is>
      </c>
      <c r="B442" s="22" t="inlineStr">
        <is>
          <t>2026-10</t>
        </is>
      </c>
      <c r="C442" s="22" t="inlineStr">
        <is>
          <t>Nairaland</t>
        </is>
      </c>
      <c r="D442" s="22" t="n">
        <v>0</v>
      </c>
      <c r="E442" s="22" t="inlineStr">
        <is>
          <t>Nairaland: Nairaland</t>
        </is>
      </c>
      <c r="F442" s="22" t="inlineStr">
        <is>
          <t>nairaland:Nairaland</t>
        </is>
      </c>
      <c r="G442" s="22" t="n">
        <v>-0.676</v>
      </c>
      <c r="H442" s="22" t="n">
        <v>0</v>
      </c>
      <c r="I442" s="22" t="n">
        <v>0</v>
      </c>
      <c r="J442" s="22" t="n">
        <v>0</v>
      </c>
      <c r="K442" s="22" t="n">
        <v>0</v>
      </c>
      <c r="L442" s="22" t="n">
        <v>0</v>
      </c>
      <c r="M442" s="22" t="n">
        <v>1</v>
      </c>
      <c r="N442" s="22" t="n">
        <v>0</v>
      </c>
      <c r="O442" s="22" t="n">
        <v>0</v>
      </c>
      <c r="P442" s="22" t="n">
        <v>0</v>
      </c>
      <c r="Q442" s="22" t="n">
        <v>0</v>
      </c>
      <c r="R442" s="22" t="n">
        <v>0</v>
      </c>
      <c r="S442" s="22" t="n">
        <v>0</v>
      </c>
      <c r="T442" s="22" t="n">
        <v>0</v>
      </c>
      <c r="U442" s="3">
        <f>IF(OR(N442=1,Q442=1),1,0)</f>
        <v/>
      </c>
      <c r="V442" s="3">
        <f>IF(OR(T442=1,P442=1),1,0)</f>
        <v/>
      </c>
      <c r="W442" s="3">
        <f>IF(OR(J442=1),1,0)</f>
        <v/>
      </c>
      <c r="X442" s="3">
        <f>IF(OR(I442=1,H442=1),1,0)</f>
        <v/>
      </c>
      <c r="Y442" s="3">
        <f>IF(OR(G442=1),1,0)</f>
        <v/>
      </c>
      <c r="Z442" s="3">
        <f>IF(OR(F442=1),1,0)</f>
        <v/>
      </c>
      <c r="AA442" s="3">
        <f>IF(OR(M442=1),1,0)</f>
        <v/>
      </c>
    </row>
    <row r="443">
      <c r="A443" s="22" t="inlineStr">
        <is>
          <t>b58214d3d1ccad3da0dfaf8db55847bd1a33f424</t>
        </is>
      </c>
      <c r="B443" s="22" t="inlineStr">
        <is>
          <t>2026-10</t>
        </is>
      </c>
      <c r="C443" s="22" t="inlineStr">
        <is>
          <t>Nairaland</t>
        </is>
      </c>
      <c r="D443" s="22" t="n">
        <v>0</v>
      </c>
      <c r="E443" s="22" t="inlineStr">
        <is>
          <t>Nairaland: Nairaland</t>
        </is>
      </c>
      <c r="F443" s="22" t="inlineStr">
        <is>
          <t>nairaland:Nairaland</t>
        </is>
      </c>
      <c r="G443" s="22" t="n">
        <v>-0.927</v>
      </c>
      <c r="H443" s="22" t="n">
        <v>1</v>
      </c>
      <c r="I443" s="22" t="n">
        <v>0</v>
      </c>
      <c r="J443" s="22" t="n">
        <v>0</v>
      </c>
      <c r="K443" s="22" t="n">
        <v>0</v>
      </c>
      <c r="L443" s="22" t="n">
        <v>0</v>
      </c>
      <c r="M443" s="22" t="n">
        <v>0</v>
      </c>
      <c r="N443" s="22" t="n">
        <v>0</v>
      </c>
      <c r="O443" s="22" t="n">
        <v>0</v>
      </c>
      <c r="P443" s="22" t="n">
        <v>0</v>
      </c>
      <c r="Q443" s="22" t="n">
        <v>0</v>
      </c>
      <c r="R443" s="22" t="n">
        <v>0</v>
      </c>
      <c r="S443" s="22" t="n">
        <v>0</v>
      </c>
      <c r="T443" s="22" t="n">
        <v>0</v>
      </c>
      <c r="U443" s="3">
        <f>IF(OR(N443=1,Q443=1),1,0)</f>
        <v/>
      </c>
      <c r="V443" s="3">
        <f>IF(OR(T443=1,P443=1),1,0)</f>
        <v/>
      </c>
      <c r="W443" s="3">
        <f>IF(OR(J443=1),1,0)</f>
        <v/>
      </c>
      <c r="X443" s="3">
        <f>IF(OR(I443=1,H443=1),1,0)</f>
        <v/>
      </c>
      <c r="Y443" s="3">
        <f>IF(OR(G443=1),1,0)</f>
        <v/>
      </c>
      <c r="Z443" s="3">
        <f>IF(OR(F443=1),1,0)</f>
        <v/>
      </c>
      <c r="AA443" s="3">
        <f>IF(OR(M443=1),1,0)</f>
        <v/>
      </c>
    </row>
    <row r="444">
      <c r="A444" s="22" t="inlineStr">
        <is>
          <t>d36adedfe265a0d28bf1fee3c1cbef5e9bc892f3</t>
        </is>
      </c>
      <c r="B444" s="22" t="inlineStr">
        <is>
          <t>2026-10</t>
        </is>
      </c>
      <c r="C444" s="22" t="inlineStr">
        <is>
          <t>Nairaland</t>
        </is>
      </c>
      <c r="D444" s="22" t="n">
        <v>0</v>
      </c>
      <c r="E444" s="22" t="inlineStr">
        <is>
          <t>Nairaland: Nairaland</t>
        </is>
      </c>
      <c r="F444" s="22" t="inlineStr">
        <is>
          <t>nairaland:Nairaland</t>
        </is>
      </c>
      <c r="G444" s="22" t="n">
        <v>-0.296</v>
      </c>
      <c r="H444" s="22" t="n">
        <v>0</v>
      </c>
      <c r="I444" s="22" t="n">
        <v>0</v>
      </c>
      <c r="J444" s="22" t="n">
        <v>0</v>
      </c>
      <c r="K444" s="22" t="n">
        <v>0</v>
      </c>
      <c r="L444" s="22" t="n">
        <v>0</v>
      </c>
      <c r="M444" s="22" t="n">
        <v>0</v>
      </c>
      <c r="N444" s="22" t="n">
        <v>1</v>
      </c>
      <c r="O444" s="22" t="n">
        <v>0</v>
      </c>
      <c r="P444" s="22" t="n">
        <v>0</v>
      </c>
      <c r="Q444" s="22" t="n">
        <v>0</v>
      </c>
      <c r="R444" s="22" t="n">
        <v>0</v>
      </c>
      <c r="S444" s="22" t="n">
        <v>0</v>
      </c>
      <c r="T444" s="22" t="n">
        <v>0</v>
      </c>
      <c r="U444" s="3">
        <f>IF(OR(N444=1,Q444=1),1,0)</f>
        <v/>
      </c>
      <c r="V444" s="3">
        <f>IF(OR(T444=1,P444=1),1,0)</f>
        <v/>
      </c>
      <c r="W444" s="3">
        <f>IF(OR(J444=1),1,0)</f>
        <v/>
      </c>
      <c r="X444" s="3">
        <f>IF(OR(I444=1,H444=1),1,0)</f>
        <v/>
      </c>
      <c r="Y444" s="3">
        <f>IF(OR(G444=1),1,0)</f>
        <v/>
      </c>
      <c r="Z444" s="3">
        <f>IF(OR(F444=1),1,0)</f>
        <v/>
      </c>
      <c r="AA444" s="3">
        <f>IF(OR(M444=1),1,0)</f>
        <v/>
      </c>
    </row>
    <row r="445">
      <c r="A445" s="22" t="inlineStr">
        <is>
          <t>5ecdcce10b8d10cc07c18d1f58d41fd1d9d48f5d</t>
        </is>
      </c>
      <c r="B445" s="22" t="inlineStr">
        <is>
          <t>2026-10</t>
        </is>
      </c>
      <c r="C445" s="22" t="inlineStr">
        <is>
          <t>Nairaland</t>
        </is>
      </c>
      <c r="D445" s="22" t="n">
        <v>0</v>
      </c>
      <c r="E445" s="22" t="inlineStr">
        <is>
          <t>Nairaland: Nairaland</t>
        </is>
      </c>
      <c r="F445" s="22" t="inlineStr">
        <is>
          <t>nairaland:Nairaland</t>
        </is>
      </c>
      <c r="G445" s="22" t="n">
        <v>0.472</v>
      </c>
      <c r="H445" s="22" t="n">
        <v>1</v>
      </c>
      <c r="I445" s="22" t="n">
        <v>0</v>
      </c>
      <c r="J445" s="22" t="n">
        <v>0</v>
      </c>
      <c r="K445" s="22" t="n">
        <v>0</v>
      </c>
      <c r="L445" s="22" t="n">
        <v>0</v>
      </c>
      <c r="M445" s="22" t="n">
        <v>0</v>
      </c>
      <c r="N445" s="22" t="n">
        <v>0</v>
      </c>
      <c r="O445" s="22" t="n">
        <v>0</v>
      </c>
      <c r="P445" s="22" t="n">
        <v>0</v>
      </c>
      <c r="Q445" s="22" t="n">
        <v>0</v>
      </c>
      <c r="R445" s="22" t="n">
        <v>0</v>
      </c>
      <c r="S445" s="22" t="n">
        <v>0</v>
      </c>
      <c r="T445" s="22" t="n">
        <v>0</v>
      </c>
      <c r="U445" s="3">
        <f>IF(OR(N445=1,Q445=1),1,0)</f>
        <v/>
      </c>
      <c r="V445" s="3">
        <f>IF(OR(T445=1,P445=1),1,0)</f>
        <v/>
      </c>
      <c r="W445" s="3">
        <f>IF(OR(J445=1),1,0)</f>
        <v/>
      </c>
      <c r="X445" s="3">
        <f>IF(OR(I445=1,H445=1),1,0)</f>
        <v/>
      </c>
      <c r="Y445" s="3">
        <f>IF(OR(G445=1),1,0)</f>
        <v/>
      </c>
      <c r="Z445" s="3">
        <f>IF(OR(F445=1),1,0)</f>
        <v/>
      </c>
      <c r="AA445" s="3">
        <f>IF(OR(M445=1),1,0)</f>
        <v/>
      </c>
    </row>
    <row r="446">
      <c r="A446" s="22" t="inlineStr">
        <is>
          <t>de25f139d930d3be6d73156e304bc0a49646db5a</t>
        </is>
      </c>
      <c r="B446" s="22" t="inlineStr">
        <is>
          <t>2026-10</t>
        </is>
      </c>
      <c r="C446" s="22" t="inlineStr">
        <is>
          <t>Nairaland</t>
        </is>
      </c>
      <c r="D446" s="22" t="n">
        <v>0</v>
      </c>
      <c r="E446" s="22" t="inlineStr">
        <is>
          <t>Nairaland: Nairaland</t>
        </is>
      </c>
      <c r="F446" s="22" t="inlineStr">
        <is>
          <t>nairaland:Nairaland</t>
        </is>
      </c>
      <c r="G446" s="22" t="n">
        <v>-0.402</v>
      </c>
      <c r="H446" s="22" t="n">
        <v>0</v>
      </c>
      <c r="I446" s="22" t="n">
        <v>0</v>
      </c>
      <c r="J446" s="22" t="n">
        <v>0</v>
      </c>
      <c r="K446" s="22" t="n">
        <v>0</v>
      </c>
      <c r="L446" s="22" t="n">
        <v>0</v>
      </c>
      <c r="M446" s="22" t="n">
        <v>1</v>
      </c>
      <c r="N446" s="22" t="n">
        <v>0</v>
      </c>
      <c r="O446" s="22" t="n">
        <v>0</v>
      </c>
      <c r="P446" s="22" t="n">
        <v>0</v>
      </c>
      <c r="Q446" s="22" t="n">
        <v>0</v>
      </c>
      <c r="R446" s="22" t="n">
        <v>0</v>
      </c>
      <c r="S446" s="22" t="n">
        <v>0</v>
      </c>
      <c r="T446" s="22" t="n">
        <v>0</v>
      </c>
      <c r="U446" s="3">
        <f>IF(OR(N446=1,Q446=1),1,0)</f>
        <v/>
      </c>
      <c r="V446" s="3">
        <f>IF(OR(T446=1,P446=1),1,0)</f>
        <v/>
      </c>
      <c r="W446" s="3">
        <f>IF(OR(J446=1),1,0)</f>
        <v/>
      </c>
      <c r="X446" s="3">
        <f>IF(OR(I446=1,H446=1),1,0)</f>
        <v/>
      </c>
      <c r="Y446" s="3">
        <f>IF(OR(G446=1),1,0)</f>
        <v/>
      </c>
      <c r="Z446" s="3">
        <f>IF(OR(F446=1),1,0)</f>
        <v/>
      </c>
      <c r="AA446" s="3">
        <f>IF(OR(M446=1),1,0)</f>
        <v/>
      </c>
    </row>
    <row r="447">
      <c r="A447" s="22" t="inlineStr">
        <is>
          <t>857214ac22da5e8b5632af8954a401aee159f7ad</t>
        </is>
      </c>
      <c r="B447" s="22" t="inlineStr">
        <is>
          <t>2026-10</t>
        </is>
      </c>
      <c r="C447" s="22" t="inlineStr">
        <is>
          <t>Nairaland</t>
        </is>
      </c>
      <c r="D447" s="22" t="n">
        <v>0</v>
      </c>
      <c r="E447" s="22" t="inlineStr">
        <is>
          <t>Nairaland: Nairaland</t>
        </is>
      </c>
      <c r="F447" s="22" t="inlineStr">
        <is>
          <t>nairaland:Nairaland</t>
        </is>
      </c>
      <c r="G447" s="22" t="n">
        <v>0.077</v>
      </c>
      <c r="H447" s="22" t="n">
        <v>0</v>
      </c>
      <c r="I447" s="22" t="n">
        <v>1</v>
      </c>
      <c r="J447" s="22" t="n">
        <v>0</v>
      </c>
      <c r="K447" s="22" t="n">
        <v>0</v>
      </c>
      <c r="L447" s="22" t="n">
        <v>0</v>
      </c>
      <c r="M447" s="22" t="n">
        <v>0</v>
      </c>
      <c r="N447" s="22" t="n">
        <v>0</v>
      </c>
      <c r="O447" s="22" t="n">
        <v>0</v>
      </c>
      <c r="P447" s="22" t="n">
        <v>0</v>
      </c>
      <c r="Q447" s="22" t="n">
        <v>0</v>
      </c>
      <c r="R447" s="22" t="n">
        <v>0</v>
      </c>
      <c r="S447" s="22" t="n">
        <v>0</v>
      </c>
      <c r="T447" s="22" t="n">
        <v>0</v>
      </c>
      <c r="U447" s="3">
        <f>IF(OR(N447=1,Q447=1),1,0)</f>
        <v/>
      </c>
      <c r="V447" s="3">
        <f>IF(OR(T447=1,P447=1),1,0)</f>
        <v/>
      </c>
      <c r="W447" s="3">
        <f>IF(OR(J447=1),1,0)</f>
        <v/>
      </c>
      <c r="X447" s="3">
        <f>IF(OR(I447=1,H447=1),1,0)</f>
        <v/>
      </c>
      <c r="Y447" s="3">
        <f>IF(OR(G447=1),1,0)</f>
        <v/>
      </c>
      <c r="Z447" s="3">
        <f>IF(OR(F447=1),1,0)</f>
        <v/>
      </c>
      <c r="AA447" s="3">
        <f>IF(OR(M447=1),1,0)</f>
        <v/>
      </c>
    </row>
    <row r="448">
      <c r="A448" s="22" t="inlineStr">
        <is>
          <t>c906f14b76e9ad41eabe13fa8fd62a23f490ac8c</t>
        </is>
      </c>
      <c r="B448" s="22" t="inlineStr">
        <is>
          <t>2026-10</t>
        </is>
      </c>
      <c r="C448" s="22" t="inlineStr">
        <is>
          <t>Nairaland</t>
        </is>
      </c>
      <c r="D448" s="22" t="n">
        <v>0</v>
      </c>
      <c r="E448" s="22" t="inlineStr">
        <is>
          <t>Nairaland: Nairaland</t>
        </is>
      </c>
      <c r="F448" s="22" t="inlineStr">
        <is>
          <t>nairaland:Nairaland</t>
        </is>
      </c>
      <c r="G448" s="22" t="n">
        <v>-0.586</v>
      </c>
      <c r="H448" s="22" t="n">
        <v>1</v>
      </c>
      <c r="I448" s="22" t="n">
        <v>0</v>
      </c>
      <c r="J448" s="22" t="n">
        <v>0</v>
      </c>
      <c r="K448" s="22" t="n">
        <v>0</v>
      </c>
      <c r="L448" s="22" t="n">
        <v>0</v>
      </c>
      <c r="M448" s="22" t="n">
        <v>0</v>
      </c>
      <c r="N448" s="22" t="n">
        <v>0</v>
      </c>
      <c r="O448" s="22" t="n">
        <v>1</v>
      </c>
      <c r="P448" s="22" t="n">
        <v>0</v>
      </c>
      <c r="Q448" s="22" t="n">
        <v>0</v>
      </c>
      <c r="R448" s="22" t="n">
        <v>0</v>
      </c>
      <c r="S448" s="22" t="n">
        <v>0</v>
      </c>
      <c r="T448" s="22" t="n">
        <v>0</v>
      </c>
      <c r="U448" s="3">
        <f>IF(OR(N448=1,Q448=1),1,0)</f>
        <v/>
      </c>
      <c r="V448" s="3">
        <f>IF(OR(T448=1,P448=1),1,0)</f>
        <v/>
      </c>
      <c r="W448" s="3">
        <f>IF(OR(J448=1),1,0)</f>
        <v/>
      </c>
      <c r="X448" s="3">
        <f>IF(OR(I448=1,H448=1),1,0)</f>
        <v/>
      </c>
      <c r="Y448" s="3">
        <f>IF(OR(G448=1),1,0)</f>
        <v/>
      </c>
      <c r="Z448" s="3">
        <f>IF(OR(F448=1),1,0)</f>
        <v/>
      </c>
      <c r="AA448" s="3">
        <f>IF(OR(M448=1),1,0)</f>
        <v/>
      </c>
    </row>
    <row r="449">
      <c r="A449" s="22" t="inlineStr">
        <is>
          <t>a3f6be91e0134087dec93fa752e1419687d1ba77</t>
        </is>
      </c>
      <c r="B449" s="22" t="inlineStr">
        <is>
          <t>2026-10</t>
        </is>
      </c>
      <c r="C449" s="22" t="inlineStr">
        <is>
          <t>Nairaland</t>
        </is>
      </c>
      <c r="D449" s="22" t="n">
        <v>0</v>
      </c>
      <c r="E449" s="22" t="inlineStr">
        <is>
          <t>Nairaland: Nairaland</t>
        </is>
      </c>
      <c r="F449" s="22" t="inlineStr">
        <is>
          <t>nairaland:Nairaland</t>
        </is>
      </c>
      <c r="G449" s="22" t="n">
        <v>-0.402</v>
      </c>
      <c r="H449" s="22" t="n">
        <v>0</v>
      </c>
      <c r="I449" s="22" t="n">
        <v>1</v>
      </c>
      <c r="J449" s="22" t="n">
        <v>0</v>
      </c>
      <c r="K449" s="22" t="n">
        <v>0</v>
      </c>
      <c r="L449" s="22" t="n">
        <v>0</v>
      </c>
      <c r="M449" s="22" t="n">
        <v>0</v>
      </c>
      <c r="N449" s="22" t="n">
        <v>0</v>
      </c>
      <c r="O449" s="22" t="n">
        <v>0</v>
      </c>
      <c r="P449" s="22" t="n">
        <v>0</v>
      </c>
      <c r="Q449" s="22" t="n">
        <v>0</v>
      </c>
      <c r="R449" s="22" t="n">
        <v>0</v>
      </c>
      <c r="S449" s="22" t="n">
        <v>0</v>
      </c>
      <c r="T449" s="22" t="n">
        <v>0</v>
      </c>
      <c r="U449" s="3">
        <f>IF(OR(N449=1,Q449=1),1,0)</f>
        <v/>
      </c>
      <c r="V449" s="3">
        <f>IF(OR(T449=1,P449=1),1,0)</f>
        <v/>
      </c>
      <c r="W449" s="3">
        <f>IF(OR(J449=1),1,0)</f>
        <v/>
      </c>
      <c r="X449" s="3">
        <f>IF(OR(I449=1,H449=1),1,0)</f>
        <v/>
      </c>
      <c r="Y449" s="3">
        <f>IF(OR(G449=1),1,0)</f>
        <v/>
      </c>
      <c r="Z449" s="3">
        <f>IF(OR(F449=1),1,0)</f>
        <v/>
      </c>
      <c r="AA449" s="3">
        <f>IF(OR(M449=1),1,0)</f>
        <v/>
      </c>
    </row>
    <row r="450">
      <c r="A450" s="22" t="inlineStr">
        <is>
          <t>1985574afb961b5d2cfcd995c73098f332754364</t>
        </is>
      </c>
      <c r="B450" s="22" t="inlineStr">
        <is>
          <t>2026-10</t>
        </is>
      </c>
      <c r="C450" s="22" t="inlineStr">
        <is>
          <t>Nairaland</t>
        </is>
      </c>
      <c r="D450" s="22" t="n">
        <v>0</v>
      </c>
      <c r="E450" s="22" t="inlineStr">
        <is>
          <t>Nairaland: Nairaland</t>
        </is>
      </c>
      <c r="F450" s="22" t="inlineStr">
        <is>
          <t>nairaland:Nairaland</t>
        </is>
      </c>
      <c r="G450" s="22" t="n">
        <v>-0.511</v>
      </c>
      <c r="H450" s="22" t="n">
        <v>0</v>
      </c>
      <c r="I450" s="22" t="n">
        <v>0</v>
      </c>
      <c r="J450" s="22" t="n">
        <v>0</v>
      </c>
      <c r="K450" s="22" t="n">
        <v>0</v>
      </c>
      <c r="L450" s="22" t="n">
        <v>0</v>
      </c>
      <c r="M450" s="22" t="n">
        <v>1</v>
      </c>
      <c r="N450" s="22" t="n">
        <v>0</v>
      </c>
      <c r="O450" s="22" t="n">
        <v>0</v>
      </c>
      <c r="P450" s="22" t="n">
        <v>0</v>
      </c>
      <c r="Q450" s="22" t="n">
        <v>0</v>
      </c>
      <c r="R450" s="22" t="n">
        <v>0</v>
      </c>
      <c r="S450" s="22" t="n">
        <v>0</v>
      </c>
      <c r="T450" s="22" t="n">
        <v>0</v>
      </c>
      <c r="U450" s="3">
        <f>IF(OR(N450=1,Q450=1),1,0)</f>
        <v/>
      </c>
      <c r="V450" s="3">
        <f>IF(OR(T450=1,P450=1),1,0)</f>
        <v/>
      </c>
      <c r="W450" s="3">
        <f>IF(OR(J450=1),1,0)</f>
        <v/>
      </c>
      <c r="X450" s="3">
        <f>IF(OR(I450=1,H450=1),1,0)</f>
        <v/>
      </c>
      <c r="Y450" s="3">
        <f>IF(OR(G450=1),1,0)</f>
        <v/>
      </c>
      <c r="Z450" s="3">
        <f>IF(OR(F450=1),1,0)</f>
        <v/>
      </c>
      <c r="AA450" s="3">
        <f>IF(OR(M450=1),1,0)</f>
        <v/>
      </c>
    </row>
    <row r="451">
      <c r="A451" s="22" t="inlineStr">
        <is>
          <t>ed0fc3c21cab0b5470af405bf5330a0392445082</t>
        </is>
      </c>
      <c r="B451" s="22" t="inlineStr">
        <is>
          <t>2026-10</t>
        </is>
      </c>
      <c r="C451" s="22" t="inlineStr">
        <is>
          <t>Nairaland</t>
        </is>
      </c>
      <c r="D451" s="22" t="n">
        <v>0</v>
      </c>
      <c r="E451" s="22" t="inlineStr">
        <is>
          <t>Nairaland: Nairaland</t>
        </is>
      </c>
      <c r="F451" s="22" t="inlineStr">
        <is>
          <t>nairaland:Nairaland</t>
        </is>
      </c>
      <c r="G451" s="22" t="n">
        <v>0.209</v>
      </c>
      <c r="H451" s="22" t="n">
        <v>0</v>
      </c>
      <c r="I451" s="22" t="n">
        <v>1</v>
      </c>
      <c r="J451" s="22" t="n">
        <v>0</v>
      </c>
      <c r="K451" s="22" t="n">
        <v>0</v>
      </c>
      <c r="L451" s="22" t="n">
        <v>0</v>
      </c>
      <c r="M451" s="22" t="n">
        <v>0</v>
      </c>
      <c r="N451" s="22" t="n">
        <v>0</v>
      </c>
      <c r="O451" s="22" t="n">
        <v>0</v>
      </c>
      <c r="P451" s="22" t="n">
        <v>0</v>
      </c>
      <c r="Q451" s="22" t="n">
        <v>0</v>
      </c>
      <c r="R451" s="22" t="n">
        <v>0</v>
      </c>
      <c r="S451" s="22" t="n">
        <v>0</v>
      </c>
      <c r="T451" s="22" t="n">
        <v>0</v>
      </c>
      <c r="U451" s="3">
        <f>IF(OR(N451=1,Q451=1),1,0)</f>
        <v/>
      </c>
      <c r="V451" s="3">
        <f>IF(OR(T451=1,P451=1),1,0)</f>
        <v/>
      </c>
      <c r="W451" s="3">
        <f>IF(OR(J451=1),1,0)</f>
        <v/>
      </c>
      <c r="X451" s="3">
        <f>IF(OR(I451=1,H451=1),1,0)</f>
        <v/>
      </c>
      <c r="Y451" s="3">
        <f>IF(OR(G451=1),1,0)</f>
        <v/>
      </c>
      <c r="Z451" s="3">
        <f>IF(OR(F451=1),1,0)</f>
        <v/>
      </c>
      <c r="AA451" s="3">
        <f>IF(OR(M451=1),1,0)</f>
        <v/>
      </c>
    </row>
    <row r="452">
      <c r="A452" s="22" t="inlineStr">
        <is>
          <t>98f539de762762c7f285907eb227cd28118c305f</t>
        </is>
      </c>
      <c r="B452" s="22" t="inlineStr">
        <is>
          <t>2026-10</t>
        </is>
      </c>
      <c r="C452" s="22" t="inlineStr">
        <is>
          <t>Nairaland</t>
        </is>
      </c>
      <c r="D452" s="22" t="n">
        <v>0</v>
      </c>
      <c r="E452" s="22" t="inlineStr">
        <is>
          <t>Nairaland: Nairaland</t>
        </is>
      </c>
      <c r="F452" s="22" t="inlineStr">
        <is>
          <t>nairaland:Nairaland</t>
        </is>
      </c>
      <c r="G452" s="22" t="n">
        <v>-0.402</v>
      </c>
      <c r="H452" s="22" t="n">
        <v>0</v>
      </c>
      <c r="I452" s="22" t="n">
        <v>0</v>
      </c>
      <c r="J452" s="22" t="n">
        <v>0</v>
      </c>
      <c r="K452" s="22" t="n">
        <v>0</v>
      </c>
      <c r="L452" s="22" t="n">
        <v>0</v>
      </c>
      <c r="M452" s="22" t="n">
        <v>1</v>
      </c>
      <c r="N452" s="22" t="n">
        <v>0</v>
      </c>
      <c r="O452" s="22" t="n">
        <v>0</v>
      </c>
      <c r="P452" s="22" t="n">
        <v>0</v>
      </c>
      <c r="Q452" s="22" t="n">
        <v>0</v>
      </c>
      <c r="R452" s="22" t="n">
        <v>0</v>
      </c>
      <c r="S452" s="22" t="n">
        <v>0</v>
      </c>
      <c r="T452" s="22" t="n">
        <v>0</v>
      </c>
      <c r="U452" s="3">
        <f>IF(OR(N452=1,Q452=1),1,0)</f>
        <v/>
      </c>
      <c r="V452" s="3">
        <f>IF(OR(T452=1,P452=1),1,0)</f>
        <v/>
      </c>
      <c r="W452" s="3">
        <f>IF(OR(J452=1),1,0)</f>
        <v/>
      </c>
      <c r="X452" s="3">
        <f>IF(OR(I452=1,H452=1),1,0)</f>
        <v/>
      </c>
      <c r="Y452" s="3">
        <f>IF(OR(G452=1),1,0)</f>
        <v/>
      </c>
      <c r="Z452" s="3">
        <f>IF(OR(F452=1),1,0)</f>
        <v/>
      </c>
      <c r="AA452" s="3">
        <f>IF(OR(M452=1),1,0)</f>
        <v/>
      </c>
    </row>
    <row r="453">
      <c r="A453" s="22" t="inlineStr">
        <is>
          <t>99c8d4f5b0931622fb382f7083278a4962f00f82</t>
        </is>
      </c>
      <c r="B453" s="22" t="inlineStr">
        <is>
          <t>2026-10</t>
        </is>
      </c>
      <c r="C453" s="22" t="inlineStr">
        <is>
          <t>Nairaland</t>
        </is>
      </c>
      <c r="D453" s="22" t="n">
        <v>0</v>
      </c>
      <c r="E453" s="22" t="inlineStr">
        <is>
          <t>Nairaland: Nairaland</t>
        </is>
      </c>
      <c r="F453" s="22" t="inlineStr">
        <is>
          <t>nairaland:Nairaland</t>
        </is>
      </c>
      <c r="G453" s="22" t="n">
        <v>-0.765</v>
      </c>
      <c r="H453" s="22" t="n">
        <v>0</v>
      </c>
      <c r="I453" s="22" t="n">
        <v>0</v>
      </c>
      <c r="J453" s="22" t="n">
        <v>0</v>
      </c>
      <c r="K453" s="22" t="n">
        <v>0</v>
      </c>
      <c r="L453" s="22" t="n">
        <v>0</v>
      </c>
      <c r="M453" s="22" t="n">
        <v>1</v>
      </c>
      <c r="N453" s="22" t="n">
        <v>0</v>
      </c>
      <c r="O453" s="22" t="n">
        <v>0</v>
      </c>
      <c r="P453" s="22" t="n">
        <v>0</v>
      </c>
      <c r="Q453" s="22" t="n">
        <v>0</v>
      </c>
      <c r="R453" s="22" t="n">
        <v>0</v>
      </c>
      <c r="S453" s="22" t="n">
        <v>0</v>
      </c>
      <c r="T453" s="22" t="n">
        <v>0</v>
      </c>
      <c r="U453" s="3">
        <f>IF(OR(N453=1,Q453=1),1,0)</f>
        <v/>
      </c>
      <c r="V453" s="3">
        <f>IF(OR(T453=1,P453=1),1,0)</f>
        <v/>
      </c>
      <c r="W453" s="3">
        <f>IF(OR(J453=1),1,0)</f>
        <v/>
      </c>
      <c r="X453" s="3">
        <f>IF(OR(I453=1,H453=1),1,0)</f>
        <v/>
      </c>
      <c r="Y453" s="3">
        <f>IF(OR(G453=1),1,0)</f>
        <v/>
      </c>
      <c r="Z453" s="3">
        <f>IF(OR(F453=1),1,0)</f>
        <v/>
      </c>
      <c r="AA453" s="3">
        <f>IF(OR(M453=1),1,0)</f>
        <v/>
      </c>
    </row>
    <row r="454">
      <c r="A454" s="22" t="inlineStr">
        <is>
          <t>e13ab29371414368cc639b81ba29f020af689661</t>
        </is>
      </c>
      <c r="B454" s="22" t="inlineStr">
        <is>
          <t>2026-10</t>
        </is>
      </c>
      <c r="C454" s="22" t="inlineStr">
        <is>
          <t>Nairaland</t>
        </is>
      </c>
      <c r="D454" s="22" t="n">
        <v>0</v>
      </c>
      <c r="E454" s="22" t="inlineStr">
        <is>
          <t>Nairaland: Nairaland</t>
        </is>
      </c>
      <c r="F454" s="22" t="inlineStr">
        <is>
          <t>nairaland:Nairaland</t>
        </is>
      </c>
      <c r="G454" s="22" t="n">
        <v>-0.869</v>
      </c>
      <c r="H454" s="22" t="n">
        <v>0</v>
      </c>
      <c r="I454" s="22" t="n">
        <v>0</v>
      </c>
      <c r="J454" s="22" t="n">
        <v>0</v>
      </c>
      <c r="K454" s="22" t="n">
        <v>0</v>
      </c>
      <c r="L454" s="22" t="n">
        <v>0</v>
      </c>
      <c r="M454" s="22" t="n">
        <v>1</v>
      </c>
      <c r="N454" s="22" t="n">
        <v>0</v>
      </c>
      <c r="O454" s="22" t="n">
        <v>0</v>
      </c>
      <c r="P454" s="22" t="n">
        <v>0</v>
      </c>
      <c r="Q454" s="22" t="n">
        <v>0</v>
      </c>
      <c r="R454" s="22" t="n">
        <v>0</v>
      </c>
      <c r="S454" s="22" t="n">
        <v>0</v>
      </c>
      <c r="T454" s="22" t="n">
        <v>0</v>
      </c>
      <c r="U454" s="3">
        <f>IF(OR(N454=1,Q454=1),1,0)</f>
        <v/>
      </c>
      <c r="V454" s="3">
        <f>IF(OR(T454=1,P454=1),1,0)</f>
        <v/>
      </c>
      <c r="W454" s="3">
        <f>IF(OR(J454=1),1,0)</f>
        <v/>
      </c>
      <c r="X454" s="3">
        <f>IF(OR(I454=1,H454=1),1,0)</f>
        <v/>
      </c>
      <c r="Y454" s="3">
        <f>IF(OR(G454=1),1,0)</f>
        <v/>
      </c>
      <c r="Z454" s="3">
        <f>IF(OR(F454=1),1,0)</f>
        <v/>
      </c>
      <c r="AA454" s="3">
        <f>IF(OR(M454=1),1,0)</f>
        <v/>
      </c>
    </row>
    <row r="455">
      <c r="A455" s="22" t="inlineStr">
        <is>
          <t>e63352e30d99ea88183b77d952760e14f578686e</t>
        </is>
      </c>
      <c r="B455" s="22" t="inlineStr">
        <is>
          <t>2026-10</t>
        </is>
      </c>
      <c r="C455" s="22" t="inlineStr">
        <is>
          <t>Nairaland</t>
        </is>
      </c>
      <c r="D455" s="22" t="n">
        <v>0</v>
      </c>
      <c r="E455" s="22" t="inlineStr">
        <is>
          <t>Nairaland: Nairaland</t>
        </is>
      </c>
      <c r="F455" s="22" t="inlineStr">
        <is>
          <t>nairaland:Nairaland</t>
        </is>
      </c>
      <c r="G455" s="22" t="n">
        <v>0</v>
      </c>
      <c r="H455" s="22" t="n">
        <v>0</v>
      </c>
      <c r="I455" s="22" t="n">
        <v>1</v>
      </c>
      <c r="J455" s="22" t="n">
        <v>0</v>
      </c>
      <c r="K455" s="22" t="n">
        <v>0</v>
      </c>
      <c r="L455" s="22" t="n">
        <v>0</v>
      </c>
      <c r="M455" s="22" t="n">
        <v>0</v>
      </c>
      <c r="N455" s="22" t="n">
        <v>0</v>
      </c>
      <c r="O455" s="22" t="n">
        <v>0</v>
      </c>
      <c r="P455" s="22" t="n">
        <v>0</v>
      </c>
      <c r="Q455" s="22" t="n">
        <v>0</v>
      </c>
      <c r="R455" s="22" t="n">
        <v>0</v>
      </c>
      <c r="S455" s="22" t="n">
        <v>0</v>
      </c>
      <c r="T455" s="22" t="n">
        <v>0</v>
      </c>
      <c r="U455" s="3">
        <f>IF(OR(N455=1,Q455=1),1,0)</f>
        <v/>
      </c>
      <c r="V455" s="3">
        <f>IF(OR(T455=1,P455=1),1,0)</f>
        <v/>
      </c>
      <c r="W455" s="3">
        <f>IF(OR(J455=1),1,0)</f>
        <v/>
      </c>
      <c r="X455" s="3">
        <f>IF(OR(I455=1,H455=1),1,0)</f>
        <v/>
      </c>
      <c r="Y455" s="3">
        <f>IF(OR(G455=1),1,0)</f>
        <v/>
      </c>
      <c r="Z455" s="3">
        <f>IF(OR(F455=1),1,0)</f>
        <v/>
      </c>
      <c r="AA455" s="3">
        <f>IF(OR(M455=1),1,0)</f>
        <v/>
      </c>
    </row>
    <row r="456">
      <c r="A456" s="22" t="inlineStr">
        <is>
          <t>ec8e3f2fe0c1fb5210e20092d19f902cb212014f</t>
        </is>
      </c>
      <c r="B456" s="22" t="inlineStr">
        <is>
          <t>2026-10</t>
        </is>
      </c>
      <c r="C456" s="22" t="inlineStr">
        <is>
          <t>Nairaland</t>
        </is>
      </c>
      <c r="D456" s="22" t="n">
        <v>0</v>
      </c>
      <c r="E456" s="22" t="inlineStr">
        <is>
          <t>Nairaland: Nairaland</t>
        </is>
      </c>
      <c r="F456" s="22" t="inlineStr">
        <is>
          <t>nairaland:Nairaland</t>
        </is>
      </c>
      <c r="G456" s="22" t="n">
        <v>0.181</v>
      </c>
      <c r="H456" s="22" t="n">
        <v>0</v>
      </c>
      <c r="I456" s="22" t="n">
        <v>1</v>
      </c>
      <c r="J456" s="22" t="n">
        <v>0</v>
      </c>
      <c r="K456" s="22" t="n">
        <v>0</v>
      </c>
      <c r="L456" s="22" t="n">
        <v>0</v>
      </c>
      <c r="M456" s="22" t="n">
        <v>0</v>
      </c>
      <c r="N456" s="22" t="n">
        <v>0</v>
      </c>
      <c r="O456" s="22" t="n">
        <v>1</v>
      </c>
      <c r="P456" s="22" t="n">
        <v>0</v>
      </c>
      <c r="Q456" s="22" t="n">
        <v>0</v>
      </c>
      <c r="R456" s="22" t="n">
        <v>0</v>
      </c>
      <c r="S456" s="22" t="n">
        <v>0</v>
      </c>
      <c r="T456" s="22" t="n">
        <v>0</v>
      </c>
      <c r="U456" s="3">
        <f>IF(OR(N456=1,Q456=1),1,0)</f>
        <v/>
      </c>
      <c r="V456" s="3">
        <f>IF(OR(T456=1,P456=1),1,0)</f>
        <v/>
      </c>
      <c r="W456" s="3">
        <f>IF(OR(J456=1),1,0)</f>
        <v/>
      </c>
      <c r="X456" s="3">
        <f>IF(OR(I456=1,H456=1),1,0)</f>
        <v/>
      </c>
      <c r="Y456" s="3">
        <f>IF(OR(G456=1),1,0)</f>
        <v/>
      </c>
      <c r="Z456" s="3">
        <f>IF(OR(F456=1),1,0)</f>
        <v/>
      </c>
      <c r="AA456" s="3">
        <f>IF(OR(M456=1),1,0)</f>
        <v/>
      </c>
    </row>
    <row r="457">
      <c r="A457" s="22" t="inlineStr">
        <is>
          <t>8325be852d68f715a50cb37fbb5f6fe79e230350</t>
        </is>
      </c>
      <c r="B457" s="22" t="inlineStr">
        <is>
          <t>2026-10</t>
        </is>
      </c>
      <c r="C457" s="22" t="inlineStr">
        <is>
          <t>Nairaland</t>
        </is>
      </c>
      <c r="D457" s="22" t="n">
        <v>0</v>
      </c>
      <c r="E457" s="22" t="inlineStr">
        <is>
          <t>Nairaland: Nairaland</t>
        </is>
      </c>
      <c r="F457" s="22" t="inlineStr">
        <is>
          <t>nairaland:Nairaland</t>
        </is>
      </c>
      <c r="G457" s="22" t="n">
        <v>0.681</v>
      </c>
      <c r="H457" s="22" t="n">
        <v>0</v>
      </c>
      <c r="I457" s="22" t="n">
        <v>0</v>
      </c>
      <c r="J457" s="22" t="n">
        <v>0</v>
      </c>
      <c r="K457" s="22" t="n">
        <v>0</v>
      </c>
      <c r="L457" s="22" t="n">
        <v>0</v>
      </c>
      <c r="M457" s="22" t="n">
        <v>0</v>
      </c>
      <c r="N457" s="22" t="n">
        <v>0</v>
      </c>
      <c r="O457" s="22" t="n">
        <v>1</v>
      </c>
      <c r="P457" s="22" t="n">
        <v>0</v>
      </c>
      <c r="Q457" s="22" t="n">
        <v>0</v>
      </c>
      <c r="R457" s="22" t="n">
        <v>0</v>
      </c>
      <c r="S457" s="22" t="n">
        <v>0</v>
      </c>
      <c r="T457" s="22" t="n">
        <v>0</v>
      </c>
      <c r="U457" s="3">
        <f>IF(OR(N457=1,Q457=1),1,0)</f>
        <v/>
      </c>
      <c r="V457" s="3">
        <f>IF(OR(T457=1,P457=1),1,0)</f>
        <v/>
      </c>
      <c r="W457" s="3">
        <f>IF(OR(J457=1),1,0)</f>
        <v/>
      </c>
      <c r="X457" s="3">
        <f>IF(OR(I457=1,H457=1),1,0)</f>
        <v/>
      </c>
      <c r="Y457" s="3">
        <f>IF(OR(G457=1),1,0)</f>
        <v/>
      </c>
      <c r="Z457" s="3">
        <f>IF(OR(F457=1),1,0)</f>
        <v/>
      </c>
      <c r="AA457" s="3">
        <f>IF(OR(M457=1),1,0)</f>
        <v/>
      </c>
    </row>
    <row r="458">
      <c r="A458" s="22" t="inlineStr">
        <is>
          <t>1f0714600c6f446104ac4b89ff36d1c9674bd5e3</t>
        </is>
      </c>
      <c r="B458" s="22" t="inlineStr">
        <is>
          <t>2026-10</t>
        </is>
      </c>
      <c r="C458" s="22" t="inlineStr">
        <is>
          <t>Nairaland</t>
        </is>
      </c>
      <c r="D458" s="22" t="n">
        <v>0</v>
      </c>
      <c r="E458" s="22" t="inlineStr">
        <is>
          <t>Nairaland: Nairaland</t>
        </is>
      </c>
      <c r="F458" s="22" t="inlineStr">
        <is>
          <t>nairaland:Nairaland</t>
        </is>
      </c>
      <c r="G458" s="22" t="n">
        <v>0.361</v>
      </c>
      <c r="H458" s="22" t="n">
        <v>1</v>
      </c>
      <c r="I458" s="22" t="n">
        <v>0</v>
      </c>
      <c r="J458" s="22" t="n">
        <v>0</v>
      </c>
      <c r="K458" s="22" t="n">
        <v>0</v>
      </c>
      <c r="L458" s="22" t="n">
        <v>1</v>
      </c>
      <c r="M458" s="22" t="n">
        <v>0</v>
      </c>
      <c r="N458" s="22" t="n">
        <v>0</v>
      </c>
      <c r="O458" s="22" t="n">
        <v>0</v>
      </c>
      <c r="P458" s="22" t="n">
        <v>0</v>
      </c>
      <c r="Q458" s="22" t="n">
        <v>0</v>
      </c>
      <c r="R458" s="22" t="n">
        <v>0</v>
      </c>
      <c r="S458" s="22" t="n">
        <v>0</v>
      </c>
      <c r="T458" s="22" t="n">
        <v>1</v>
      </c>
      <c r="U458" s="3">
        <f>IF(OR(N458=1,Q458=1),1,0)</f>
        <v/>
      </c>
      <c r="V458" s="3">
        <f>IF(OR(T458=1,P458=1),1,0)</f>
        <v/>
      </c>
      <c r="W458" s="3">
        <f>IF(OR(J458=1),1,0)</f>
        <v/>
      </c>
      <c r="X458" s="3">
        <f>IF(OR(I458=1,H458=1),1,0)</f>
        <v/>
      </c>
      <c r="Y458" s="3">
        <f>IF(OR(G458=1),1,0)</f>
        <v/>
      </c>
      <c r="Z458" s="3">
        <f>IF(OR(F458=1),1,0)</f>
        <v/>
      </c>
      <c r="AA458" s="3">
        <f>IF(OR(M458=1),1,0)</f>
        <v/>
      </c>
    </row>
    <row r="459">
      <c r="A459" s="22" t="inlineStr">
        <is>
          <t>885bdb5be2e584d073c9fa15af8897a3349db09a</t>
        </is>
      </c>
      <c r="B459" s="22" t="inlineStr">
        <is>
          <t>2026-10</t>
        </is>
      </c>
      <c r="C459" s="22" t="inlineStr">
        <is>
          <t>Nairaland</t>
        </is>
      </c>
      <c r="D459" s="22" t="n">
        <v>0</v>
      </c>
      <c r="E459" s="22" t="inlineStr">
        <is>
          <t>Nairaland: Nairaland</t>
        </is>
      </c>
      <c r="F459" s="22" t="inlineStr">
        <is>
          <t>nairaland:Nairaland</t>
        </is>
      </c>
      <c r="G459" s="22" t="n">
        <v>0.494</v>
      </c>
      <c r="H459" s="22" t="n">
        <v>1</v>
      </c>
      <c r="I459" s="22" t="n">
        <v>0</v>
      </c>
      <c r="J459" s="22" t="n">
        <v>0</v>
      </c>
      <c r="K459" s="22" t="n">
        <v>0</v>
      </c>
      <c r="L459" s="22" t="n">
        <v>0</v>
      </c>
      <c r="M459" s="22" t="n">
        <v>0</v>
      </c>
      <c r="N459" s="22" t="n">
        <v>0</v>
      </c>
      <c r="O459" s="22" t="n">
        <v>0</v>
      </c>
      <c r="P459" s="22" t="n">
        <v>0</v>
      </c>
      <c r="Q459" s="22" t="n">
        <v>0</v>
      </c>
      <c r="R459" s="22" t="n">
        <v>0</v>
      </c>
      <c r="S459" s="22" t="n">
        <v>0</v>
      </c>
      <c r="T459" s="22" t="n">
        <v>0</v>
      </c>
      <c r="U459" s="3">
        <f>IF(OR(N459=1,Q459=1),1,0)</f>
        <v/>
      </c>
      <c r="V459" s="3">
        <f>IF(OR(T459=1,P459=1),1,0)</f>
        <v/>
      </c>
      <c r="W459" s="3">
        <f>IF(OR(J459=1),1,0)</f>
        <v/>
      </c>
      <c r="X459" s="3">
        <f>IF(OR(I459=1,H459=1),1,0)</f>
        <v/>
      </c>
      <c r="Y459" s="3">
        <f>IF(OR(G459=1),1,0)</f>
        <v/>
      </c>
      <c r="Z459" s="3">
        <f>IF(OR(F459=1),1,0)</f>
        <v/>
      </c>
      <c r="AA459" s="3">
        <f>IF(OR(M459=1),1,0)</f>
        <v/>
      </c>
    </row>
    <row r="460">
      <c r="A460" s="22" t="inlineStr">
        <is>
          <t>8fdd372c49ef8adce3b2deee1b504bb56e4ceb2b</t>
        </is>
      </c>
      <c r="B460" s="22" t="inlineStr">
        <is>
          <t>2026-10</t>
        </is>
      </c>
      <c r="C460" s="22" t="inlineStr">
        <is>
          <t>Nairaland</t>
        </is>
      </c>
      <c r="D460" s="22" t="n">
        <v>0</v>
      </c>
      <c r="E460" s="22" t="inlineStr">
        <is>
          <t>Nairaland: Nairaland</t>
        </is>
      </c>
      <c r="F460" s="22" t="inlineStr">
        <is>
          <t>nairaland:Nairaland</t>
        </is>
      </c>
      <c r="G460" s="22" t="n">
        <v>0.822</v>
      </c>
      <c r="H460" s="22" t="n">
        <v>1</v>
      </c>
      <c r="I460" s="22" t="n">
        <v>0</v>
      </c>
      <c r="J460" s="22" t="n">
        <v>0</v>
      </c>
      <c r="K460" s="22" t="n">
        <v>0</v>
      </c>
      <c r="L460" s="22" t="n">
        <v>0</v>
      </c>
      <c r="M460" s="22" t="n">
        <v>0</v>
      </c>
      <c r="N460" s="22" t="n">
        <v>0</v>
      </c>
      <c r="O460" s="22" t="n">
        <v>0</v>
      </c>
      <c r="P460" s="22" t="n">
        <v>0</v>
      </c>
      <c r="Q460" s="22" t="n">
        <v>0</v>
      </c>
      <c r="R460" s="22" t="n">
        <v>0</v>
      </c>
      <c r="S460" s="22" t="n">
        <v>0</v>
      </c>
      <c r="T460" s="22" t="n">
        <v>0</v>
      </c>
      <c r="U460" s="3">
        <f>IF(OR(N460=1,Q460=1),1,0)</f>
        <v/>
      </c>
      <c r="V460" s="3">
        <f>IF(OR(T460=1,P460=1),1,0)</f>
        <v/>
      </c>
      <c r="W460" s="3">
        <f>IF(OR(J460=1),1,0)</f>
        <v/>
      </c>
      <c r="X460" s="3">
        <f>IF(OR(I460=1,H460=1),1,0)</f>
        <v/>
      </c>
      <c r="Y460" s="3">
        <f>IF(OR(G460=1),1,0)</f>
        <v/>
      </c>
      <c r="Z460" s="3">
        <f>IF(OR(F460=1),1,0)</f>
        <v/>
      </c>
      <c r="AA460" s="3">
        <f>IF(OR(M460=1),1,0)</f>
        <v/>
      </c>
    </row>
    <row r="461">
      <c r="A461" s="22" t="inlineStr">
        <is>
          <t>03639a175d1694c310fa4437d1abaea2f9ae083d</t>
        </is>
      </c>
      <c r="B461" s="22" t="inlineStr">
        <is>
          <t>2026-10</t>
        </is>
      </c>
      <c r="C461" s="22" t="inlineStr">
        <is>
          <t>Nairaland</t>
        </is>
      </c>
      <c r="D461" s="22" t="n">
        <v>0</v>
      </c>
      <c r="E461" s="22" t="inlineStr">
        <is>
          <t>Nairaland: Nairaland</t>
        </is>
      </c>
      <c r="F461" s="22" t="inlineStr">
        <is>
          <t>nairaland:Nairaland</t>
        </is>
      </c>
      <c r="G461" s="22" t="n">
        <v>-0.955</v>
      </c>
      <c r="H461" s="22" t="n">
        <v>0</v>
      </c>
      <c r="I461" s="22" t="n">
        <v>0</v>
      </c>
      <c r="J461" s="22" t="n">
        <v>0</v>
      </c>
      <c r="K461" s="22" t="n">
        <v>1</v>
      </c>
      <c r="L461" s="22" t="n">
        <v>0</v>
      </c>
      <c r="M461" s="22" t="n">
        <v>0</v>
      </c>
      <c r="N461" s="22" t="n">
        <v>0</v>
      </c>
      <c r="O461" s="22" t="n">
        <v>0</v>
      </c>
      <c r="P461" s="22" t="n">
        <v>0</v>
      </c>
      <c r="Q461" s="22" t="n">
        <v>0</v>
      </c>
      <c r="R461" s="22" t="n">
        <v>0</v>
      </c>
      <c r="S461" s="22" t="n">
        <v>0</v>
      </c>
      <c r="T461" s="22" t="n">
        <v>0</v>
      </c>
      <c r="U461" s="3">
        <f>IF(OR(N461=1,Q461=1),1,0)</f>
        <v/>
      </c>
      <c r="V461" s="3">
        <f>IF(OR(T461=1,P461=1),1,0)</f>
        <v/>
      </c>
      <c r="W461" s="3">
        <f>IF(OR(J461=1),1,0)</f>
        <v/>
      </c>
      <c r="X461" s="3">
        <f>IF(OR(I461=1,H461=1),1,0)</f>
        <v/>
      </c>
      <c r="Y461" s="3">
        <f>IF(OR(G461=1),1,0)</f>
        <v/>
      </c>
      <c r="Z461" s="3">
        <f>IF(OR(F461=1),1,0)</f>
        <v/>
      </c>
      <c r="AA461" s="3">
        <f>IF(OR(M461=1),1,0)</f>
        <v/>
      </c>
    </row>
    <row r="462">
      <c r="A462" s="22" t="inlineStr">
        <is>
          <t>5e5aabad6f0039bd0d7617838cce043be5c50ef1</t>
        </is>
      </c>
      <c r="B462" s="22" t="inlineStr">
        <is>
          <t>2026-10</t>
        </is>
      </c>
      <c r="C462" s="22" t="inlineStr">
        <is>
          <t>Nairaland</t>
        </is>
      </c>
      <c r="D462" s="22" t="n">
        <v>0</v>
      </c>
      <c r="E462" s="22" t="inlineStr">
        <is>
          <t>Nairaland: Nairaland</t>
        </is>
      </c>
      <c r="F462" s="22" t="inlineStr">
        <is>
          <t>nairaland:Nairaland</t>
        </is>
      </c>
      <c r="G462" s="22" t="n">
        <v>-0.34</v>
      </c>
      <c r="H462" s="22" t="n">
        <v>0</v>
      </c>
      <c r="I462" s="22" t="n">
        <v>0</v>
      </c>
      <c r="J462" s="22" t="n">
        <v>0</v>
      </c>
      <c r="K462" s="22" t="n">
        <v>0</v>
      </c>
      <c r="L462" s="22" t="n">
        <v>0</v>
      </c>
      <c r="M462" s="22" t="n">
        <v>0</v>
      </c>
      <c r="N462" s="22" t="n">
        <v>0</v>
      </c>
      <c r="O462" s="22" t="n">
        <v>0</v>
      </c>
      <c r="P462" s="22" t="n">
        <v>0</v>
      </c>
      <c r="Q462" s="22" t="n">
        <v>0</v>
      </c>
      <c r="R462" s="22" t="n">
        <v>0</v>
      </c>
      <c r="S462" s="22" t="n">
        <v>0</v>
      </c>
      <c r="T462" s="22" t="n">
        <v>1</v>
      </c>
      <c r="U462" s="3">
        <f>IF(OR(N462=1,Q462=1),1,0)</f>
        <v/>
      </c>
      <c r="V462" s="3">
        <f>IF(OR(T462=1,P462=1),1,0)</f>
        <v/>
      </c>
      <c r="W462" s="3">
        <f>IF(OR(J462=1),1,0)</f>
        <v/>
      </c>
      <c r="X462" s="3">
        <f>IF(OR(I462=1,H462=1),1,0)</f>
        <v/>
      </c>
      <c r="Y462" s="3">
        <f>IF(OR(G462=1),1,0)</f>
        <v/>
      </c>
      <c r="Z462" s="3">
        <f>IF(OR(F462=1),1,0)</f>
        <v/>
      </c>
      <c r="AA462" s="3">
        <f>IF(OR(M462=1),1,0)</f>
        <v/>
      </c>
    </row>
    <row r="463">
      <c r="A463" s="22" t="inlineStr">
        <is>
          <t>48c1a24ebac188a7c5c3f763be397ad5b2a3121d</t>
        </is>
      </c>
      <c r="B463" s="22" t="inlineStr">
        <is>
          <t>2026-10</t>
        </is>
      </c>
      <c r="C463" s="22" t="inlineStr">
        <is>
          <t>Nairaland</t>
        </is>
      </c>
      <c r="D463" s="22" t="n">
        <v>0</v>
      </c>
      <c r="E463" s="22" t="inlineStr">
        <is>
          <t>Nairaland: Nairaland</t>
        </is>
      </c>
      <c r="F463" s="22" t="inlineStr">
        <is>
          <t>nairaland:Nairaland</t>
        </is>
      </c>
      <c r="G463" s="22" t="n">
        <v>-0.502</v>
      </c>
      <c r="H463" s="22" t="n">
        <v>1</v>
      </c>
      <c r="I463" s="22" t="n">
        <v>0</v>
      </c>
      <c r="J463" s="22" t="n">
        <v>0</v>
      </c>
      <c r="K463" s="22" t="n">
        <v>0</v>
      </c>
      <c r="L463" s="22" t="n">
        <v>0</v>
      </c>
      <c r="M463" s="22" t="n">
        <v>0</v>
      </c>
      <c r="N463" s="22" t="n">
        <v>0</v>
      </c>
      <c r="O463" s="22" t="n">
        <v>1</v>
      </c>
      <c r="P463" s="22" t="n">
        <v>0</v>
      </c>
      <c r="Q463" s="22" t="n">
        <v>0</v>
      </c>
      <c r="R463" s="22" t="n">
        <v>0</v>
      </c>
      <c r="S463" s="22" t="n">
        <v>0</v>
      </c>
      <c r="T463" s="22" t="n">
        <v>0</v>
      </c>
      <c r="U463" s="3">
        <f>IF(OR(N463=1,Q463=1),1,0)</f>
        <v/>
      </c>
      <c r="V463" s="3">
        <f>IF(OR(T463=1,P463=1),1,0)</f>
        <v/>
      </c>
      <c r="W463" s="3">
        <f>IF(OR(J463=1),1,0)</f>
        <v/>
      </c>
      <c r="X463" s="3">
        <f>IF(OR(I463=1,H463=1),1,0)</f>
        <v/>
      </c>
      <c r="Y463" s="3">
        <f>IF(OR(G463=1),1,0)</f>
        <v/>
      </c>
      <c r="Z463" s="3">
        <f>IF(OR(F463=1),1,0)</f>
        <v/>
      </c>
      <c r="AA463" s="3">
        <f>IF(OR(M463=1),1,0)</f>
        <v/>
      </c>
    </row>
    <row r="464">
      <c r="A464" s="22" t="inlineStr">
        <is>
          <t>84aec29146ad533020555e469dfab37b26cb4dbb</t>
        </is>
      </c>
      <c r="B464" s="22" t="inlineStr">
        <is>
          <t>2026-10</t>
        </is>
      </c>
      <c r="C464" s="22" t="inlineStr">
        <is>
          <t>Nairaland</t>
        </is>
      </c>
      <c r="D464" s="22" t="n">
        <v>0</v>
      </c>
      <c r="E464" s="22" t="inlineStr">
        <is>
          <t>Nairaland: Nairaland</t>
        </is>
      </c>
      <c r="F464" s="22" t="inlineStr">
        <is>
          <t>nairaland:Nairaland</t>
        </is>
      </c>
      <c r="G464" s="22" t="n">
        <v>-0.767</v>
      </c>
      <c r="H464" s="22" t="n">
        <v>0</v>
      </c>
      <c r="I464" s="22" t="n">
        <v>0</v>
      </c>
      <c r="J464" s="22" t="n">
        <v>0</v>
      </c>
      <c r="K464" s="22" t="n">
        <v>1</v>
      </c>
      <c r="L464" s="22" t="n">
        <v>0</v>
      </c>
      <c r="M464" s="22" t="n">
        <v>0</v>
      </c>
      <c r="N464" s="22" t="n">
        <v>0</v>
      </c>
      <c r="O464" s="22" t="n">
        <v>0</v>
      </c>
      <c r="P464" s="22" t="n">
        <v>0</v>
      </c>
      <c r="Q464" s="22" t="n">
        <v>0</v>
      </c>
      <c r="R464" s="22" t="n">
        <v>0</v>
      </c>
      <c r="S464" s="22" t="n">
        <v>0</v>
      </c>
      <c r="T464" s="22" t="n">
        <v>0</v>
      </c>
      <c r="U464" s="3">
        <f>IF(OR(N464=1,Q464=1),1,0)</f>
        <v/>
      </c>
      <c r="V464" s="3">
        <f>IF(OR(T464=1,P464=1),1,0)</f>
        <v/>
      </c>
      <c r="W464" s="3">
        <f>IF(OR(J464=1),1,0)</f>
        <v/>
      </c>
      <c r="X464" s="3">
        <f>IF(OR(I464=1,H464=1),1,0)</f>
        <v/>
      </c>
      <c r="Y464" s="3">
        <f>IF(OR(G464=1),1,0)</f>
        <v/>
      </c>
      <c r="Z464" s="3">
        <f>IF(OR(F464=1),1,0)</f>
        <v/>
      </c>
      <c r="AA464" s="3">
        <f>IF(OR(M464=1),1,0)</f>
        <v/>
      </c>
    </row>
    <row r="465">
      <c r="A465" s="22" t="inlineStr">
        <is>
          <t>58e8b7bad5e272c507a4b336411b803da95a6b56</t>
        </is>
      </c>
      <c r="B465" s="22" t="inlineStr">
        <is>
          <t>2026-10</t>
        </is>
      </c>
      <c r="C465" s="22" t="inlineStr">
        <is>
          <t>X</t>
        </is>
      </c>
      <c r="D465" s="22" t="n">
        <v>1</v>
      </c>
      <c r="E465" s="22" t="inlineStr">
        <is>
          <t>X: X search: Amupitan</t>
        </is>
      </c>
      <c r="F465" s="22" t="inlineStr">
        <is>
          <t>x:X search: Amupitan</t>
        </is>
      </c>
      <c r="G465" s="22" t="n">
        <v>-0.382</v>
      </c>
      <c r="H465" s="22" t="n">
        <v>0</v>
      </c>
      <c r="I465" s="22" t="n">
        <v>0</v>
      </c>
      <c r="J465" s="22" t="n">
        <v>0</v>
      </c>
      <c r="K465" s="22" t="n">
        <v>0</v>
      </c>
      <c r="L465" s="22" t="n">
        <v>0</v>
      </c>
      <c r="M465" s="22" t="n">
        <v>1</v>
      </c>
      <c r="N465" s="22" t="n">
        <v>0</v>
      </c>
      <c r="O465" s="22" t="n">
        <v>0</v>
      </c>
      <c r="P465" s="22" t="n">
        <v>0</v>
      </c>
      <c r="Q465" s="22" t="n">
        <v>0</v>
      </c>
      <c r="R465" s="22" t="n">
        <v>0</v>
      </c>
      <c r="S465" s="22" t="n">
        <v>0</v>
      </c>
      <c r="T465" s="22" t="n">
        <v>0</v>
      </c>
      <c r="U465" s="3">
        <f>IF(OR(N465=1,Q465=1),1,0)</f>
        <v/>
      </c>
      <c r="V465" s="3">
        <f>IF(OR(T465=1,P465=1),1,0)</f>
        <v/>
      </c>
      <c r="W465" s="3">
        <f>IF(OR(J465=1),1,0)</f>
        <v/>
      </c>
      <c r="X465" s="3">
        <f>IF(OR(I465=1,H465=1),1,0)</f>
        <v/>
      </c>
      <c r="Y465" s="3">
        <f>IF(OR(G465=1),1,0)</f>
        <v/>
      </c>
      <c r="Z465" s="3">
        <f>IF(OR(F465=1),1,0)</f>
        <v/>
      </c>
      <c r="AA465" s="3">
        <f>IF(OR(M465=1),1,0)</f>
        <v/>
      </c>
    </row>
    <row r="466">
      <c r="A466" s="22" t="inlineStr">
        <is>
          <t>f2e17f2044420c6fd4eaff582295ebf5224d1822</t>
        </is>
      </c>
      <c r="B466" s="22" t="inlineStr">
        <is>
          <t>2026-10</t>
        </is>
      </c>
      <c r="C466" s="22" t="inlineStr">
        <is>
          <t>X</t>
        </is>
      </c>
      <c r="D466" s="22" t="n">
        <v>1</v>
      </c>
      <c r="E466" s="22" t="inlineStr">
        <is>
          <t>X: X search: Amupitan</t>
        </is>
      </c>
      <c r="F466" s="22" t="inlineStr">
        <is>
          <t>x:X search: Amupitan</t>
        </is>
      </c>
      <c r="G466" s="22" t="n">
        <v>-0.386</v>
      </c>
      <c r="H466" s="22" t="n">
        <v>1</v>
      </c>
      <c r="I466" s="22" t="n">
        <v>0</v>
      </c>
      <c r="J466" s="22" t="n">
        <v>0</v>
      </c>
      <c r="K466" s="22" t="n">
        <v>0</v>
      </c>
      <c r="L466" s="22" t="n">
        <v>0</v>
      </c>
      <c r="M466" s="22" t="n">
        <v>1</v>
      </c>
      <c r="N466" s="22" t="n">
        <v>0</v>
      </c>
      <c r="O466" s="22" t="n">
        <v>1</v>
      </c>
      <c r="P466" s="22" t="n">
        <v>0</v>
      </c>
      <c r="Q466" s="22" t="n">
        <v>0</v>
      </c>
      <c r="R466" s="22" t="n">
        <v>0</v>
      </c>
      <c r="S466" s="22" t="n">
        <v>0</v>
      </c>
      <c r="T466" s="22" t="n">
        <v>0</v>
      </c>
      <c r="U466" s="3">
        <f>IF(OR(N466=1,Q466=1),1,0)</f>
        <v/>
      </c>
      <c r="V466" s="3">
        <f>IF(OR(T466=1,P466=1),1,0)</f>
        <v/>
      </c>
      <c r="W466" s="3">
        <f>IF(OR(J466=1),1,0)</f>
        <v/>
      </c>
      <c r="X466" s="3">
        <f>IF(OR(I466=1,H466=1),1,0)</f>
        <v/>
      </c>
      <c r="Y466" s="3">
        <f>IF(OR(G466=1),1,0)</f>
        <v/>
      </c>
      <c r="Z466" s="3">
        <f>IF(OR(F466=1),1,0)</f>
        <v/>
      </c>
      <c r="AA466" s="3">
        <f>IF(OR(M466=1),1,0)</f>
        <v/>
      </c>
    </row>
    <row r="467">
      <c r="A467" s="22" t="inlineStr">
        <is>
          <t>e51b0aa9822f13bdb810805448173068b5c3962c</t>
        </is>
      </c>
      <c r="B467" s="22" t="inlineStr">
        <is>
          <t>2026-10</t>
        </is>
      </c>
      <c r="C467" s="22" t="inlineStr">
        <is>
          <t>X</t>
        </is>
      </c>
      <c r="D467" s="22" t="n">
        <v>1</v>
      </c>
      <c r="E467" s="22" t="inlineStr">
        <is>
          <t>X: X search: Amupitan</t>
        </is>
      </c>
      <c r="F467" s="22" t="inlineStr">
        <is>
          <t>x:X search: Amupitan</t>
        </is>
      </c>
      <c r="G467" s="22" t="n">
        <v>0.608</v>
      </c>
      <c r="H467" s="22" t="n">
        <v>0</v>
      </c>
      <c r="I467" s="22" t="n">
        <v>0</v>
      </c>
      <c r="J467" s="22" t="n">
        <v>0</v>
      </c>
      <c r="K467" s="22" t="n">
        <v>0</v>
      </c>
      <c r="L467" s="22" t="n">
        <v>0</v>
      </c>
      <c r="M467" s="22" t="n">
        <v>1</v>
      </c>
      <c r="N467" s="22" t="n">
        <v>0</v>
      </c>
      <c r="O467" s="22" t="n">
        <v>0</v>
      </c>
      <c r="P467" s="22" t="n">
        <v>0</v>
      </c>
      <c r="Q467" s="22" t="n">
        <v>0</v>
      </c>
      <c r="R467" s="22" t="n">
        <v>0</v>
      </c>
      <c r="S467" s="22" t="n">
        <v>0</v>
      </c>
      <c r="T467" s="22" t="n">
        <v>0</v>
      </c>
      <c r="U467" s="3">
        <f>IF(OR(N467=1,Q467=1),1,0)</f>
        <v/>
      </c>
      <c r="V467" s="3">
        <f>IF(OR(T467=1,P467=1),1,0)</f>
        <v/>
      </c>
      <c r="W467" s="3">
        <f>IF(OR(J467=1),1,0)</f>
        <v/>
      </c>
      <c r="X467" s="3">
        <f>IF(OR(I467=1,H467=1),1,0)</f>
        <v/>
      </c>
      <c r="Y467" s="3">
        <f>IF(OR(G467=1),1,0)</f>
        <v/>
      </c>
      <c r="Z467" s="3">
        <f>IF(OR(F467=1),1,0)</f>
        <v/>
      </c>
      <c r="AA467" s="3">
        <f>IF(OR(M467=1),1,0)</f>
        <v/>
      </c>
    </row>
    <row r="468">
      <c r="A468" s="22" t="inlineStr">
        <is>
          <t>2586d846edc140a56a7aa24cf3aea4a9b1a5f3af</t>
        </is>
      </c>
      <c r="B468" s="22" t="inlineStr">
        <is>
          <t>2026-10</t>
        </is>
      </c>
      <c r="C468" s="22" t="inlineStr">
        <is>
          <t>X</t>
        </is>
      </c>
      <c r="D468" s="22" t="n">
        <v>1</v>
      </c>
      <c r="E468" s="22" t="inlineStr">
        <is>
          <t>X: X search: Amupitan</t>
        </is>
      </c>
      <c r="F468" s="22" t="inlineStr">
        <is>
          <t>x:X search: Amupitan</t>
        </is>
      </c>
      <c r="G468" s="22" t="n">
        <v>-0.67</v>
      </c>
      <c r="H468" s="22" t="n">
        <v>1</v>
      </c>
      <c r="I468" s="22" t="n">
        <v>0</v>
      </c>
      <c r="J468" s="22" t="n">
        <v>0</v>
      </c>
      <c r="K468" s="22" t="n">
        <v>0</v>
      </c>
      <c r="L468" s="22" t="n">
        <v>0</v>
      </c>
      <c r="M468" s="22" t="n">
        <v>1</v>
      </c>
      <c r="N468" s="22" t="n">
        <v>0</v>
      </c>
      <c r="O468" s="22" t="n">
        <v>0</v>
      </c>
      <c r="P468" s="22" t="n">
        <v>0</v>
      </c>
      <c r="Q468" s="22" t="n">
        <v>0</v>
      </c>
      <c r="R468" s="22" t="n">
        <v>0</v>
      </c>
      <c r="S468" s="22" t="n">
        <v>0</v>
      </c>
      <c r="T468" s="22" t="n">
        <v>0</v>
      </c>
      <c r="U468" s="3">
        <f>IF(OR(N468=1,Q468=1),1,0)</f>
        <v/>
      </c>
      <c r="V468" s="3">
        <f>IF(OR(T468=1,P468=1),1,0)</f>
        <v/>
      </c>
      <c r="W468" s="3">
        <f>IF(OR(J468=1),1,0)</f>
        <v/>
      </c>
      <c r="X468" s="3">
        <f>IF(OR(I468=1,H468=1),1,0)</f>
        <v/>
      </c>
      <c r="Y468" s="3">
        <f>IF(OR(G468=1),1,0)</f>
        <v/>
      </c>
      <c r="Z468" s="3">
        <f>IF(OR(F468=1),1,0)</f>
        <v/>
      </c>
      <c r="AA468" s="3">
        <f>IF(OR(M468=1),1,0)</f>
        <v/>
      </c>
    </row>
    <row r="469">
      <c r="A469" s="22" t="inlineStr">
        <is>
          <t>fc56ddc8014b69d63f6d5b28aa9897eb44b42805</t>
        </is>
      </c>
      <c r="B469" s="22" t="inlineStr">
        <is>
          <t>2026-10</t>
        </is>
      </c>
      <c r="C469" s="22" t="inlineStr">
        <is>
          <t>X</t>
        </is>
      </c>
      <c r="D469" s="22" t="n">
        <v>1</v>
      </c>
      <c r="E469" s="22" t="inlineStr">
        <is>
          <t>X: X search: Amupitan</t>
        </is>
      </c>
      <c r="F469" s="22" t="inlineStr">
        <is>
          <t>x:X search: Amupitan</t>
        </is>
      </c>
      <c r="G469" s="22" t="n">
        <v>-0.9340000000000001</v>
      </c>
      <c r="H469" s="22" t="n">
        <v>1</v>
      </c>
      <c r="I469" s="22" t="n">
        <v>0</v>
      </c>
      <c r="J469" s="22" t="n">
        <v>0</v>
      </c>
      <c r="K469" s="22" t="n">
        <v>0</v>
      </c>
      <c r="L469" s="22" t="n">
        <v>0</v>
      </c>
      <c r="M469" s="22" t="n">
        <v>1</v>
      </c>
      <c r="N469" s="22" t="n">
        <v>0</v>
      </c>
      <c r="O469" s="22" t="n">
        <v>0</v>
      </c>
      <c r="P469" s="22" t="n">
        <v>0</v>
      </c>
      <c r="Q469" s="22" t="n">
        <v>0</v>
      </c>
      <c r="R469" s="22" t="n">
        <v>0</v>
      </c>
      <c r="S469" s="22" t="n">
        <v>0</v>
      </c>
      <c r="T469" s="22" t="n">
        <v>0</v>
      </c>
      <c r="U469" s="3">
        <f>IF(OR(N469=1,Q469=1),1,0)</f>
        <v/>
      </c>
      <c r="V469" s="3">
        <f>IF(OR(T469=1,P469=1),1,0)</f>
        <v/>
      </c>
      <c r="W469" s="3">
        <f>IF(OR(J469=1),1,0)</f>
        <v/>
      </c>
      <c r="X469" s="3">
        <f>IF(OR(I469=1,H469=1),1,0)</f>
        <v/>
      </c>
      <c r="Y469" s="3">
        <f>IF(OR(G469=1),1,0)</f>
        <v/>
      </c>
      <c r="Z469" s="3">
        <f>IF(OR(F469=1),1,0)</f>
        <v/>
      </c>
      <c r="AA469" s="3">
        <f>IF(OR(M469=1),1,0)</f>
        <v/>
      </c>
    </row>
    <row r="470">
      <c r="A470" s="22" t="inlineStr">
        <is>
          <t>4edc85cc05c648772889ec97cd70248c4f4ca280</t>
        </is>
      </c>
      <c r="B470" s="22" t="inlineStr">
        <is>
          <t>2026-10</t>
        </is>
      </c>
      <c r="C470" s="22" t="inlineStr">
        <is>
          <t>X</t>
        </is>
      </c>
      <c r="D470" s="22" t="n">
        <v>1</v>
      </c>
      <c r="E470" s="22" t="inlineStr">
        <is>
          <t>X: X search: Amupitan</t>
        </is>
      </c>
      <c r="F470" s="22" t="inlineStr">
        <is>
          <t>x:X search: Amupitan</t>
        </is>
      </c>
      <c r="G470" s="22" t="n">
        <v>-0.973</v>
      </c>
      <c r="H470" s="22" t="n">
        <v>1</v>
      </c>
      <c r="I470" s="22" t="n">
        <v>0</v>
      </c>
      <c r="J470" s="22" t="n">
        <v>0</v>
      </c>
      <c r="K470" s="22" t="n">
        <v>0</v>
      </c>
      <c r="L470" s="22" t="n">
        <v>0</v>
      </c>
      <c r="M470" s="22" t="n">
        <v>1</v>
      </c>
      <c r="N470" s="22" t="n">
        <v>0</v>
      </c>
      <c r="O470" s="22" t="n">
        <v>0</v>
      </c>
      <c r="P470" s="22" t="n">
        <v>0</v>
      </c>
      <c r="Q470" s="22" t="n">
        <v>0</v>
      </c>
      <c r="R470" s="22" t="n">
        <v>0</v>
      </c>
      <c r="S470" s="22" t="n">
        <v>0</v>
      </c>
      <c r="T470" s="22" t="n">
        <v>0</v>
      </c>
      <c r="U470" s="3">
        <f>IF(OR(N470=1,Q470=1),1,0)</f>
        <v/>
      </c>
      <c r="V470" s="3">
        <f>IF(OR(T470=1,P470=1),1,0)</f>
        <v/>
      </c>
      <c r="W470" s="3">
        <f>IF(OR(J470=1),1,0)</f>
        <v/>
      </c>
      <c r="X470" s="3">
        <f>IF(OR(I470=1,H470=1),1,0)</f>
        <v/>
      </c>
      <c r="Y470" s="3">
        <f>IF(OR(G470=1),1,0)</f>
        <v/>
      </c>
      <c r="Z470" s="3">
        <f>IF(OR(F470=1),1,0)</f>
        <v/>
      </c>
      <c r="AA470" s="3">
        <f>IF(OR(M470=1),1,0)</f>
        <v/>
      </c>
    </row>
    <row r="471">
      <c r="A471" s="22" t="inlineStr">
        <is>
          <t>4d54dab00753d7731ddf775abbde2c120b54d18b</t>
        </is>
      </c>
      <c r="B471" s="22" t="inlineStr">
        <is>
          <t>2026-10</t>
        </is>
      </c>
      <c r="C471" s="22" t="inlineStr">
        <is>
          <t>X</t>
        </is>
      </c>
      <c r="D471" s="22" t="n">
        <v>1</v>
      </c>
      <c r="E471" s="22" t="inlineStr">
        <is>
          <t>X: X search: Amupitan</t>
        </is>
      </c>
      <c r="F471" s="22" t="inlineStr">
        <is>
          <t>x:X search: Amupitan</t>
        </is>
      </c>
      <c r="G471" s="22" t="n">
        <v>-0.735</v>
      </c>
      <c r="H471" s="22" t="n">
        <v>1</v>
      </c>
      <c r="I471" s="22" t="n">
        <v>0</v>
      </c>
      <c r="J471" s="22" t="n">
        <v>0</v>
      </c>
      <c r="K471" s="22" t="n">
        <v>0</v>
      </c>
      <c r="L471" s="22" t="n">
        <v>0</v>
      </c>
      <c r="M471" s="22" t="n">
        <v>1</v>
      </c>
      <c r="N471" s="22" t="n">
        <v>0</v>
      </c>
      <c r="O471" s="22" t="n">
        <v>0</v>
      </c>
      <c r="P471" s="22" t="n">
        <v>0</v>
      </c>
      <c r="Q471" s="22" t="n">
        <v>0</v>
      </c>
      <c r="R471" s="22" t="n">
        <v>0</v>
      </c>
      <c r="S471" s="22" t="n">
        <v>0</v>
      </c>
      <c r="T471" s="22" t="n">
        <v>0</v>
      </c>
      <c r="U471" s="3">
        <f>IF(OR(N471=1,Q471=1),1,0)</f>
        <v/>
      </c>
      <c r="V471" s="3">
        <f>IF(OR(T471=1,P471=1),1,0)</f>
        <v/>
      </c>
      <c r="W471" s="3">
        <f>IF(OR(J471=1),1,0)</f>
        <v/>
      </c>
      <c r="X471" s="3">
        <f>IF(OR(I471=1,H471=1),1,0)</f>
        <v/>
      </c>
      <c r="Y471" s="3">
        <f>IF(OR(G471=1),1,0)</f>
        <v/>
      </c>
      <c r="Z471" s="3">
        <f>IF(OR(F471=1),1,0)</f>
        <v/>
      </c>
      <c r="AA471" s="3">
        <f>IF(OR(M471=1),1,0)</f>
        <v/>
      </c>
    </row>
    <row r="472">
      <c r="A472" s="22" t="inlineStr">
        <is>
          <t>db79dd5933dc4874fed2ed6f4049e0be8f7ed4bd</t>
        </is>
      </c>
      <c r="B472" s="22" t="inlineStr">
        <is>
          <t>2026-10</t>
        </is>
      </c>
      <c r="C472" s="22" t="inlineStr">
        <is>
          <t>X</t>
        </is>
      </c>
      <c r="D472" s="22" t="n">
        <v>1</v>
      </c>
      <c r="E472" s="22" t="inlineStr">
        <is>
          <t>X: X search: Amupitan</t>
        </is>
      </c>
      <c r="F472" s="22" t="inlineStr">
        <is>
          <t>x:X search: Amupitan</t>
        </is>
      </c>
      <c r="G472" s="22" t="n">
        <v>-0.318</v>
      </c>
      <c r="H472" s="22" t="n">
        <v>0</v>
      </c>
      <c r="I472" s="22" t="n">
        <v>0</v>
      </c>
      <c r="J472" s="22" t="n">
        <v>0</v>
      </c>
      <c r="K472" s="22" t="n">
        <v>0</v>
      </c>
      <c r="L472" s="22" t="n">
        <v>0</v>
      </c>
      <c r="M472" s="22" t="n">
        <v>1</v>
      </c>
      <c r="N472" s="22" t="n">
        <v>0</v>
      </c>
      <c r="O472" s="22" t="n">
        <v>0</v>
      </c>
      <c r="P472" s="22" t="n">
        <v>0</v>
      </c>
      <c r="Q472" s="22" t="n">
        <v>0</v>
      </c>
      <c r="R472" s="22" t="n">
        <v>0</v>
      </c>
      <c r="S472" s="22" t="n">
        <v>0</v>
      </c>
      <c r="T472" s="22" t="n">
        <v>0</v>
      </c>
      <c r="U472" s="3">
        <f>IF(OR(N472=1,Q472=1),1,0)</f>
        <v/>
      </c>
      <c r="V472" s="3">
        <f>IF(OR(T472=1,P472=1),1,0)</f>
        <v/>
      </c>
      <c r="W472" s="3">
        <f>IF(OR(J472=1),1,0)</f>
        <v/>
      </c>
      <c r="X472" s="3">
        <f>IF(OR(I472=1,H472=1),1,0)</f>
        <v/>
      </c>
      <c r="Y472" s="3">
        <f>IF(OR(G472=1),1,0)</f>
        <v/>
      </c>
      <c r="Z472" s="3">
        <f>IF(OR(F472=1),1,0)</f>
        <v/>
      </c>
      <c r="AA472" s="3">
        <f>IF(OR(M472=1),1,0)</f>
        <v/>
      </c>
    </row>
    <row r="473">
      <c r="A473" s="22" t="inlineStr">
        <is>
          <t>4c1159dcc2ca15a0edcfdb361ade75d280698f72</t>
        </is>
      </c>
      <c r="B473" s="22" t="inlineStr">
        <is>
          <t>2026-10</t>
        </is>
      </c>
      <c r="C473" s="22" t="inlineStr">
        <is>
          <t>X</t>
        </is>
      </c>
      <c r="D473" s="22" t="n">
        <v>1</v>
      </c>
      <c r="E473" s="22" t="inlineStr">
        <is>
          <t>X: X search: Amupitan</t>
        </is>
      </c>
      <c r="F473" s="22" t="inlineStr">
        <is>
          <t>x:X search: Amupitan</t>
        </is>
      </c>
      <c r="G473" s="22" t="n">
        <v>0.796</v>
      </c>
      <c r="H473" s="22" t="n">
        <v>1</v>
      </c>
      <c r="I473" s="22" t="n">
        <v>0</v>
      </c>
      <c r="J473" s="22" t="n">
        <v>0</v>
      </c>
      <c r="K473" s="22" t="n">
        <v>0</v>
      </c>
      <c r="L473" s="22" t="n">
        <v>0</v>
      </c>
      <c r="M473" s="22" t="n">
        <v>0</v>
      </c>
      <c r="N473" s="22" t="n">
        <v>0</v>
      </c>
      <c r="O473" s="22" t="n">
        <v>0</v>
      </c>
      <c r="P473" s="22" t="n">
        <v>0</v>
      </c>
      <c r="Q473" s="22" t="n">
        <v>0</v>
      </c>
      <c r="R473" s="22" t="n">
        <v>0</v>
      </c>
      <c r="S473" s="22" t="n">
        <v>0</v>
      </c>
      <c r="T473" s="22" t="n">
        <v>0</v>
      </c>
      <c r="U473" s="3">
        <f>IF(OR(N473=1,Q473=1),1,0)</f>
        <v/>
      </c>
      <c r="V473" s="3">
        <f>IF(OR(T473=1,P473=1),1,0)</f>
        <v/>
      </c>
      <c r="W473" s="3">
        <f>IF(OR(J473=1),1,0)</f>
        <v/>
      </c>
      <c r="X473" s="3">
        <f>IF(OR(I473=1,H473=1),1,0)</f>
        <v/>
      </c>
      <c r="Y473" s="3">
        <f>IF(OR(G473=1),1,0)</f>
        <v/>
      </c>
      <c r="Z473" s="3">
        <f>IF(OR(F473=1),1,0)</f>
        <v/>
      </c>
      <c r="AA473" s="3">
        <f>IF(OR(M473=1),1,0)</f>
        <v/>
      </c>
    </row>
    <row r="474">
      <c r="A474" s="22" t="inlineStr">
        <is>
          <t>617883246fdac9ddb0e0be882c2aff9425a02ad3</t>
        </is>
      </c>
      <c r="B474" s="22" t="inlineStr">
        <is>
          <t>2026-10</t>
        </is>
      </c>
      <c r="C474" s="22" t="inlineStr">
        <is>
          <t>X</t>
        </is>
      </c>
      <c r="D474" s="22" t="n">
        <v>1</v>
      </c>
      <c r="E474" s="22" t="inlineStr">
        <is>
          <t>X: X search: Amupitan</t>
        </is>
      </c>
      <c r="F474" s="22" t="inlineStr">
        <is>
          <t>x:X search: Amupitan</t>
        </is>
      </c>
      <c r="G474" s="22" t="n">
        <v>-0.44</v>
      </c>
      <c r="H474" s="22" t="n">
        <v>1</v>
      </c>
      <c r="I474" s="22" t="n">
        <v>0</v>
      </c>
      <c r="J474" s="22" t="n">
        <v>0</v>
      </c>
      <c r="K474" s="22" t="n">
        <v>0</v>
      </c>
      <c r="L474" s="22" t="n">
        <v>0</v>
      </c>
      <c r="M474" s="22" t="n">
        <v>1</v>
      </c>
      <c r="N474" s="22" t="n">
        <v>0</v>
      </c>
      <c r="O474" s="22" t="n">
        <v>0</v>
      </c>
      <c r="P474" s="22" t="n">
        <v>0</v>
      </c>
      <c r="Q474" s="22" t="n">
        <v>0</v>
      </c>
      <c r="R474" s="22" t="n">
        <v>0</v>
      </c>
      <c r="S474" s="22" t="n">
        <v>0</v>
      </c>
      <c r="T474" s="22" t="n">
        <v>0</v>
      </c>
      <c r="U474" s="3">
        <f>IF(OR(N474=1,Q474=1),1,0)</f>
        <v/>
      </c>
      <c r="V474" s="3">
        <f>IF(OR(T474=1,P474=1),1,0)</f>
        <v/>
      </c>
      <c r="W474" s="3">
        <f>IF(OR(J474=1),1,0)</f>
        <v/>
      </c>
      <c r="X474" s="3">
        <f>IF(OR(I474=1,H474=1),1,0)</f>
        <v/>
      </c>
      <c r="Y474" s="3">
        <f>IF(OR(G474=1),1,0)</f>
        <v/>
      </c>
      <c r="Z474" s="3">
        <f>IF(OR(F474=1),1,0)</f>
        <v/>
      </c>
      <c r="AA474" s="3">
        <f>IF(OR(M474=1),1,0)</f>
        <v/>
      </c>
    </row>
    <row r="475">
      <c r="A475" s="22" t="inlineStr">
        <is>
          <t>8c2543b0434b4a8d1453a352da6f25120796a0ec</t>
        </is>
      </c>
      <c r="B475" s="22" t="inlineStr">
        <is>
          <t>2026-10</t>
        </is>
      </c>
      <c r="C475" s="22" t="inlineStr">
        <is>
          <t>X</t>
        </is>
      </c>
      <c r="D475" s="22" t="n">
        <v>1</v>
      </c>
      <c r="E475" s="22" t="inlineStr">
        <is>
          <t>X: X search: Amupitan</t>
        </is>
      </c>
      <c r="F475" s="22" t="inlineStr">
        <is>
          <t>x:X search: Amupitan</t>
        </is>
      </c>
      <c r="G475" s="22" t="n">
        <v>-0.802</v>
      </c>
      <c r="H475" s="22" t="n">
        <v>1</v>
      </c>
      <c r="I475" s="22" t="n">
        <v>0</v>
      </c>
      <c r="J475" s="22" t="n">
        <v>0</v>
      </c>
      <c r="K475" s="22" t="n">
        <v>0</v>
      </c>
      <c r="L475" s="22" t="n">
        <v>0</v>
      </c>
      <c r="M475" s="22" t="n">
        <v>1</v>
      </c>
      <c r="N475" s="22" t="n">
        <v>0</v>
      </c>
      <c r="O475" s="22" t="n">
        <v>0</v>
      </c>
      <c r="P475" s="22" t="n">
        <v>0</v>
      </c>
      <c r="Q475" s="22" t="n">
        <v>0</v>
      </c>
      <c r="R475" s="22" t="n">
        <v>0</v>
      </c>
      <c r="S475" s="22" t="n">
        <v>0</v>
      </c>
      <c r="T475" s="22" t="n">
        <v>0</v>
      </c>
      <c r="U475" s="3">
        <f>IF(OR(N475=1,Q475=1),1,0)</f>
        <v/>
      </c>
      <c r="V475" s="3">
        <f>IF(OR(T475=1,P475=1),1,0)</f>
        <v/>
      </c>
      <c r="W475" s="3">
        <f>IF(OR(J475=1),1,0)</f>
        <v/>
      </c>
      <c r="X475" s="3">
        <f>IF(OR(I475=1,H475=1),1,0)</f>
        <v/>
      </c>
      <c r="Y475" s="3">
        <f>IF(OR(G475=1),1,0)</f>
        <v/>
      </c>
      <c r="Z475" s="3">
        <f>IF(OR(F475=1),1,0)</f>
        <v/>
      </c>
      <c r="AA475" s="3">
        <f>IF(OR(M475=1),1,0)</f>
        <v/>
      </c>
    </row>
    <row r="476">
      <c r="A476" s="22" t="inlineStr">
        <is>
          <t>c4b3a1f0e325219d5f001ab8961b70fd6cd4201a</t>
        </is>
      </c>
      <c r="B476" s="22" t="inlineStr">
        <is>
          <t>2026-10</t>
        </is>
      </c>
      <c r="C476" s="22" t="inlineStr">
        <is>
          <t>X</t>
        </is>
      </c>
      <c r="D476" s="22" t="n">
        <v>1</v>
      </c>
      <c r="E476" s="22" t="inlineStr">
        <is>
          <t>X: X search: Amupitan</t>
        </is>
      </c>
      <c r="F476" s="22" t="inlineStr">
        <is>
          <t>x:X search: Amupitan</t>
        </is>
      </c>
      <c r="G476" s="22" t="n">
        <v>-0.718</v>
      </c>
      <c r="H476" s="22" t="n">
        <v>1</v>
      </c>
      <c r="I476" s="22" t="n">
        <v>0</v>
      </c>
      <c r="J476" s="22" t="n">
        <v>0</v>
      </c>
      <c r="K476" s="22" t="n">
        <v>0</v>
      </c>
      <c r="L476" s="22" t="n">
        <v>0</v>
      </c>
      <c r="M476" s="22" t="n">
        <v>1</v>
      </c>
      <c r="N476" s="22" t="n">
        <v>0</v>
      </c>
      <c r="O476" s="22" t="n">
        <v>0</v>
      </c>
      <c r="P476" s="22" t="n">
        <v>0</v>
      </c>
      <c r="Q476" s="22" t="n">
        <v>0</v>
      </c>
      <c r="R476" s="22" t="n">
        <v>0</v>
      </c>
      <c r="S476" s="22" t="n">
        <v>0</v>
      </c>
      <c r="T476" s="22" t="n">
        <v>0</v>
      </c>
      <c r="U476" s="3">
        <f>IF(OR(N476=1,Q476=1),1,0)</f>
        <v/>
      </c>
      <c r="V476" s="3">
        <f>IF(OR(T476=1,P476=1),1,0)</f>
        <v/>
      </c>
      <c r="W476" s="3">
        <f>IF(OR(J476=1),1,0)</f>
        <v/>
      </c>
      <c r="X476" s="3">
        <f>IF(OR(I476=1,H476=1),1,0)</f>
        <v/>
      </c>
      <c r="Y476" s="3">
        <f>IF(OR(G476=1),1,0)</f>
        <v/>
      </c>
      <c r="Z476" s="3">
        <f>IF(OR(F476=1),1,0)</f>
        <v/>
      </c>
      <c r="AA476" s="3">
        <f>IF(OR(M476=1),1,0)</f>
        <v/>
      </c>
    </row>
    <row r="477">
      <c r="A477" s="22" t="inlineStr">
        <is>
          <t>4fae4ce0ea8525f4d5817070f70432dcfd88f02e</t>
        </is>
      </c>
      <c r="B477" s="22" t="inlineStr">
        <is>
          <t>2026-10</t>
        </is>
      </c>
      <c r="C477" s="22" t="inlineStr">
        <is>
          <t>X</t>
        </is>
      </c>
      <c r="D477" s="22" t="n">
        <v>1</v>
      </c>
      <c r="E477" s="22" t="inlineStr">
        <is>
          <t>X: X search: Amupitan</t>
        </is>
      </c>
      <c r="F477" s="22" t="inlineStr">
        <is>
          <t>x:X search: Amupitan</t>
        </is>
      </c>
      <c r="G477" s="22" t="n">
        <v>-0.624</v>
      </c>
      <c r="H477" s="22" t="n">
        <v>0</v>
      </c>
      <c r="I477" s="22" t="n">
        <v>0</v>
      </c>
      <c r="J477" s="22" t="n">
        <v>0</v>
      </c>
      <c r="K477" s="22" t="n">
        <v>0</v>
      </c>
      <c r="L477" s="22" t="n">
        <v>0</v>
      </c>
      <c r="M477" s="22" t="n">
        <v>1</v>
      </c>
      <c r="N477" s="22" t="n">
        <v>0</v>
      </c>
      <c r="O477" s="22" t="n">
        <v>0</v>
      </c>
      <c r="P477" s="22" t="n">
        <v>0</v>
      </c>
      <c r="Q477" s="22" t="n">
        <v>0</v>
      </c>
      <c r="R477" s="22" t="n">
        <v>0</v>
      </c>
      <c r="S477" s="22" t="n">
        <v>0</v>
      </c>
      <c r="T477" s="22" t="n">
        <v>0</v>
      </c>
      <c r="U477" s="3">
        <f>IF(OR(N477=1,Q477=1),1,0)</f>
        <v/>
      </c>
      <c r="V477" s="3">
        <f>IF(OR(T477=1,P477=1),1,0)</f>
        <v/>
      </c>
      <c r="W477" s="3">
        <f>IF(OR(J477=1),1,0)</f>
        <v/>
      </c>
      <c r="X477" s="3">
        <f>IF(OR(I477=1,H477=1),1,0)</f>
        <v/>
      </c>
      <c r="Y477" s="3">
        <f>IF(OR(G477=1),1,0)</f>
        <v/>
      </c>
      <c r="Z477" s="3">
        <f>IF(OR(F477=1),1,0)</f>
        <v/>
      </c>
      <c r="AA477" s="3">
        <f>IF(OR(M477=1),1,0)</f>
        <v/>
      </c>
    </row>
    <row r="478">
      <c r="A478" s="22" t="inlineStr">
        <is>
          <t>e1a3c1b1715db5270852aa35aa1cdbffb8a4ecd8</t>
        </is>
      </c>
      <c r="B478" s="22" t="inlineStr">
        <is>
          <t>2026-10</t>
        </is>
      </c>
      <c r="C478" s="22" t="inlineStr">
        <is>
          <t>X</t>
        </is>
      </c>
      <c r="D478" s="22" t="n">
        <v>1</v>
      </c>
      <c r="E478" s="22" t="inlineStr">
        <is>
          <t>X: X search: Amupitan</t>
        </is>
      </c>
      <c r="F478" s="22" t="inlineStr">
        <is>
          <t>x:X search: Amupitan</t>
        </is>
      </c>
      <c r="G478" s="22" t="n">
        <v>-0.459</v>
      </c>
      <c r="H478" s="22" t="n">
        <v>0</v>
      </c>
      <c r="I478" s="22" t="n">
        <v>0</v>
      </c>
      <c r="J478" s="22" t="n">
        <v>0</v>
      </c>
      <c r="K478" s="22" t="n">
        <v>0</v>
      </c>
      <c r="L478" s="22" t="n">
        <v>0</v>
      </c>
      <c r="M478" s="22" t="n">
        <v>1</v>
      </c>
      <c r="N478" s="22" t="n">
        <v>0</v>
      </c>
      <c r="O478" s="22" t="n">
        <v>0</v>
      </c>
      <c r="P478" s="22" t="n">
        <v>0</v>
      </c>
      <c r="Q478" s="22" t="n">
        <v>0</v>
      </c>
      <c r="R478" s="22" t="n">
        <v>0</v>
      </c>
      <c r="S478" s="22" t="n">
        <v>0</v>
      </c>
      <c r="T478" s="22" t="n">
        <v>0</v>
      </c>
      <c r="U478" s="3">
        <f>IF(OR(N478=1,Q478=1),1,0)</f>
        <v/>
      </c>
      <c r="V478" s="3">
        <f>IF(OR(T478=1,P478=1),1,0)</f>
        <v/>
      </c>
      <c r="W478" s="3">
        <f>IF(OR(J478=1),1,0)</f>
        <v/>
      </c>
      <c r="X478" s="3">
        <f>IF(OR(I478=1,H478=1),1,0)</f>
        <v/>
      </c>
      <c r="Y478" s="3">
        <f>IF(OR(G478=1),1,0)</f>
        <v/>
      </c>
      <c r="Z478" s="3">
        <f>IF(OR(F478=1),1,0)</f>
        <v/>
      </c>
      <c r="AA478" s="3">
        <f>IF(OR(M478=1),1,0)</f>
        <v/>
      </c>
    </row>
    <row r="479">
      <c r="A479" s="22" t="inlineStr">
        <is>
          <t>35e1f9438edff638df8551d191fe0bee9b98caa1</t>
        </is>
      </c>
      <c r="B479" s="22" t="inlineStr">
        <is>
          <t>2026-10</t>
        </is>
      </c>
      <c r="C479" s="22" t="inlineStr">
        <is>
          <t>X</t>
        </is>
      </c>
      <c r="D479" s="22" t="n">
        <v>1</v>
      </c>
      <c r="E479" s="22" t="inlineStr">
        <is>
          <t>X: X search: Amupitan</t>
        </is>
      </c>
      <c r="F479" s="22" t="inlineStr">
        <is>
          <t>x:X search: Amupitan</t>
        </is>
      </c>
      <c r="G479" s="22" t="n">
        <v>-0.134</v>
      </c>
      <c r="H479" s="22" t="n">
        <v>1</v>
      </c>
      <c r="I479" s="22" t="n">
        <v>0</v>
      </c>
      <c r="J479" s="22" t="n">
        <v>0</v>
      </c>
      <c r="K479" s="22" t="n">
        <v>0</v>
      </c>
      <c r="L479" s="22" t="n">
        <v>0</v>
      </c>
      <c r="M479" s="22" t="n">
        <v>0</v>
      </c>
      <c r="N479" s="22" t="n">
        <v>0</v>
      </c>
      <c r="O479" s="22" t="n">
        <v>0</v>
      </c>
      <c r="P479" s="22" t="n">
        <v>0</v>
      </c>
      <c r="Q479" s="22" t="n">
        <v>0</v>
      </c>
      <c r="R479" s="22" t="n">
        <v>0</v>
      </c>
      <c r="S479" s="22" t="n">
        <v>0</v>
      </c>
      <c r="T479" s="22" t="n">
        <v>0</v>
      </c>
      <c r="U479" s="3">
        <f>IF(OR(N479=1,Q479=1),1,0)</f>
        <v/>
      </c>
      <c r="V479" s="3">
        <f>IF(OR(T479=1,P479=1),1,0)</f>
        <v/>
      </c>
      <c r="W479" s="3">
        <f>IF(OR(J479=1),1,0)</f>
        <v/>
      </c>
      <c r="X479" s="3">
        <f>IF(OR(I479=1,H479=1),1,0)</f>
        <v/>
      </c>
      <c r="Y479" s="3">
        <f>IF(OR(G479=1),1,0)</f>
        <v/>
      </c>
      <c r="Z479" s="3">
        <f>IF(OR(F479=1),1,0)</f>
        <v/>
      </c>
      <c r="AA479" s="3">
        <f>IF(OR(M479=1),1,0)</f>
        <v/>
      </c>
    </row>
    <row r="480">
      <c r="A480" s="22" t="inlineStr">
        <is>
          <t>92dc8613388aa9a07d011c7235f9098d4ff43f9f</t>
        </is>
      </c>
      <c r="B480" s="22" t="inlineStr">
        <is>
          <t>2026-10</t>
        </is>
      </c>
      <c r="C480" s="22" t="inlineStr">
        <is>
          <t>X</t>
        </is>
      </c>
      <c r="D480" s="22" t="n">
        <v>1</v>
      </c>
      <c r="E480" s="22" t="inlineStr">
        <is>
          <t>X: X search: Amupitan</t>
        </is>
      </c>
      <c r="F480" s="22" t="inlineStr">
        <is>
          <t>x:X search: Amupitan</t>
        </is>
      </c>
      <c r="G480" s="22" t="n">
        <v>-0.718</v>
      </c>
      <c r="H480" s="22" t="n">
        <v>0</v>
      </c>
      <c r="I480" s="22" t="n">
        <v>0</v>
      </c>
      <c r="J480" s="22" t="n">
        <v>0</v>
      </c>
      <c r="K480" s="22" t="n">
        <v>0</v>
      </c>
      <c r="L480" s="22" t="n">
        <v>0</v>
      </c>
      <c r="M480" s="22" t="n">
        <v>1</v>
      </c>
      <c r="N480" s="22" t="n">
        <v>0</v>
      </c>
      <c r="O480" s="22" t="n">
        <v>0</v>
      </c>
      <c r="P480" s="22" t="n">
        <v>0</v>
      </c>
      <c r="Q480" s="22" t="n">
        <v>0</v>
      </c>
      <c r="R480" s="22" t="n">
        <v>0</v>
      </c>
      <c r="S480" s="22" t="n">
        <v>0</v>
      </c>
      <c r="T480" s="22" t="n">
        <v>0</v>
      </c>
      <c r="U480" s="3">
        <f>IF(OR(N480=1,Q480=1),1,0)</f>
        <v/>
      </c>
      <c r="V480" s="3">
        <f>IF(OR(T480=1,P480=1),1,0)</f>
        <v/>
      </c>
      <c r="W480" s="3">
        <f>IF(OR(J480=1),1,0)</f>
        <v/>
      </c>
      <c r="X480" s="3">
        <f>IF(OR(I480=1,H480=1),1,0)</f>
        <v/>
      </c>
      <c r="Y480" s="3">
        <f>IF(OR(G480=1),1,0)</f>
        <v/>
      </c>
      <c r="Z480" s="3">
        <f>IF(OR(F480=1),1,0)</f>
        <v/>
      </c>
      <c r="AA480" s="3">
        <f>IF(OR(M480=1),1,0)</f>
        <v/>
      </c>
    </row>
    <row r="481">
      <c r="A481" s="22" t="inlineStr">
        <is>
          <t>7e17a244fd9fec1cb34f1cd2913cb2c15fd7cb3b</t>
        </is>
      </c>
      <c r="B481" s="22" t="inlineStr">
        <is>
          <t>2026-10</t>
        </is>
      </c>
      <c r="C481" s="22" t="inlineStr">
        <is>
          <t>X</t>
        </is>
      </c>
      <c r="D481" s="22" t="n">
        <v>1</v>
      </c>
      <c r="E481" s="22" t="inlineStr">
        <is>
          <t>X: X search: Amupitan</t>
        </is>
      </c>
      <c r="F481" s="22" t="inlineStr">
        <is>
          <t>x:X search: Amupitan</t>
        </is>
      </c>
      <c r="G481" s="22" t="n">
        <v>-0.8070000000000001</v>
      </c>
      <c r="H481" s="22" t="n">
        <v>1</v>
      </c>
      <c r="I481" s="22" t="n">
        <v>0</v>
      </c>
      <c r="J481" s="22" t="n">
        <v>0</v>
      </c>
      <c r="K481" s="22" t="n">
        <v>0</v>
      </c>
      <c r="L481" s="22" t="n">
        <v>0</v>
      </c>
      <c r="M481" s="22" t="n">
        <v>1</v>
      </c>
      <c r="N481" s="22" t="n">
        <v>0</v>
      </c>
      <c r="O481" s="22" t="n">
        <v>0</v>
      </c>
      <c r="P481" s="22" t="n">
        <v>0</v>
      </c>
      <c r="Q481" s="22" t="n">
        <v>0</v>
      </c>
      <c r="R481" s="22" t="n">
        <v>0</v>
      </c>
      <c r="S481" s="22" t="n">
        <v>0</v>
      </c>
      <c r="T481" s="22" t="n">
        <v>0</v>
      </c>
      <c r="U481" s="3">
        <f>IF(OR(N481=1,Q481=1),1,0)</f>
        <v/>
      </c>
      <c r="V481" s="3">
        <f>IF(OR(T481=1,P481=1),1,0)</f>
        <v/>
      </c>
      <c r="W481" s="3">
        <f>IF(OR(J481=1),1,0)</f>
        <v/>
      </c>
      <c r="X481" s="3">
        <f>IF(OR(I481=1,H481=1),1,0)</f>
        <v/>
      </c>
      <c r="Y481" s="3">
        <f>IF(OR(G481=1),1,0)</f>
        <v/>
      </c>
      <c r="Z481" s="3">
        <f>IF(OR(F481=1),1,0)</f>
        <v/>
      </c>
      <c r="AA481" s="3">
        <f>IF(OR(M481=1),1,0)</f>
        <v/>
      </c>
    </row>
    <row r="482">
      <c r="A482" s="22" t="inlineStr">
        <is>
          <t>977bbaae7a3a38a4f2024e4da854d1289938bc0d</t>
        </is>
      </c>
      <c r="B482" s="22" t="inlineStr">
        <is>
          <t>2026-10</t>
        </is>
      </c>
      <c r="C482" s="22" t="inlineStr">
        <is>
          <t>X</t>
        </is>
      </c>
      <c r="D482" s="22" t="n">
        <v>1</v>
      </c>
      <c r="E482" s="22" t="inlineStr">
        <is>
          <t>X: X search: Amupitan</t>
        </is>
      </c>
      <c r="F482" s="22" t="inlineStr">
        <is>
          <t>x:X search: Amupitan</t>
        </is>
      </c>
      <c r="G482" s="22" t="n">
        <v>-0.663</v>
      </c>
      <c r="H482" s="22" t="n">
        <v>1</v>
      </c>
      <c r="I482" s="22" t="n">
        <v>1</v>
      </c>
      <c r="J482" s="22" t="n">
        <v>0</v>
      </c>
      <c r="K482" s="22" t="n">
        <v>0</v>
      </c>
      <c r="L482" s="22" t="n">
        <v>0</v>
      </c>
      <c r="M482" s="22" t="n">
        <v>1</v>
      </c>
      <c r="N482" s="22" t="n">
        <v>0</v>
      </c>
      <c r="O482" s="22" t="n">
        <v>0</v>
      </c>
      <c r="P482" s="22" t="n">
        <v>0</v>
      </c>
      <c r="Q482" s="22" t="n">
        <v>0</v>
      </c>
      <c r="R482" s="22" t="n">
        <v>0</v>
      </c>
      <c r="S482" s="22" t="n">
        <v>0</v>
      </c>
      <c r="T482" s="22" t="n">
        <v>0</v>
      </c>
      <c r="U482" s="3">
        <f>IF(OR(N482=1,Q482=1),1,0)</f>
        <v/>
      </c>
      <c r="V482" s="3">
        <f>IF(OR(T482=1,P482=1),1,0)</f>
        <v/>
      </c>
      <c r="W482" s="3">
        <f>IF(OR(J482=1),1,0)</f>
        <v/>
      </c>
      <c r="X482" s="3">
        <f>IF(OR(I482=1,H482=1),1,0)</f>
        <v/>
      </c>
      <c r="Y482" s="3">
        <f>IF(OR(G482=1),1,0)</f>
        <v/>
      </c>
      <c r="Z482" s="3">
        <f>IF(OR(F482=1),1,0)</f>
        <v/>
      </c>
      <c r="AA482" s="3">
        <f>IF(OR(M482=1),1,0)</f>
        <v/>
      </c>
    </row>
    <row r="483">
      <c r="A483" s="22" t="inlineStr">
        <is>
          <t>2481a6fca0f9ae146ffe7cf806fada3a741ac79a</t>
        </is>
      </c>
      <c r="B483" s="22" t="inlineStr">
        <is>
          <t>2026-10</t>
        </is>
      </c>
      <c r="C483" s="22" t="inlineStr">
        <is>
          <t>X</t>
        </is>
      </c>
      <c r="D483" s="22" t="n">
        <v>1</v>
      </c>
      <c r="E483" s="22" t="inlineStr">
        <is>
          <t>X: X search: Amupitan</t>
        </is>
      </c>
      <c r="F483" s="22" t="inlineStr">
        <is>
          <t>x:X search: Amupitan</t>
        </is>
      </c>
      <c r="G483" s="22" t="n">
        <v>-0.335</v>
      </c>
      <c r="H483" s="22" t="n">
        <v>1</v>
      </c>
      <c r="I483" s="22" t="n">
        <v>0</v>
      </c>
      <c r="J483" s="22" t="n">
        <v>0</v>
      </c>
      <c r="K483" s="22" t="n">
        <v>0</v>
      </c>
      <c r="L483" s="22" t="n">
        <v>0</v>
      </c>
      <c r="M483" s="22" t="n">
        <v>1</v>
      </c>
      <c r="N483" s="22" t="n">
        <v>0</v>
      </c>
      <c r="O483" s="22" t="n">
        <v>0</v>
      </c>
      <c r="P483" s="22" t="n">
        <v>0</v>
      </c>
      <c r="Q483" s="22" t="n">
        <v>0</v>
      </c>
      <c r="R483" s="22" t="n">
        <v>0</v>
      </c>
      <c r="S483" s="22" t="n">
        <v>0</v>
      </c>
      <c r="T483" s="22" t="n">
        <v>0</v>
      </c>
      <c r="U483" s="3">
        <f>IF(OR(N483=1,Q483=1),1,0)</f>
        <v/>
      </c>
      <c r="V483" s="3">
        <f>IF(OR(T483=1,P483=1),1,0)</f>
        <v/>
      </c>
      <c r="W483" s="3">
        <f>IF(OR(J483=1),1,0)</f>
        <v/>
      </c>
      <c r="X483" s="3">
        <f>IF(OR(I483=1,H483=1),1,0)</f>
        <v/>
      </c>
      <c r="Y483" s="3">
        <f>IF(OR(G483=1),1,0)</f>
        <v/>
      </c>
      <c r="Z483" s="3">
        <f>IF(OR(F483=1),1,0)</f>
        <v/>
      </c>
      <c r="AA483" s="3">
        <f>IF(OR(M483=1),1,0)</f>
        <v/>
      </c>
    </row>
    <row r="484">
      <c r="A484" s="22" t="inlineStr">
        <is>
          <t>50693f0cd798936265b765ec5ae34755b60bc62a</t>
        </is>
      </c>
      <c r="B484" s="22" t="inlineStr">
        <is>
          <t>2026-10</t>
        </is>
      </c>
      <c r="C484" s="22" t="inlineStr">
        <is>
          <t>X</t>
        </is>
      </c>
      <c r="D484" s="22" t="n">
        <v>1</v>
      </c>
      <c r="E484" s="22" t="inlineStr">
        <is>
          <t>X: X search: Amupitan</t>
        </is>
      </c>
      <c r="F484" s="22" t="inlineStr">
        <is>
          <t>x:X search: Amupitan</t>
        </is>
      </c>
      <c r="G484" s="22" t="n">
        <v>-0.852</v>
      </c>
      <c r="H484" s="22" t="n">
        <v>1</v>
      </c>
      <c r="I484" s="22" t="n">
        <v>0</v>
      </c>
      <c r="J484" s="22" t="n">
        <v>0</v>
      </c>
      <c r="K484" s="22" t="n">
        <v>0</v>
      </c>
      <c r="L484" s="22" t="n">
        <v>0</v>
      </c>
      <c r="M484" s="22" t="n">
        <v>1</v>
      </c>
      <c r="N484" s="22" t="n">
        <v>0</v>
      </c>
      <c r="O484" s="22" t="n">
        <v>0</v>
      </c>
      <c r="P484" s="22" t="n">
        <v>0</v>
      </c>
      <c r="Q484" s="22" t="n">
        <v>0</v>
      </c>
      <c r="R484" s="22" t="n">
        <v>0</v>
      </c>
      <c r="S484" s="22" t="n">
        <v>0</v>
      </c>
      <c r="T484" s="22" t="n">
        <v>0</v>
      </c>
      <c r="U484" s="3">
        <f>IF(OR(N484=1,Q484=1),1,0)</f>
        <v/>
      </c>
      <c r="V484" s="3">
        <f>IF(OR(T484=1,P484=1),1,0)</f>
        <v/>
      </c>
      <c r="W484" s="3">
        <f>IF(OR(J484=1),1,0)</f>
        <v/>
      </c>
      <c r="X484" s="3">
        <f>IF(OR(I484=1,H484=1),1,0)</f>
        <v/>
      </c>
      <c r="Y484" s="3">
        <f>IF(OR(G484=1),1,0)</f>
        <v/>
      </c>
      <c r="Z484" s="3">
        <f>IF(OR(F484=1),1,0)</f>
        <v/>
      </c>
      <c r="AA484" s="3">
        <f>IF(OR(M484=1),1,0)</f>
        <v/>
      </c>
    </row>
    <row r="485">
      <c r="A485" s="22" t="inlineStr">
        <is>
          <t>e1f38bfba04d1ac2edc2eb42f2c9b26f317ed20e</t>
        </is>
      </c>
      <c r="B485" s="22" t="inlineStr">
        <is>
          <t>2026-10</t>
        </is>
      </c>
      <c r="C485" s="22" t="inlineStr">
        <is>
          <t>X</t>
        </is>
      </c>
      <c r="D485" s="22" t="n">
        <v>1</v>
      </c>
      <c r="E485" s="22" t="inlineStr">
        <is>
          <t>X: X search: Amupitan</t>
        </is>
      </c>
      <c r="F485" s="22" t="inlineStr">
        <is>
          <t>x:X search: Amupitan</t>
        </is>
      </c>
      <c r="G485" s="22" t="n">
        <v>-0.703</v>
      </c>
      <c r="H485" s="22" t="n">
        <v>1</v>
      </c>
      <c r="I485" s="22" t="n">
        <v>0</v>
      </c>
      <c r="J485" s="22" t="n">
        <v>0</v>
      </c>
      <c r="K485" s="22" t="n">
        <v>0</v>
      </c>
      <c r="L485" s="22" t="n">
        <v>0</v>
      </c>
      <c r="M485" s="22" t="n">
        <v>1</v>
      </c>
      <c r="N485" s="22" t="n">
        <v>0</v>
      </c>
      <c r="O485" s="22" t="n">
        <v>0</v>
      </c>
      <c r="P485" s="22" t="n">
        <v>0</v>
      </c>
      <c r="Q485" s="22" t="n">
        <v>0</v>
      </c>
      <c r="R485" s="22" t="n">
        <v>0</v>
      </c>
      <c r="S485" s="22" t="n">
        <v>0</v>
      </c>
      <c r="T485" s="22" t="n">
        <v>0</v>
      </c>
      <c r="U485" s="3">
        <f>IF(OR(N485=1,Q485=1),1,0)</f>
        <v/>
      </c>
      <c r="V485" s="3">
        <f>IF(OR(T485=1,P485=1),1,0)</f>
        <v/>
      </c>
      <c r="W485" s="3">
        <f>IF(OR(J485=1),1,0)</f>
        <v/>
      </c>
      <c r="X485" s="3">
        <f>IF(OR(I485=1,H485=1),1,0)</f>
        <v/>
      </c>
      <c r="Y485" s="3">
        <f>IF(OR(G485=1),1,0)</f>
        <v/>
      </c>
      <c r="Z485" s="3">
        <f>IF(OR(F485=1),1,0)</f>
        <v/>
      </c>
      <c r="AA485" s="3">
        <f>IF(OR(M485=1),1,0)</f>
        <v/>
      </c>
    </row>
    <row r="486">
      <c r="A486" s="22" t="inlineStr">
        <is>
          <t>6c598174ec6cd91646ab7f72c80ea86c1a0613ad</t>
        </is>
      </c>
      <c r="B486" s="22" t="inlineStr">
        <is>
          <t>2026-10</t>
        </is>
      </c>
      <c r="C486" s="22" t="inlineStr">
        <is>
          <t>X</t>
        </is>
      </c>
      <c r="D486" s="22" t="n">
        <v>1</v>
      </c>
      <c r="E486" s="22" t="inlineStr">
        <is>
          <t>X: X search: Amupitan</t>
        </is>
      </c>
      <c r="F486" s="22" t="inlineStr">
        <is>
          <t>x:X search: Amupitan</t>
        </is>
      </c>
      <c r="G486" s="22" t="n">
        <v>-0.832</v>
      </c>
      <c r="H486" s="22" t="n">
        <v>1</v>
      </c>
      <c r="I486" s="22" t="n">
        <v>0</v>
      </c>
      <c r="J486" s="22" t="n">
        <v>0</v>
      </c>
      <c r="K486" s="22" t="n">
        <v>0</v>
      </c>
      <c r="L486" s="22" t="n">
        <v>0</v>
      </c>
      <c r="M486" s="22" t="n">
        <v>1</v>
      </c>
      <c r="N486" s="22" t="n">
        <v>0</v>
      </c>
      <c r="O486" s="22" t="n">
        <v>0</v>
      </c>
      <c r="P486" s="22" t="n">
        <v>0</v>
      </c>
      <c r="Q486" s="22" t="n">
        <v>0</v>
      </c>
      <c r="R486" s="22" t="n">
        <v>0</v>
      </c>
      <c r="S486" s="22" t="n">
        <v>0</v>
      </c>
      <c r="T486" s="22" t="n">
        <v>0</v>
      </c>
      <c r="U486" s="3">
        <f>IF(OR(N486=1,Q486=1),1,0)</f>
        <v/>
      </c>
      <c r="V486" s="3">
        <f>IF(OR(T486=1,P486=1),1,0)</f>
        <v/>
      </c>
      <c r="W486" s="3">
        <f>IF(OR(J486=1),1,0)</f>
        <v/>
      </c>
      <c r="X486" s="3">
        <f>IF(OR(I486=1,H486=1),1,0)</f>
        <v/>
      </c>
      <c r="Y486" s="3">
        <f>IF(OR(G486=1),1,0)</f>
        <v/>
      </c>
      <c r="Z486" s="3">
        <f>IF(OR(F486=1),1,0)</f>
        <v/>
      </c>
      <c r="AA486" s="3">
        <f>IF(OR(M486=1),1,0)</f>
        <v/>
      </c>
    </row>
    <row r="487">
      <c r="A487" s="22" t="inlineStr">
        <is>
          <t>bf8a8b1b18e8a803cd75457d4bbda68ccc9fa308</t>
        </is>
      </c>
      <c r="B487" s="22" t="inlineStr">
        <is>
          <t>2026-10</t>
        </is>
      </c>
      <c r="C487" s="22" t="inlineStr">
        <is>
          <t>X</t>
        </is>
      </c>
      <c r="D487" s="22" t="n">
        <v>1</v>
      </c>
      <c r="E487" s="22" t="inlineStr">
        <is>
          <t>X: X search: Amupitan</t>
        </is>
      </c>
      <c r="F487" s="22" t="inlineStr">
        <is>
          <t>x:X search: Amupitan</t>
        </is>
      </c>
      <c r="G487" s="22" t="n">
        <v>-0.551</v>
      </c>
      <c r="H487" s="22" t="n">
        <v>1</v>
      </c>
      <c r="I487" s="22" t="n">
        <v>0</v>
      </c>
      <c r="J487" s="22" t="n">
        <v>0</v>
      </c>
      <c r="K487" s="22" t="n">
        <v>0</v>
      </c>
      <c r="L487" s="22" t="n">
        <v>0</v>
      </c>
      <c r="M487" s="22" t="n">
        <v>1</v>
      </c>
      <c r="N487" s="22" t="n">
        <v>0</v>
      </c>
      <c r="O487" s="22" t="n">
        <v>0</v>
      </c>
      <c r="P487" s="22" t="n">
        <v>0</v>
      </c>
      <c r="Q487" s="22" t="n">
        <v>0</v>
      </c>
      <c r="R487" s="22" t="n">
        <v>0</v>
      </c>
      <c r="S487" s="22" t="n">
        <v>0</v>
      </c>
      <c r="T487" s="22" t="n">
        <v>0</v>
      </c>
      <c r="U487" s="3">
        <f>IF(OR(N487=1,Q487=1),1,0)</f>
        <v/>
      </c>
      <c r="V487" s="3">
        <f>IF(OR(T487=1,P487=1),1,0)</f>
        <v/>
      </c>
      <c r="W487" s="3">
        <f>IF(OR(J487=1),1,0)</f>
        <v/>
      </c>
      <c r="X487" s="3">
        <f>IF(OR(I487=1,H487=1),1,0)</f>
        <v/>
      </c>
      <c r="Y487" s="3">
        <f>IF(OR(G487=1),1,0)</f>
        <v/>
      </c>
      <c r="Z487" s="3">
        <f>IF(OR(F487=1),1,0)</f>
        <v/>
      </c>
      <c r="AA487" s="3">
        <f>IF(OR(M487=1),1,0)</f>
        <v/>
      </c>
    </row>
    <row r="488">
      <c r="A488" s="22" t="inlineStr">
        <is>
          <t>98cb978485c0357e426a31496942f2b126c35272</t>
        </is>
      </c>
      <c r="B488" s="22" t="inlineStr">
        <is>
          <t>2026-10</t>
        </is>
      </c>
      <c r="C488" s="22" t="inlineStr">
        <is>
          <t>X</t>
        </is>
      </c>
      <c r="D488" s="22" t="n">
        <v>1</v>
      </c>
      <c r="E488" s="22" t="inlineStr">
        <is>
          <t>X: X search: Amupitan</t>
        </is>
      </c>
      <c r="F488" s="22" t="inlineStr">
        <is>
          <t>x:X search: Amupitan</t>
        </is>
      </c>
      <c r="G488" s="22" t="n">
        <v>-0.34</v>
      </c>
      <c r="H488" s="22" t="n">
        <v>0</v>
      </c>
      <c r="I488" s="22" t="n">
        <v>0</v>
      </c>
      <c r="J488" s="22" t="n">
        <v>0</v>
      </c>
      <c r="K488" s="22" t="n">
        <v>0</v>
      </c>
      <c r="L488" s="22" t="n">
        <v>0</v>
      </c>
      <c r="M488" s="22" t="n">
        <v>1</v>
      </c>
      <c r="N488" s="22" t="n">
        <v>0</v>
      </c>
      <c r="O488" s="22" t="n">
        <v>0</v>
      </c>
      <c r="P488" s="22" t="n">
        <v>0</v>
      </c>
      <c r="Q488" s="22" t="n">
        <v>0</v>
      </c>
      <c r="R488" s="22" t="n">
        <v>0</v>
      </c>
      <c r="S488" s="22" t="n">
        <v>0</v>
      </c>
      <c r="T488" s="22" t="n">
        <v>0</v>
      </c>
      <c r="U488" s="3">
        <f>IF(OR(N488=1,Q488=1),1,0)</f>
        <v/>
      </c>
      <c r="V488" s="3">
        <f>IF(OR(T488=1,P488=1),1,0)</f>
        <v/>
      </c>
      <c r="W488" s="3">
        <f>IF(OR(J488=1),1,0)</f>
        <v/>
      </c>
      <c r="X488" s="3">
        <f>IF(OR(I488=1,H488=1),1,0)</f>
        <v/>
      </c>
      <c r="Y488" s="3">
        <f>IF(OR(G488=1),1,0)</f>
        <v/>
      </c>
      <c r="Z488" s="3">
        <f>IF(OR(F488=1),1,0)</f>
        <v/>
      </c>
      <c r="AA488" s="3">
        <f>IF(OR(M488=1),1,0)</f>
        <v/>
      </c>
    </row>
    <row r="489">
      <c r="A489" s="22" t="inlineStr">
        <is>
          <t>5036b0e642e4eafcb33e0a0623c5f2ffc91ca5ec</t>
        </is>
      </c>
      <c r="B489" s="22" t="inlineStr">
        <is>
          <t>2026-10</t>
        </is>
      </c>
      <c r="C489" s="22" t="inlineStr">
        <is>
          <t>X</t>
        </is>
      </c>
      <c r="D489" s="22" t="n">
        <v>1</v>
      </c>
      <c r="E489" s="22" t="inlineStr">
        <is>
          <t>X: X search: Amupitan</t>
        </is>
      </c>
      <c r="F489" s="22" t="inlineStr">
        <is>
          <t>x:X search: Amupitan</t>
        </is>
      </c>
      <c r="G489" s="22" t="n">
        <v>-0.325</v>
      </c>
      <c r="H489" s="22" t="n">
        <v>0</v>
      </c>
      <c r="I489" s="22" t="n">
        <v>0</v>
      </c>
      <c r="J489" s="22" t="n">
        <v>0</v>
      </c>
      <c r="K489" s="22" t="n">
        <v>0</v>
      </c>
      <c r="L489" s="22" t="n">
        <v>0</v>
      </c>
      <c r="M489" s="22" t="n">
        <v>1</v>
      </c>
      <c r="N489" s="22" t="n">
        <v>0</v>
      </c>
      <c r="O489" s="22" t="n">
        <v>0</v>
      </c>
      <c r="P489" s="22" t="n">
        <v>0</v>
      </c>
      <c r="Q489" s="22" t="n">
        <v>0</v>
      </c>
      <c r="R489" s="22" t="n">
        <v>0</v>
      </c>
      <c r="S489" s="22" t="n">
        <v>0</v>
      </c>
      <c r="T489" s="22" t="n">
        <v>0</v>
      </c>
      <c r="U489" s="3">
        <f>IF(OR(N489=1,Q489=1),1,0)</f>
        <v/>
      </c>
      <c r="V489" s="3">
        <f>IF(OR(T489=1,P489=1),1,0)</f>
        <v/>
      </c>
      <c r="W489" s="3">
        <f>IF(OR(J489=1),1,0)</f>
        <v/>
      </c>
      <c r="X489" s="3">
        <f>IF(OR(I489=1,H489=1),1,0)</f>
        <v/>
      </c>
      <c r="Y489" s="3">
        <f>IF(OR(G489=1),1,0)</f>
        <v/>
      </c>
      <c r="Z489" s="3">
        <f>IF(OR(F489=1),1,0)</f>
        <v/>
      </c>
      <c r="AA489" s="3">
        <f>IF(OR(M489=1),1,0)</f>
        <v/>
      </c>
    </row>
    <row r="490">
      <c r="A490" s="22" t="inlineStr">
        <is>
          <t>9d7a261179ea514cfd125a19854ce4f4436e9ad5</t>
        </is>
      </c>
      <c r="B490" s="22" t="inlineStr">
        <is>
          <t>2026-10</t>
        </is>
      </c>
      <c r="C490" s="22" t="inlineStr">
        <is>
          <t>X</t>
        </is>
      </c>
      <c r="D490" s="22" t="n">
        <v>1</v>
      </c>
      <c r="E490" s="22" t="inlineStr">
        <is>
          <t>X: X search: Amupitan</t>
        </is>
      </c>
      <c r="F490" s="22" t="inlineStr">
        <is>
          <t>x:X search: Amupitan</t>
        </is>
      </c>
      <c r="G490" s="22" t="n">
        <v>-0.836</v>
      </c>
      <c r="H490" s="22" t="n">
        <v>0</v>
      </c>
      <c r="I490" s="22" t="n">
        <v>0</v>
      </c>
      <c r="J490" s="22" t="n">
        <v>0</v>
      </c>
      <c r="K490" s="22" t="n">
        <v>0</v>
      </c>
      <c r="L490" s="22" t="n">
        <v>0</v>
      </c>
      <c r="M490" s="22" t="n">
        <v>1</v>
      </c>
      <c r="N490" s="22" t="n">
        <v>0</v>
      </c>
      <c r="O490" s="22" t="n">
        <v>0</v>
      </c>
      <c r="P490" s="22" t="n">
        <v>0</v>
      </c>
      <c r="Q490" s="22" t="n">
        <v>0</v>
      </c>
      <c r="R490" s="22" t="n">
        <v>0</v>
      </c>
      <c r="S490" s="22" t="n">
        <v>0</v>
      </c>
      <c r="T490" s="22" t="n">
        <v>0</v>
      </c>
      <c r="U490" s="3">
        <f>IF(OR(N490=1,Q490=1),1,0)</f>
        <v/>
      </c>
      <c r="V490" s="3">
        <f>IF(OR(T490=1,P490=1),1,0)</f>
        <v/>
      </c>
      <c r="W490" s="3">
        <f>IF(OR(J490=1),1,0)</f>
        <v/>
      </c>
      <c r="X490" s="3">
        <f>IF(OR(I490=1,H490=1),1,0)</f>
        <v/>
      </c>
      <c r="Y490" s="3">
        <f>IF(OR(G490=1),1,0)</f>
        <v/>
      </c>
      <c r="Z490" s="3">
        <f>IF(OR(F490=1),1,0)</f>
        <v/>
      </c>
      <c r="AA490" s="3">
        <f>IF(OR(M490=1),1,0)</f>
        <v/>
      </c>
    </row>
    <row r="491">
      <c r="A491" s="22" t="inlineStr">
        <is>
          <t>9d6657077eb02922aae4dd1ec15942afe49beb8b</t>
        </is>
      </c>
      <c r="B491" s="22" t="inlineStr">
        <is>
          <t>2026-10</t>
        </is>
      </c>
      <c r="C491" s="22" t="inlineStr">
        <is>
          <t>X</t>
        </is>
      </c>
      <c r="D491" s="22" t="n">
        <v>1</v>
      </c>
      <c r="E491" s="22" t="inlineStr">
        <is>
          <t>X: X search: Amupitan</t>
        </is>
      </c>
      <c r="F491" s="22" t="inlineStr">
        <is>
          <t>x:X search: Amupitan</t>
        </is>
      </c>
      <c r="G491" s="22" t="n">
        <v>-0.615</v>
      </c>
      <c r="H491" s="22" t="n">
        <v>0</v>
      </c>
      <c r="I491" s="22" t="n">
        <v>0</v>
      </c>
      <c r="J491" s="22" t="n">
        <v>0</v>
      </c>
      <c r="K491" s="22" t="n">
        <v>0</v>
      </c>
      <c r="L491" s="22" t="n">
        <v>0</v>
      </c>
      <c r="M491" s="22" t="n">
        <v>1</v>
      </c>
      <c r="N491" s="22" t="n">
        <v>0</v>
      </c>
      <c r="O491" s="22" t="n">
        <v>0</v>
      </c>
      <c r="P491" s="22" t="n">
        <v>0</v>
      </c>
      <c r="Q491" s="22" t="n">
        <v>0</v>
      </c>
      <c r="R491" s="22" t="n">
        <v>0</v>
      </c>
      <c r="S491" s="22" t="n">
        <v>0</v>
      </c>
      <c r="T491" s="22" t="n">
        <v>0</v>
      </c>
      <c r="U491" s="3">
        <f>IF(OR(N491=1,Q491=1),1,0)</f>
        <v/>
      </c>
      <c r="V491" s="3">
        <f>IF(OR(T491=1,P491=1),1,0)</f>
        <v/>
      </c>
      <c r="W491" s="3">
        <f>IF(OR(J491=1),1,0)</f>
        <v/>
      </c>
      <c r="X491" s="3">
        <f>IF(OR(I491=1,H491=1),1,0)</f>
        <v/>
      </c>
      <c r="Y491" s="3">
        <f>IF(OR(G491=1),1,0)</f>
        <v/>
      </c>
      <c r="Z491" s="3">
        <f>IF(OR(F491=1),1,0)</f>
        <v/>
      </c>
      <c r="AA491" s="3">
        <f>IF(OR(M491=1),1,0)</f>
        <v/>
      </c>
    </row>
    <row r="492">
      <c r="A492" s="22" t="inlineStr">
        <is>
          <t>6359f0eab25ca7462d1a576272025c86dc463d78</t>
        </is>
      </c>
      <c r="B492" s="22" t="inlineStr">
        <is>
          <t>2026-10</t>
        </is>
      </c>
      <c r="C492" s="22" t="inlineStr">
        <is>
          <t>X</t>
        </is>
      </c>
      <c r="D492" s="22" t="n">
        <v>1</v>
      </c>
      <c r="E492" s="22" t="inlineStr">
        <is>
          <t>X: X search: Amupitan</t>
        </is>
      </c>
      <c r="F492" s="22" t="inlineStr">
        <is>
          <t>x:X search: Amupitan</t>
        </is>
      </c>
      <c r="G492" s="22" t="n">
        <v>-0.494</v>
      </c>
      <c r="H492" s="22" t="n">
        <v>0</v>
      </c>
      <c r="I492" s="22" t="n">
        <v>0</v>
      </c>
      <c r="J492" s="22" t="n">
        <v>0</v>
      </c>
      <c r="K492" s="22" t="n">
        <v>0</v>
      </c>
      <c r="L492" s="22" t="n">
        <v>0</v>
      </c>
      <c r="M492" s="22" t="n">
        <v>1</v>
      </c>
      <c r="N492" s="22" t="n">
        <v>0</v>
      </c>
      <c r="O492" s="22" t="n">
        <v>0</v>
      </c>
      <c r="P492" s="22" t="n">
        <v>0</v>
      </c>
      <c r="Q492" s="22" t="n">
        <v>0</v>
      </c>
      <c r="R492" s="22" t="n">
        <v>0</v>
      </c>
      <c r="S492" s="22" t="n">
        <v>0</v>
      </c>
      <c r="T492" s="22" t="n">
        <v>0</v>
      </c>
      <c r="U492" s="3">
        <f>IF(OR(N492=1,Q492=1),1,0)</f>
        <v/>
      </c>
      <c r="V492" s="3">
        <f>IF(OR(T492=1,P492=1),1,0)</f>
        <v/>
      </c>
      <c r="W492" s="3">
        <f>IF(OR(J492=1),1,0)</f>
        <v/>
      </c>
      <c r="X492" s="3">
        <f>IF(OR(I492=1,H492=1),1,0)</f>
        <v/>
      </c>
      <c r="Y492" s="3">
        <f>IF(OR(G492=1),1,0)</f>
        <v/>
      </c>
      <c r="Z492" s="3">
        <f>IF(OR(F492=1),1,0)</f>
        <v/>
      </c>
      <c r="AA492" s="3">
        <f>IF(OR(M492=1),1,0)</f>
        <v/>
      </c>
    </row>
    <row r="493">
      <c r="A493" s="22" t="inlineStr">
        <is>
          <t>a178b6c6e889e1b96ce75fdcb406677d621b0e58</t>
        </is>
      </c>
      <c r="B493" s="22" t="inlineStr">
        <is>
          <t>2026-10</t>
        </is>
      </c>
      <c r="C493" s="22" t="inlineStr">
        <is>
          <t>X</t>
        </is>
      </c>
      <c r="D493" s="22" t="n">
        <v>1</v>
      </c>
      <c r="E493" s="22" t="inlineStr">
        <is>
          <t>X: X search: Amupitan</t>
        </is>
      </c>
      <c r="F493" s="22" t="inlineStr">
        <is>
          <t>x:X search: Amupitan</t>
        </is>
      </c>
      <c r="G493" s="22" t="n">
        <v>-0.32</v>
      </c>
      <c r="H493" s="22" t="n">
        <v>0</v>
      </c>
      <c r="I493" s="22" t="n">
        <v>0</v>
      </c>
      <c r="J493" s="22" t="n">
        <v>0</v>
      </c>
      <c r="K493" s="22" t="n">
        <v>0</v>
      </c>
      <c r="L493" s="22" t="n">
        <v>0</v>
      </c>
      <c r="M493" s="22" t="n">
        <v>1</v>
      </c>
      <c r="N493" s="22" t="n">
        <v>0</v>
      </c>
      <c r="O493" s="22" t="n">
        <v>0</v>
      </c>
      <c r="P493" s="22" t="n">
        <v>0</v>
      </c>
      <c r="Q493" s="22" t="n">
        <v>0</v>
      </c>
      <c r="R493" s="22" t="n">
        <v>0</v>
      </c>
      <c r="S493" s="22" t="n">
        <v>0</v>
      </c>
      <c r="T493" s="22" t="n">
        <v>0</v>
      </c>
      <c r="U493" s="3">
        <f>IF(OR(N493=1,Q493=1),1,0)</f>
        <v/>
      </c>
      <c r="V493" s="3">
        <f>IF(OR(T493=1,P493=1),1,0)</f>
        <v/>
      </c>
      <c r="W493" s="3">
        <f>IF(OR(J493=1),1,0)</f>
        <v/>
      </c>
      <c r="X493" s="3">
        <f>IF(OR(I493=1,H493=1),1,0)</f>
        <v/>
      </c>
      <c r="Y493" s="3">
        <f>IF(OR(G493=1),1,0)</f>
        <v/>
      </c>
      <c r="Z493" s="3">
        <f>IF(OR(F493=1),1,0)</f>
        <v/>
      </c>
      <c r="AA493" s="3">
        <f>IF(OR(M493=1),1,0)</f>
        <v/>
      </c>
    </row>
    <row r="494">
      <c r="A494" s="22" t="inlineStr">
        <is>
          <t>024b6526b9245bb7b53d0983c735ccaa39b8029e</t>
        </is>
      </c>
      <c r="B494" s="22" t="inlineStr">
        <is>
          <t>2026-10</t>
        </is>
      </c>
      <c r="C494" s="22" t="inlineStr">
        <is>
          <t>X</t>
        </is>
      </c>
      <c r="D494" s="22" t="n">
        <v>1</v>
      </c>
      <c r="E494" s="22" t="inlineStr">
        <is>
          <t>X: X search: Amupitan</t>
        </is>
      </c>
      <c r="F494" s="22" t="inlineStr">
        <is>
          <t>x:X search: Amupitan</t>
        </is>
      </c>
      <c r="G494" s="22" t="n">
        <v>-0.896</v>
      </c>
      <c r="H494" s="22" t="n">
        <v>1</v>
      </c>
      <c r="I494" s="22" t="n">
        <v>0</v>
      </c>
      <c r="J494" s="22" t="n">
        <v>0</v>
      </c>
      <c r="K494" s="22" t="n">
        <v>0</v>
      </c>
      <c r="L494" s="22" t="n">
        <v>0</v>
      </c>
      <c r="M494" s="22" t="n">
        <v>1</v>
      </c>
      <c r="N494" s="22" t="n">
        <v>0</v>
      </c>
      <c r="O494" s="22" t="n">
        <v>1</v>
      </c>
      <c r="P494" s="22" t="n">
        <v>0</v>
      </c>
      <c r="Q494" s="22" t="n">
        <v>0</v>
      </c>
      <c r="R494" s="22" t="n">
        <v>0</v>
      </c>
      <c r="S494" s="22" t="n">
        <v>0</v>
      </c>
      <c r="T494" s="22" t="n">
        <v>0</v>
      </c>
      <c r="U494" s="3">
        <f>IF(OR(N494=1,Q494=1),1,0)</f>
        <v/>
      </c>
      <c r="V494" s="3">
        <f>IF(OR(T494=1,P494=1),1,0)</f>
        <v/>
      </c>
      <c r="W494" s="3">
        <f>IF(OR(J494=1),1,0)</f>
        <v/>
      </c>
      <c r="X494" s="3">
        <f>IF(OR(I494=1,H494=1),1,0)</f>
        <v/>
      </c>
      <c r="Y494" s="3">
        <f>IF(OR(G494=1),1,0)</f>
        <v/>
      </c>
      <c r="Z494" s="3">
        <f>IF(OR(F494=1),1,0)</f>
        <v/>
      </c>
      <c r="AA494" s="3">
        <f>IF(OR(M494=1),1,0)</f>
        <v/>
      </c>
    </row>
    <row r="495">
      <c r="A495" s="22" t="inlineStr">
        <is>
          <t>7328808fa1a224be1d1e8770bc792e7b9969a280</t>
        </is>
      </c>
      <c r="B495" s="22" t="inlineStr">
        <is>
          <t>2026-10</t>
        </is>
      </c>
      <c r="C495" s="22" t="inlineStr">
        <is>
          <t>X</t>
        </is>
      </c>
      <c r="D495" s="22" t="n">
        <v>1</v>
      </c>
      <c r="E495" s="22" t="inlineStr">
        <is>
          <t>X: X search: Amupitan</t>
        </is>
      </c>
      <c r="F495" s="22" t="inlineStr">
        <is>
          <t>x:X search: Amupitan</t>
        </is>
      </c>
      <c r="G495" s="22" t="n">
        <v>-0.313</v>
      </c>
      <c r="H495" s="22" t="n">
        <v>0</v>
      </c>
      <c r="I495" s="22" t="n">
        <v>0</v>
      </c>
      <c r="J495" s="22" t="n">
        <v>0</v>
      </c>
      <c r="K495" s="22" t="n">
        <v>0</v>
      </c>
      <c r="L495" s="22" t="n">
        <v>0</v>
      </c>
      <c r="M495" s="22" t="n">
        <v>1</v>
      </c>
      <c r="N495" s="22" t="n">
        <v>0</v>
      </c>
      <c r="O495" s="22" t="n">
        <v>0</v>
      </c>
      <c r="P495" s="22" t="n">
        <v>0</v>
      </c>
      <c r="Q495" s="22" t="n">
        <v>0</v>
      </c>
      <c r="R495" s="22" t="n">
        <v>0</v>
      </c>
      <c r="S495" s="22" t="n">
        <v>0</v>
      </c>
      <c r="T495" s="22" t="n">
        <v>0</v>
      </c>
      <c r="U495" s="3">
        <f>IF(OR(N495=1,Q495=1),1,0)</f>
        <v/>
      </c>
      <c r="V495" s="3">
        <f>IF(OR(T495=1,P495=1),1,0)</f>
        <v/>
      </c>
      <c r="W495" s="3">
        <f>IF(OR(J495=1),1,0)</f>
        <v/>
      </c>
      <c r="X495" s="3">
        <f>IF(OR(I495=1,H495=1),1,0)</f>
        <v/>
      </c>
      <c r="Y495" s="3">
        <f>IF(OR(G495=1),1,0)</f>
        <v/>
      </c>
      <c r="Z495" s="3">
        <f>IF(OR(F495=1),1,0)</f>
        <v/>
      </c>
      <c r="AA495" s="3">
        <f>IF(OR(M495=1),1,0)</f>
        <v/>
      </c>
    </row>
    <row r="496">
      <c r="A496" s="22" t="inlineStr">
        <is>
          <t>ea53ebdc60d0c8b76391a1df94ce908e2e0db605</t>
        </is>
      </c>
      <c r="B496" s="22" t="inlineStr">
        <is>
          <t>2026-10</t>
        </is>
      </c>
      <c r="C496" s="22" t="inlineStr">
        <is>
          <t>X</t>
        </is>
      </c>
      <c r="D496" s="22" t="n">
        <v>1</v>
      </c>
      <c r="E496" s="22" t="inlineStr">
        <is>
          <t>X: X search: Amupitan</t>
        </is>
      </c>
      <c r="F496" s="22" t="inlineStr">
        <is>
          <t>x:X search: Amupitan</t>
        </is>
      </c>
      <c r="G496" s="22" t="n">
        <v>-0.128</v>
      </c>
      <c r="H496" s="22" t="n">
        <v>1</v>
      </c>
      <c r="I496" s="22" t="n">
        <v>0</v>
      </c>
      <c r="J496" s="22" t="n">
        <v>0</v>
      </c>
      <c r="K496" s="22" t="n">
        <v>0</v>
      </c>
      <c r="L496" s="22" t="n">
        <v>0</v>
      </c>
      <c r="M496" s="22" t="n">
        <v>0</v>
      </c>
      <c r="N496" s="22" t="n">
        <v>0</v>
      </c>
      <c r="O496" s="22" t="n">
        <v>0</v>
      </c>
      <c r="P496" s="22" t="n">
        <v>0</v>
      </c>
      <c r="Q496" s="22" t="n">
        <v>0</v>
      </c>
      <c r="R496" s="22" t="n">
        <v>0</v>
      </c>
      <c r="S496" s="22" t="n">
        <v>0</v>
      </c>
      <c r="T496" s="22" t="n">
        <v>0</v>
      </c>
      <c r="U496" s="3">
        <f>IF(OR(N496=1,Q496=1),1,0)</f>
        <v/>
      </c>
      <c r="V496" s="3">
        <f>IF(OR(T496=1,P496=1),1,0)</f>
        <v/>
      </c>
      <c r="W496" s="3">
        <f>IF(OR(J496=1),1,0)</f>
        <v/>
      </c>
      <c r="X496" s="3">
        <f>IF(OR(I496=1,H496=1),1,0)</f>
        <v/>
      </c>
      <c r="Y496" s="3">
        <f>IF(OR(G496=1),1,0)</f>
        <v/>
      </c>
      <c r="Z496" s="3">
        <f>IF(OR(F496=1),1,0)</f>
        <v/>
      </c>
      <c r="AA496" s="3">
        <f>IF(OR(M496=1),1,0)</f>
        <v/>
      </c>
    </row>
    <row r="497">
      <c r="A497" s="22" t="inlineStr">
        <is>
          <t>7bf0bd7a554726a1d06cf8e73f98b634838b6d36</t>
        </is>
      </c>
      <c r="B497" s="22" t="inlineStr">
        <is>
          <t>2026-10</t>
        </is>
      </c>
      <c r="C497" s="22" t="inlineStr">
        <is>
          <t>X</t>
        </is>
      </c>
      <c r="D497" s="22" t="n">
        <v>1</v>
      </c>
      <c r="E497" s="22" t="inlineStr">
        <is>
          <t>X: X search: Amupitan</t>
        </is>
      </c>
      <c r="F497" s="22" t="inlineStr">
        <is>
          <t>x:X search: Amupitan</t>
        </is>
      </c>
      <c r="G497" s="22" t="n">
        <v>-0.442</v>
      </c>
      <c r="H497" s="22" t="n">
        <v>1</v>
      </c>
      <c r="I497" s="22" t="n">
        <v>1</v>
      </c>
      <c r="J497" s="22" t="n">
        <v>0</v>
      </c>
      <c r="K497" s="22" t="n">
        <v>0</v>
      </c>
      <c r="L497" s="22" t="n">
        <v>0</v>
      </c>
      <c r="M497" s="22" t="n">
        <v>1</v>
      </c>
      <c r="N497" s="22" t="n">
        <v>0</v>
      </c>
      <c r="O497" s="22" t="n">
        <v>0</v>
      </c>
      <c r="P497" s="22" t="n">
        <v>0</v>
      </c>
      <c r="Q497" s="22" t="n">
        <v>0</v>
      </c>
      <c r="R497" s="22" t="n">
        <v>0</v>
      </c>
      <c r="S497" s="22" t="n">
        <v>0</v>
      </c>
      <c r="T497" s="22" t="n">
        <v>0</v>
      </c>
      <c r="U497" s="3">
        <f>IF(OR(N497=1,Q497=1),1,0)</f>
        <v/>
      </c>
      <c r="V497" s="3">
        <f>IF(OR(T497=1,P497=1),1,0)</f>
        <v/>
      </c>
      <c r="W497" s="3">
        <f>IF(OR(J497=1),1,0)</f>
        <v/>
      </c>
      <c r="X497" s="3">
        <f>IF(OR(I497=1,H497=1),1,0)</f>
        <v/>
      </c>
      <c r="Y497" s="3">
        <f>IF(OR(G497=1),1,0)</f>
        <v/>
      </c>
      <c r="Z497" s="3">
        <f>IF(OR(F497=1),1,0)</f>
        <v/>
      </c>
      <c r="AA497" s="3">
        <f>IF(OR(M497=1),1,0)</f>
        <v/>
      </c>
    </row>
    <row r="498">
      <c r="A498" s="22" t="inlineStr">
        <is>
          <t>7393b9d8b757aa0d24b3e78766feffc1f6835152</t>
        </is>
      </c>
      <c r="B498" s="22" t="inlineStr">
        <is>
          <t>2026-10</t>
        </is>
      </c>
      <c r="C498" s="22" t="inlineStr">
        <is>
          <t>X</t>
        </is>
      </c>
      <c r="D498" s="22" t="n">
        <v>1</v>
      </c>
      <c r="E498" s="22" t="inlineStr">
        <is>
          <t>X: X search: Amupitan</t>
        </is>
      </c>
      <c r="F498" s="22" t="inlineStr">
        <is>
          <t>x:X search: Amupitan</t>
        </is>
      </c>
      <c r="G498" s="22" t="n">
        <v>-0.84</v>
      </c>
      <c r="H498" s="22" t="n">
        <v>1</v>
      </c>
      <c r="I498" s="22" t="n">
        <v>0</v>
      </c>
      <c r="J498" s="22" t="n">
        <v>0</v>
      </c>
      <c r="K498" s="22" t="n">
        <v>0</v>
      </c>
      <c r="L498" s="22" t="n">
        <v>0</v>
      </c>
      <c r="M498" s="22" t="n">
        <v>1</v>
      </c>
      <c r="N498" s="22" t="n">
        <v>0</v>
      </c>
      <c r="O498" s="22" t="n">
        <v>0</v>
      </c>
      <c r="P498" s="22" t="n">
        <v>0</v>
      </c>
      <c r="Q498" s="22" t="n">
        <v>0</v>
      </c>
      <c r="R498" s="22" t="n">
        <v>0</v>
      </c>
      <c r="S498" s="22" t="n">
        <v>0</v>
      </c>
      <c r="T498" s="22" t="n">
        <v>0</v>
      </c>
      <c r="U498" s="3">
        <f>IF(OR(N498=1,Q498=1),1,0)</f>
        <v/>
      </c>
      <c r="V498" s="3">
        <f>IF(OR(T498=1,P498=1),1,0)</f>
        <v/>
      </c>
      <c r="W498" s="3">
        <f>IF(OR(J498=1),1,0)</f>
        <v/>
      </c>
      <c r="X498" s="3">
        <f>IF(OR(I498=1,H498=1),1,0)</f>
        <v/>
      </c>
      <c r="Y498" s="3">
        <f>IF(OR(G498=1),1,0)</f>
        <v/>
      </c>
      <c r="Z498" s="3">
        <f>IF(OR(F498=1),1,0)</f>
        <v/>
      </c>
      <c r="AA498" s="3">
        <f>IF(OR(M498=1),1,0)</f>
        <v/>
      </c>
    </row>
    <row r="499">
      <c r="A499" s="22" t="inlineStr">
        <is>
          <t>14e73dadbba4c156be2b6f19a564aee1b25f0e33</t>
        </is>
      </c>
      <c r="B499" s="22" t="inlineStr">
        <is>
          <t>2026-10</t>
        </is>
      </c>
      <c r="C499" s="22" t="inlineStr">
        <is>
          <t>X</t>
        </is>
      </c>
      <c r="D499" s="22" t="n">
        <v>1</v>
      </c>
      <c r="E499" s="22" t="inlineStr">
        <is>
          <t>X: X search: Amupitan</t>
        </is>
      </c>
      <c r="F499" s="22" t="inlineStr">
        <is>
          <t>x:X search: Amupitan</t>
        </is>
      </c>
      <c r="G499" s="22" t="n">
        <v>-0.296</v>
      </c>
      <c r="H499" s="22" t="n">
        <v>1</v>
      </c>
      <c r="I499" s="22" t="n">
        <v>0</v>
      </c>
      <c r="J499" s="22" t="n">
        <v>0</v>
      </c>
      <c r="K499" s="22" t="n">
        <v>0</v>
      </c>
      <c r="L499" s="22" t="n">
        <v>0</v>
      </c>
      <c r="M499" s="22" t="n">
        <v>0</v>
      </c>
      <c r="N499" s="22" t="n">
        <v>0</v>
      </c>
      <c r="O499" s="22" t="n">
        <v>0</v>
      </c>
      <c r="P499" s="22" t="n">
        <v>0</v>
      </c>
      <c r="Q499" s="22" t="n">
        <v>0</v>
      </c>
      <c r="R499" s="22" t="n">
        <v>0</v>
      </c>
      <c r="S499" s="22" t="n">
        <v>0</v>
      </c>
      <c r="T499" s="22" t="n">
        <v>0</v>
      </c>
      <c r="U499" s="3">
        <f>IF(OR(N499=1,Q499=1),1,0)</f>
        <v/>
      </c>
      <c r="V499" s="3">
        <f>IF(OR(T499=1,P499=1),1,0)</f>
        <v/>
      </c>
      <c r="W499" s="3">
        <f>IF(OR(J499=1),1,0)</f>
        <v/>
      </c>
      <c r="X499" s="3">
        <f>IF(OR(I499=1,H499=1),1,0)</f>
        <v/>
      </c>
      <c r="Y499" s="3">
        <f>IF(OR(G499=1),1,0)</f>
        <v/>
      </c>
      <c r="Z499" s="3">
        <f>IF(OR(F499=1),1,0)</f>
        <v/>
      </c>
      <c r="AA499" s="3">
        <f>IF(OR(M499=1),1,0)</f>
        <v/>
      </c>
    </row>
    <row r="500">
      <c r="A500" s="22" t="inlineStr">
        <is>
          <t>0610e94d0fd5d708ab1dca0239877a0d419314fa</t>
        </is>
      </c>
      <c r="B500" s="22" t="inlineStr">
        <is>
          <t>2026-10</t>
        </is>
      </c>
      <c r="C500" s="22" t="inlineStr">
        <is>
          <t>X</t>
        </is>
      </c>
      <c r="D500" s="22" t="n">
        <v>1</v>
      </c>
      <c r="E500" s="22" t="inlineStr">
        <is>
          <t>X: X search: Amupitan</t>
        </is>
      </c>
      <c r="F500" s="22" t="inlineStr">
        <is>
          <t>x:X search: Amupitan</t>
        </is>
      </c>
      <c r="G500" s="22" t="n">
        <v>-0.599</v>
      </c>
      <c r="H500" s="22" t="n">
        <v>1</v>
      </c>
      <c r="I500" s="22" t="n">
        <v>0</v>
      </c>
      <c r="J500" s="22" t="n">
        <v>0</v>
      </c>
      <c r="K500" s="22" t="n">
        <v>0</v>
      </c>
      <c r="L500" s="22" t="n">
        <v>0</v>
      </c>
      <c r="M500" s="22" t="n">
        <v>1</v>
      </c>
      <c r="N500" s="22" t="n">
        <v>0</v>
      </c>
      <c r="O500" s="22" t="n">
        <v>0</v>
      </c>
      <c r="P500" s="22" t="n">
        <v>0</v>
      </c>
      <c r="Q500" s="22" t="n">
        <v>0</v>
      </c>
      <c r="R500" s="22" t="n">
        <v>0</v>
      </c>
      <c r="S500" s="22" t="n">
        <v>0</v>
      </c>
      <c r="T500" s="22" t="n">
        <v>0</v>
      </c>
      <c r="U500" s="3">
        <f>IF(OR(N500=1,Q500=1),1,0)</f>
        <v/>
      </c>
      <c r="V500" s="3">
        <f>IF(OR(T500=1,P500=1),1,0)</f>
        <v/>
      </c>
      <c r="W500" s="3">
        <f>IF(OR(J500=1),1,0)</f>
        <v/>
      </c>
      <c r="X500" s="3">
        <f>IF(OR(I500=1,H500=1),1,0)</f>
        <v/>
      </c>
      <c r="Y500" s="3">
        <f>IF(OR(G500=1),1,0)</f>
        <v/>
      </c>
      <c r="Z500" s="3">
        <f>IF(OR(F500=1),1,0)</f>
        <v/>
      </c>
      <c r="AA500" s="3">
        <f>IF(OR(M500=1),1,0)</f>
        <v/>
      </c>
    </row>
    <row r="501">
      <c r="A501" s="22" t="inlineStr">
        <is>
          <t>77fbce78cfee51e7de3e03e59e522e02be2baf9d</t>
        </is>
      </c>
      <c r="B501" s="22" t="inlineStr">
        <is>
          <t>2026-10</t>
        </is>
      </c>
      <c r="C501" s="22" t="inlineStr">
        <is>
          <t>X</t>
        </is>
      </c>
      <c r="D501" s="22" t="n">
        <v>1</v>
      </c>
      <c r="E501" s="22" t="inlineStr">
        <is>
          <t>X: X search: Amupitan</t>
        </is>
      </c>
      <c r="F501" s="22" t="inlineStr">
        <is>
          <t>x:X search: Amupitan</t>
        </is>
      </c>
      <c r="G501" s="22" t="n">
        <v>-0.832</v>
      </c>
      <c r="H501" s="22" t="n">
        <v>1</v>
      </c>
      <c r="I501" s="22" t="n">
        <v>0</v>
      </c>
      <c r="J501" s="22" t="n">
        <v>0</v>
      </c>
      <c r="K501" s="22" t="n">
        <v>0</v>
      </c>
      <c r="L501" s="22" t="n">
        <v>0</v>
      </c>
      <c r="M501" s="22" t="n">
        <v>1</v>
      </c>
      <c r="N501" s="22" t="n">
        <v>0</v>
      </c>
      <c r="O501" s="22" t="n">
        <v>0</v>
      </c>
      <c r="P501" s="22" t="n">
        <v>0</v>
      </c>
      <c r="Q501" s="22" t="n">
        <v>0</v>
      </c>
      <c r="R501" s="22" t="n">
        <v>0</v>
      </c>
      <c r="S501" s="22" t="n">
        <v>0</v>
      </c>
      <c r="T501" s="22" t="n">
        <v>0</v>
      </c>
      <c r="U501" s="3">
        <f>IF(OR(N501=1,Q501=1),1,0)</f>
        <v/>
      </c>
      <c r="V501" s="3">
        <f>IF(OR(T501=1,P501=1),1,0)</f>
        <v/>
      </c>
      <c r="W501" s="3">
        <f>IF(OR(J501=1),1,0)</f>
        <v/>
      </c>
      <c r="X501" s="3">
        <f>IF(OR(I501=1,H501=1),1,0)</f>
        <v/>
      </c>
      <c r="Y501" s="3">
        <f>IF(OR(G501=1),1,0)</f>
        <v/>
      </c>
      <c r="Z501" s="3">
        <f>IF(OR(F501=1),1,0)</f>
        <v/>
      </c>
      <c r="AA501" s="3">
        <f>IF(OR(M501=1),1,0)</f>
        <v/>
      </c>
    </row>
    <row r="502">
      <c r="A502" s="22" t="inlineStr">
        <is>
          <t>3a08acb8552ba61bd5a26de94becbd22ae0033ce</t>
        </is>
      </c>
      <c r="B502" s="22" t="inlineStr">
        <is>
          <t>2026-10</t>
        </is>
      </c>
      <c r="C502" s="22" t="inlineStr">
        <is>
          <t>Nairaland</t>
        </is>
      </c>
      <c r="D502" s="22" t="n">
        <v>0</v>
      </c>
      <c r="E502" s="22" t="inlineStr">
        <is>
          <t>Nairaland: Nairaland</t>
        </is>
      </c>
      <c r="F502" s="22" t="inlineStr">
        <is>
          <t>nairaland:Nairaland</t>
        </is>
      </c>
      <c r="G502" s="22" t="n">
        <v>-0.852</v>
      </c>
      <c r="H502" s="22" t="n">
        <v>1</v>
      </c>
      <c r="I502" s="22" t="n">
        <v>0</v>
      </c>
      <c r="J502" s="22" t="n">
        <v>0</v>
      </c>
      <c r="K502" s="22" t="n">
        <v>0</v>
      </c>
      <c r="L502" s="22" t="n">
        <v>0</v>
      </c>
      <c r="M502" s="22" t="n">
        <v>0</v>
      </c>
      <c r="N502" s="22" t="n">
        <v>0</v>
      </c>
      <c r="O502" s="22" t="n">
        <v>0</v>
      </c>
      <c r="P502" s="22" t="n">
        <v>0</v>
      </c>
      <c r="Q502" s="22" t="n">
        <v>0</v>
      </c>
      <c r="R502" s="22" t="n">
        <v>0</v>
      </c>
      <c r="S502" s="22" t="n">
        <v>0</v>
      </c>
      <c r="T502" s="22" t="n">
        <v>0</v>
      </c>
      <c r="U502" s="3">
        <f>IF(OR(N502=1,Q502=1),1,0)</f>
        <v/>
      </c>
      <c r="V502" s="3">
        <f>IF(OR(T502=1,P502=1),1,0)</f>
        <v/>
      </c>
      <c r="W502" s="3">
        <f>IF(OR(J502=1),1,0)</f>
        <v/>
      </c>
      <c r="X502" s="3">
        <f>IF(OR(I502=1,H502=1),1,0)</f>
        <v/>
      </c>
      <c r="Y502" s="3">
        <f>IF(OR(G502=1),1,0)</f>
        <v/>
      </c>
      <c r="Z502" s="3">
        <f>IF(OR(F502=1),1,0)</f>
        <v/>
      </c>
      <c r="AA502" s="3">
        <f>IF(OR(M502=1),1,0)</f>
        <v/>
      </c>
    </row>
    <row r="503">
      <c r="A503" s="22" t="inlineStr">
        <is>
          <t>c6ec92262b8768ec497e42c941963648e9c752c9</t>
        </is>
      </c>
      <c r="B503" s="22" t="inlineStr">
        <is>
          <t>2026-10</t>
        </is>
      </c>
      <c r="C503" s="22" t="inlineStr">
        <is>
          <t>Nairaland</t>
        </is>
      </c>
      <c r="D503" s="22" t="n">
        <v>0</v>
      </c>
      <c r="E503" s="22" t="inlineStr">
        <is>
          <t>Nairaland: Nairaland</t>
        </is>
      </c>
      <c r="F503" s="22" t="inlineStr">
        <is>
          <t>nairaland:Nairaland</t>
        </is>
      </c>
      <c r="G503" s="22" t="n">
        <v>0.8129999999999999</v>
      </c>
      <c r="H503" s="22" t="n">
        <v>1</v>
      </c>
      <c r="I503" s="22" t="n">
        <v>0</v>
      </c>
      <c r="J503" s="22" t="n">
        <v>0</v>
      </c>
      <c r="K503" s="22" t="n">
        <v>0</v>
      </c>
      <c r="L503" s="22" t="n">
        <v>0</v>
      </c>
      <c r="M503" s="22" t="n">
        <v>0</v>
      </c>
      <c r="N503" s="22" t="n">
        <v>0</v>
      </c>
      <c r="O503" s="22" t="n">
        <v>0</v>
      </c>
      <c r="P503" s="22" t="n">
        <v>0</v>
      </c>
      <c r="Q503" s="22" t="n">
        <v>0</v>
      </c>
      <c r="R503" s="22" t="n">
        <v>0</v>
      </c>
      <c r="S503" s="22" t="n">
        <v>0</v>
      </c>
      <c r="T503" s="22" t="n">
        <v>0</v>
      </c>
      <c r="U503" s="3">
        <f>IF(OR(N503=1,Q503=1),1,0)</f>
        <v/>
      </c>
      <c r="V503" s="3">
        <f>IF(OR(T503=1,P503=1),1,0)</f>
        <v/>
      </c>
      <c r="W503" s="3">
        <f>IF(OR(J503=1),1,0)</f>
        <v/>
      </c>
      <c r="X503" s="3">
        <f>IF(OR(I503=1,H503=1),1,0)</f>
        <v/>
      </c>
      <c r="Y503" s="3">
        <f>IF(OR(G503=1),1,0)</f>
        <v/>
      </c>
      <c r="Z503" s="3">
        <f>IF(OR(F503=1),1,0)</f>
        <v/>
      </c>
      <c r="AA503" s="3">
        <f>IF(OR(M503=1),1,0)</f>
        <v/>
      </c>
    </row>
    <row r="504">
      <c r="A504" s="22" t="inlineStr">
        <is>
          <t>6ca1f272c7a6f3f4654e3cf9d0a25fa60d78a77a</t>
        </is>
      </c>
      <c r="B504" s="22" t="inlineStr">
        <is>
          <t>2026-10</t>
        </is>
      </c>
      <c r="C504" s="22" t="inlineStr">
        <is>
          <t>Nairaland</t>
        </is>
      </c>
      <c r="D504" s="22" t="n">
        <v>0</v>
      </c>
      <c r="E504" s="22" t="inlineStr">
        <is>
          <t>Nairaland: Nairaland</t>
        </is>
      </c>
      <c r="F504" s="22" t="inlineStr">
        <is>
          <t>nairaland:Nairaland</t>
        </is>
      </c>
      <c r="G504" s="22" t="n">
        <v>-0.888</v>
      </c>
      <c r="H504" s="22" t="n">
        <v>1</v>
      </c>
      <c r="I504" s="22" t="n">
        <v>0</v>
      </c>
      <c r="J504" s="22" t="n">
        <v>0</v>
      </c>
      <c r="K504" s="22" t="n">
        <v>0</v>
      </c>
      <c r="L504" s="22" t="n">
        <v>0</v>
      </c>
      <c r="M504" s="22" t="n">
        <v>0</v>
      </c>
      <c r="N504" s="22" t="n">
        <v>0</v>
      </c>
      <c r="O504" s="22" t="n">
        <v>0</v>
      </c>
      <c r="P504" s="22" t="n">
        <v>0</v>
      </c>
      <c r="Q504" s="22" t="n">
        <v>0</v>
      </c>
      <c r="R504" s="22" t="n">
        <v>0</v>
      </c>
      <c r="S504" s="22" t="n">
        <v>0</v>
      </c>
      <c r="T504" s="22" t="n">
        <v>0</v>
      </c>
      <c r="U504" s="3">
        <f>IF(OR(N504=1,Q504=1),1,0)</f>
        <v/>
      </c>
      <c r="V504" s="3">
        <f>IF(OR(T504=1,P504=1),1,0)</f>
        <v/>
      </c>
      <c r="W504" s="3">
        <f>IF(OR(J504=1),1,0)</f>
        <v/>
      </c>
      <c r="X504" s="3">
        <f>IF(OR(I504=1,H504=1),1,0)</f>
        <v/>
      </c>
      <c r="Y504" s="3">
        <f>IF(OR(G504=1),1,0)</f>
        <v/>
      </c>
      <c r="Z504" s="3">
        <f>IF(OR(F504=1),1,0)</f>
        <v/>
      </c>
      <c r="AA504" s="3">
        <f>IF(OR(M504=1),1,0)</f>
        <v/>
      </c>
    </row>
    <row r="505">
      <c r="A505" s="22" t="inlineStr">
        <is>
          <t>020fcaf1a247e2d6ad53482f298b0b65dda16c16</t>
        </is>
      </c>
      <c r="B505" s="22" t="inlineStr">
        <is>
          <t>2026-10</t>
        </is>
      </c>
      <c r="C505" s="22" t="inlineStr">
        <is>
          <t>Nairaland</t>
        </is>
      </c>
      <c r="D505" s="22" t="n">
        <v>0</v>
      </c>
      <c r="E505" s="22" t="inlineStr">
        <is>
          <t>Nairaland: Nairaland</t>
        </is>
      </c>
      <c r="F505" s="22" t="inlineStr">
        <is>
          <t>nairaland:Nairaland</t>
        </is>
      </c>
      <c r="G505" s="22" t="n">
        <v>-0.633</v>
      </c>
      <c r="H505" s="22" t="n">
        <v>1</v>
      </c>
      <c r="I505" s="22" t="n">
        <v>0</v>
      </c>
      <c r="J505" s="22" t="n">
        <v>0</v>
      </c>
      <c r="K505" s="22" t="n">
        <v>0</v>
      </c>
      <c r="L505" s="22" t="n">
        <v>0</v>
      </c>
      <c r="M505" s="22" t="n">
        <v>0</v>
      </c>
      <c r="N505" s="22" t="n">
        <v>0</v>
      </c>
      <c r="O505" s="22" t="n">
        <v>0</v>
      </c>
      <c r="P505" s="22" t="n">
        <v>0</v>
      </c>
      <c r="Q505" s="22" t="n">
        <v>0</v>
      </c>
      <c r="R505" s="22" t="n">
        <v>0</v>
      </c>
      <c r="S505" s="22" t="n">
        <v>0</v>
      </c>
      <c r="T505" s="22" t="n">
        <v>0</v>
      </c>
      <c r="U505" s="3">
        <f>IF(OR(N505=1,Q505=1),1,0)</f>
        <v/>
      </c>
      <c r="V505" s="3">
        <f>IF(OR(T505=1,P505=1),1,0)</f>
        <v/>
      </c>
      <c r="W505" s="3">
        <f>IF(OR(J505=1),1,0)</f>
        <v/>
      </c>
      <c r="X505" s="3">
        <f>IF(OR(I505=1,H505=1),1,0)</f>
        <v/>
      </c>
      <c r="Y505" s="3">
        <f>IF(OR(G505=1),1,0)</f>
        <v/>
      </c>
      <c r="Z505" s="3">
        <f>IF(OR(F505=1),1,0)</f>
        <v/>
      </c>
      <c r="AA505" s="3">
        <f>IF(OR(M505=1),1,0)</f>
        <v/>
      </c>
    </row>
    <row r="506">
      <c r="A506" s="22" t="inlineStr">
        <is>
          <t>0a3e8dbda148295d9323bd64af84e359cb54ab3e</t>
        </is>
      </c>
      <c r="B506" s="22" t="inlineStr">
        <is>
          <t>2026-10</t>
        </is>
      </c>
      <c r="C506" s="22" t="inlineStr">
        <is>
          <t>Nairaland</t>
        </is>
      </c>
      <c r="D506" s="22" t="n">
        <v>0</v>
      </c>
      <c r="E506" s="22" t="inlineStr">
        <is>
          <t>Nairaland: Nairaland</t>
        </is>
      </c>
      <c r="F506" s="22" t="inlineStr">
        <is>
          <t>nairaland:Nairaland</t>
        </is>
      </c>
      <c r="G506" s="22" t="n">
        <v>-0.596</v>
      </c>
      <c r="H506" s="22" t="n">
        <v>1</v>
      </c>
      <c r="I506" s="22" t="n">
        <v>0</v>
      </c>
      <c r="J506" s="22" t="n">
        <v>0</v>
      </c>
      <c r="K506" s="22" t="n">
        <v>0</v>
      </c>
      <c r="L506" s="22" t="n">
        <v>0</v>
      </c>
      <c r="M506" s="22" t="n">
        <v>0</v>
      </c>
      <c r="N506" s="22" t="n">
        <v>0</v>
      </c>
      <c r="O506" s="22" t="n">
        <v>0</v>
      </c>
      <c r="P506" s="22" t="n">
        <v>0</v>
      </c>
      <c r="Q506" s="22" t="n">
        <v>0</v>
      </c>
      <c r="R506" s="22" t="n">
        <v>0</v>
      </c>
      <c r="S506" s="22" t="n">
        <v>0</v>
      </c>
      <c r="T506" s="22" t="n">
        <v>0</v>
      </c>
      <c r="U506" s="3">
        <f>IF(OR(N506=1,Q506=1),1,0)</f>
        <v/>
      </c>
      <c r="V506" s="3">
        <f>IF(OR(T506=1,P506=1),1,0)</f>
        <v/>
      </c>
      <c r="W506" s="3">
        <f>IF(OR(J506=1),1,0)</f>
        <v/>
      </c>
      <c r="X506" s="3">
        <f>IF(OR(I506=1,H506=1),1,0)</f>
        <v/>
      </c>
      <c r="Y506" s="3">
        <f>IF(OR(G506=1),1,0)</f>
        <v/>
      </c>
      <c r="Z506" s="3">
        <f>IF(OR(F506=1),1,0)</f>
        <v/>
      </c>
      <c r="AA506" s="3">
        <f>IF(OR(M506=1),1,0)</f>
        <v/>
      </c>
    </row>
    <row r="507">
      <c r="A507" s="22" t="inlineStr">
        <is>
          <t>6950acc413b675709f9fde25ac43761a1ff8e19d</t>
        </is>
      </c>
      <c r="B507" s="22" t="inlineStr">
        <is>
          <t>2026-10</t>
        </is>
      </c>
      <c r="C507" s="22" t="inlineStr">
        <is>
          <t>Nairaland</t>
        </is>
      </c>
      <c r="D507" s="22" t="n">
        <v>0</v>
      </c>
      <c r="E507" s="22" t="inlineStr">
        <is>
          <t>Nairaland: Nairaland</t>
        </is>
      </c>
      <c r="F507" s="22" t="inlineStr">
        <is>
          <t>nairaland:Nairaland</t>
        </is>
      </c>
      <c r="G507" s="22" t="n">
        <v>-0.891</v>
      </c>
      <c r="H507" s="22" t="n">
        <v>1</v>
      </c>
      <c r="I507" s="22" t="n">
        <v>1</v>
      </c>
      <c r="J507" s="22" t="n">
        <v>0</v>
      </c>
      <c r="K507" s="22" t="n">
        <v>0</v>
      </c>
      <c r="L507" s="22" t="n">
        <v>0</v>
      </c>
      <c r="M507" s="22" t="n">
        <v>1</v>
      </c>
      <c r="N507" s="22" t="n">
        <v>0</v>
      </c>
      <c r="O507" s="22" t="n">
        <v>0</v>
      </c>
      <c r="P507" s="22" t="n">
        <v>0</v>
      </c>
      <c r="Q507" s="22" t="n">
        <v>0</v>
      </c>
      <c r="R507" s="22" t="n">
        <v>0</v>
      </c>
      <c r="S507" s="22" t="n">
        <v>0</v>
      </c>
      <c r="T507" s="22" t="n">
        <v>0</v>
      </c>
      <c r="U507" s="3">
        <f>IF(OR(N507=1,Q507=1),1,0)</f>
        <v/>
      </c>
      <c r="V507" s="3">
        <f>IF(OR(T507=1,P507=1),1,0)</f>
        <v/>
      </c>
      <c r="W507" s="3">
        <f>IF(OR(J507=1),1,0)</f>
        <v/>
      </c>
      <c r="X507" s="3">
        <f>IF(OR(I507=1,H507=1),1,0)</f>
        <v/>
      </c>
      <c r="Y507" s="3">
        <f>IF(OR(G507=1),1,0)</f>
        <v/>
      </c>
      <c r="Z507" s="3">
        <f>IF(OR(F507=1),1,0)</f>
        <v/>
      </c>
      <c r="AA507" s="3">
        <f>IF(OR(M507=1),1,0)</f>
        <v/>
      </c>
    </row>
    <row r="508">
      <c r="A508" s="22" t="inlineStr">
        <is>
          <t>dfb7116bb575e51ca249fb3d69beaa3950818a55</t>
        </is>
      </c>
      <c r="B508" s="22" t="inlineStr">
        <is>
          <t>2026-10</t>
        </is>
      </c>
      <c r="C508" s="22" t="inlineStr">
        <is>
          <t>Nairaland</t>
        </is>
      </c>
      <c r="D508" s="22" t="n">
        <v>0</v>
      </c>
      <c r="E508" s="22" t="inlineStr">
        <is>
          <t>Nairaland: Nairaland</t>
        </is>
      </c>
      <c r="F508" s="22" t="inlineStr">
        <is>
          <t>nairaland:Nairaland</t>
        </is>
      </c>
      <c r="G508" s="22" t="n">
        <v>-0.844</v>
      </c>
      <c r="H508" s="22" t="n">
        <v>1</v>
      </c>
      <c r="I508" s="22" t="n">
        <v>0</v>
      </c>
      <c r="J508" s="22" t="n">
        <v>0</v>
      </c>
      <c r="K508" s="22" t="n">
        <v>0</v>
      </c>
      <c r="L508" s="22" t="n">
        <v>0</v>
      </c>
      <c r="M508" s="22" t="n">
        <v>0</v>
      </c>
      <c r="N508" s="22" t="n">
        <v>0</v>
      </c>
      <c r="O508" s="22" t="n">
        <v>0</v>
      </c>
      <c r="P508" s="22" t="n">
        <v>0</v>
      </c>
      <c r="Q508" s="22" t="n">
        <v>0</v>
      </c>
      <c r="R508" s="22" t="n">
        <v>0</v>
      </c>
      <c r="S508" s="22" t="n">
        <v>0</v>
      </c>
      <c r="T508" s="22" t="n">
        <v>0</v>
      </c>
      <c r="U508" s="3">
        <f>IF(OR(N508=1,Q508=1),1,0)</f>
        <v/>
      </c>
      <c r="V508" s="3">
        <f>IF(OR(T508=1,P508=1),1,0)</f>
        <v/>
      </c>
      <c r="W508" s="3">
        <f>IF(OR(J508=1),1,0)</f>
        <v/>
      </c>
      <c r="X508" s="3">
        <f>IF(OR(I508=1,H508=1),1,0)</f>
        <v/>
      </c>
      <c r="Y508" s="3">
        <f>IF(OR(G508=1),1,0)</f>
        <v/>
      </c>
      <c r="Z508" s="3">
        <f>IF(OR(F508=1),1,0)</f>
        <v/>
      </c>
      <c r="AA508" s="3">
        <f>IF(OR(M508=1),1,0)</f>
        <v/>
      </c>
    </row>
    <row r="509">
      <c r="A509" s="22" t="inlineStr">
        <is>
          <t>cbc0026ca76667e93fe58257e8314ea676150a51</t>
        </is>
      </c>
      <c r="B509" s="22" t="inlineStr">
        <is>
          <t>2026-10</t>
        </is>
      </c>
      <c r="C509" s="22" t="inlineStr">
        <is>
          <t>Nairaland</t>
        </is>
      </c>
      <c r="D509" s="22" t="n">
        <v>0</v>
      </c>
      <c r="E509" s="22" t="inlineStr">
        <is>
          <t>Nairaland: Nairaland</t>
        </is>
      </c>
      <c r="F509" s="22" t="inlineStr">
        <is>
          <t>nairaland:Nairaland</t>
        </is>
      </c>
      <c r="G509" s="22" t="n">
        <v>-0.311</v>
      </c>
      <c r="H509" s="22" t="n">
        <v>1</v>
      </c>
      <c r="I509" s="22" t="n">
        <v>1</v>
      </c>
      <c r="J509" s="22" t="n">
        <v>0</v>
      </c>
      <c r="K509" s="22" t="n">
        <v>0</v>
      </c>
      <c r="L509" s="22" t="n">
        <v>0</v>
      </c>
      <c r="M509" s="22" t="n">
        <v>1</v>
      </c>
      <c r="N509" s="22" t="n">
        <v>0</v>
      </c>
      <c r="O509" s="22" t="n">
        <v>0</v>
      </c>
      <c r="P509" s="22" t="n">
        <v>0</v>
      </c>
      <c r="Q509" s="22" t="n">
        <v>0</v>
      </c>
      <c r="R509" s="22" t="n">
        <v>0</v>
      </c>
      <c r="S509" s="22" t="n">
        <v>0</v>
      </c>
      <c r="T509" s="22" t="n">
        <v>0</v>
      </c>
      <c r="U509" s="3">
        <f>IF(OR(N509=1,Q509=1),1,0)</f>
        <v/>
      </c>
      <c r="V509" s="3">
        <f>IF(OR(T509=1,P509=1),1,0)</f>
        <v/>
      </c>
      <c r="W509" s="3">
        <f>IF(OR(J509=1),1,0)</f>
        <v/>
      </c>
      <c r="X509" s="3">
        <f>IF(OR(I509=1,H509=1),1,0)</f>
        <v/>
      </c>
      <c r="Y509" s="3">
        <f>IF(OR(G509=1),1,0)</f>
        <v/>
      </c>
      <c r="Z509" s="3">
        <f>IF(OR(F509=1),1,0)</f>
        <v/>
      </c>
      <c r="AA509" s="3">
        <f>IF(OR(M509=1),1,0)</f>
        <v/>
      </c>
    </row>
    <row r="510">
      <c r="A510" s="22" t="inlineStr">
        <is>
          <t>7465c8be3898f0bca3f93972a2c33534a5291857</t>
        </is>
      </c>
      <c r="B510" s="22" t="inlineStr">
        <is>
          <t>2026-10</t>
        </is>
      </c>
      <c r="C510" s="22" t="inlineStr">
        <is>
          <t>Nairaland</t>
        </is>
      </c>
      <c r="D510" s="22" t="n">
        <v>0</v>
      </c>
      <c r="E510" s="22" t="inlineStr">
        <is>
          <t>Nairaland: Nairaland</t>
        </is>
      </c>
      <c r="F510" s="22" t="inlineStr">
        <is>
          <t>nairaland:Nairaland</t>
        </is>
      </c>
      <c r="G510" s="22" t="n">
        <v>0.361</v>
      </c>
      <c r="H510" s="22" t="n">
        <v>0</v>
      </c>
      <c r="I510" s="22" t="n">
        <v>0</v>
      </c>
      <c r="J510" s="22" t="n">
        <v>0</v>
      </c>
      <c r="K510" s="22" t="n">
        <v>0</v>
      </c>
      <c r="L510" s="22" t="n">
        <v>0</v>
      </c>
      <c r="M510" s="22" t="n">
        <v>0</v>
      </c>
      <c r="N510" s="22" t="n">
        <v>0</v>
      </c>
      <c r="O510" s="22" t="n">
        <v>0</v>
      </c>
      <c r="P510" s="22" t="n">
        <v>1</v>
      </c>
      <c r="Q510" s="22" t="n">
        <v>0</v>
      </c>
      <c r="R510" s="22" t="n">
        <v>0</v>
      </c>
      <c r="S510" s="22" t="n">
        <v>0</v>
      </c>
      <c r="T510" s="22" t="n">
        <v>0</v>
      </c>
      <c r="U510" s="3">
        <f>IF(OR(N510=1,Q510=1),1,0)</f>
        <v/>
      </c>
      <c r="V510" s="3">
        <f>IF(OR(T510=1,P510=1),1,0)</f>
        <v/>
      </c>
      <c r="W510" s="3">
        <f>IF(OR(J510=1),1,0)</f>
        <v/>
      </c>
      <c r="X510" s="3">
        <f>IF(OR(I510=1,H510=1),1,0)</f>
        <v/>
      </c>
      <c r="Y510" s="3">
        <f>IF(OR(G510=1),1,0)</f>
        <v/>
      </c>
      <c r="Z510" s="3">
        <f>IF(OR(F510=1),1,0)</f>
        <v/>
      </c>
      <c r="AA510" s="3">
        <f>IF(OR(M510=1),1,0)</f>
        <v/>
      </c>
    </row>
    <row r="511">
      <c r="A511" s="22" t="inlineStr">
        <is>
          <t>fe249646addb548b5a99a7ba0207cbfbeda1d9ca</t>
        </is>
      </c>
      <c r="B511" s="22" t="inlineStr">
        <is>
          <t>2026-10</t>
        </is>
      </c>
      <c r="C511" s="22" t="inlineStr">
        <is>
          <t>Nairaland</t>
        </is>
      </c>
      <c r="D511" s="22" t="n">
        <v>0</v>
      </c>
      <c r="E511" s="22" t="inlineStr">
        <is>
          <t>Nairaland: Nairaland</t>
        </is>
      </c>
      <c r="F511" s="22" t="inlineStr">
        <is>
          <t>nairaland:Nairaland</t>
        </is>
      </c>
      <c r="G511" s="22" t="n">
        <v>0.336</v>
      </c>
      <c r="H511" s="22" t="n">
        <v>0</v>
      </c>
      <c r="I511" s="22" t="n">
        <v>1</v>
      </c>
      <c r="J511" s="22" t="n">
        <v>0</v>
      </c>
      <c r="K511" s="22" t="n">
        <v>0</v>
      </c>
      <c r="L511" s="22" t="n">
        <v>0</v>
      </c>
      <c r="M511" s="22" t="n">
        <v>0</v>
      </c>
      <c r="N511" s="22" t="n">
        <v>0</v>
      </c>
      <c r="O511" s="22" t="n">
        <v>0</v>
      </c>
      <c r="P511" s="22" t="n">
        <v>0</v>
      </c>
      <c r="Q511" s="22" t="n">
        <v>0</v>
      </c>
      <c r="R511" s="22" t="n">
        <v>0</v>
      </c>
      <c r="S511" s="22" t="n">
        <v>0</v>
      </c>
      <c r="T511" s="22" t="n">
        <v>0</v>
      </c>
      <c r="U511" s="3">
        <f>IF(OR(N511=1,Q511=1),1,0)</f>
        <v/>
      </c>
      <c r="V511" s="3">
        <f>IF(OR(T511=1,P511=1),1,0)</f>
        <v/>
      </c>
      <c r="W511" s="3">
        <f>IF(OR(J511=1),1,0)</f>
        <v/>
      </c>
      <c r="X511" s="3">
        <f>IF(OR(I511=1,H511=1),1,0)</f>
        <v/>
      </c>
      <c r="Y511" s="3">
        <f>IF(OR(G511=1),1,0)</f>
        <v/>
      </c>
      <c r="Z511" s="3">
        <f>IF(OR(F511=1),1,0)</f>
        <v/>
      </c>
      <c r="AA511" s="3">
        <f>IF(OR(M511=1),1,0)</f>
        <v/>
      </c>
    </row>
    <row r="512">
      <c r="A512" s="22" t="inlineStr">
        <is>
          <t>0e94a4f45e1d54dc4d14ff7fffc19370d2091670</t>
        </is>
      </c>
      <c r="B512" s="22" t="inlineStr">
        <is>
          <t>2026-10</t>
        </is>
      </c>
      <c r="C512" s="22" t="inlineStr">
        <is>
          <t>Nairaland</t>
        </is>
      </c>
      <c r="D512" s="22" t="n">
        <v>0</v>
      </c>
      <c r="E512" s="22" t="inlineStr">
        <is>
          <t>Nairaland: Nairaland</t>
        </is>
      </c>
      <c r="F512" s="22" t="inlineStr">
        <is>
          <t>nairaland:Nairaland</t>
        </is>
      </c>
      <c r="G512" s="22" t="n">
        <v>-0.864</v>
      </c>
      <c r="H512" s="22" t="n">
        <v>0</v>
      </c>
      <c r="I512" s="22" t="n">
        <v>1</v>
      </c>
      <c r="J512" s="22" t="n">
        <v>0</v>
      </c>
      <c r="K512" s="22" t="n">
        <v>0</v>
      </c>
      <c r="L512" s="22" t="n">
        <v>0</v>
      </c>
      <c r="M512" s="22" t="n">
        <v>0</v>
      </c>
      <c r="N512" s="22" t="n">
        <v>0</v>
      </c>
      <c r="O512" s="22" t="n">
        <v>0</v>
      </c>
      <c r="P512" s="22" t="n">
        <v>0</v>
      </c>
      <c r="Q512" s="22" t="n">
        <v>0</v>
      </c>
      <c r="R512" s="22" t="n">
        <v>0</v>
      </c>
      <c r="S512" s="22" t="n">
        <v>0</v>
      </c>
      <c r="T512" s="22" t="n">
        <v>0</v>
      </c>
      <c r="U512" s="3">
        <f>IF(OR(N512=1,Q512=1),1,0)</f>
        <v/>
      </c>
      <c r="V512" s="3">
        <f>IF(OR(T512=1,P512=1),1,0)</f>
        <v/>
      </c>
      <c r="W512" s="3">
        <f>IF(OR(J512=1),1,0)</f>
        <v/>
      </c>
      <c r="X512" s="3">
        <f>IF(OR(I512=1,H512=1),1,0)</f>
        <v/>
      </c>
      <c r="Y512" s="3">
        <f>IF(OR(G512=1),1,0)</f>
        <v/>
      </c>
      <c r="Z512" s="3">
        <f>IF(OR(F512=1),1,0)</f>
        <v/>
      </c>
      <c r="AA512" s="3">
        <f>IF(OR(M512=1),1,0)</f>
        <v/>
      </c>
    </row>
    <row r="513">
      <c r="A513" s="22" t="inlineStr">
        <is>
          <t>77551c0b2027aa4f8e34983a3b71a41854df55c6</t>
        </is>
      </c>
      <c r="B513" s="22" t="inlineStr">
        <is>
          <t>2026-10</t>
        </is>
      </c>
      <c r="C513" s="22" t="inlineStr">
        <is>
          <t>Nairaland</t>
        </is>
      </c>
      <c r="D513" s="22" t="n">
        <v>0</v>
      </c>
      <c r="E513" s="22" t="inlineStr">
        <is>
          <t>Nairaland: Nairaland</t>
        </is>
      </c>
      <c r="F513" s="22" t="inlineStr">
        <is>
          <t>nairaland:Nairaland</t>
        </is>
      </c>
      <c r="G513" s="22" t="n">
        <v>0.6</v>
      </c>
      <c r="H513" s="22" t="n">
        <v>0</v>
      </c>
      <c r="I513" s="22" t="n">
        <v>0</v>
      </c>
      <c r="J513" s="22" t="n">
        <v>0</v>
      </c>
      <c r="K513" s="22" t="n">
        <v>0</v>
      </c>
      <c r="L513" s="22" t="n">
        <v>0</v>
      </c>
      <c r="M513" s="22" t="n">
        <v>0</v>
      </c>
      <c r="N513" s="22" t="n">
        <v>0</v>
      </c>
      <c r="O513" s="22" t="n">
        <v>0</v>
      </c>
      <c r="P513" s="22" t="n">
        <v>1</v>
      </c>
      <c r="Q513" s="22" t="n">
        <v>0</v>
      </c>
      <c r="R513" s="22" t="n">
        <v>0</v>
      </c>
      <c r="S513" s="22" t="n">
        <v>0</v>
      </c>
      <c r="T513" s="22" t="n">
        <v>0</v>
      </c>
      <c r="U513" s="3">
        <f>IF(OR(N513=1,Q513=1),1,0)</f>
        <v/>
      </c>
      <c r="V513" s="3">
        <f>IF(OR(T513=1,P513=1),1,0)</f>
        <v/>
      </c>
      <c r="W513" s="3">
        <f>IF(OR(J513=1),1,0)</f>
        <v/>
      </c>
      <c r="X513" s="3">
        <f>IF(OR(I513=1,H513=1),1,0)</f>
        <v/>
      </c>
      <c r="Y513" s="3">
        <f>IF(OR(G513=1),1,0)</f>
        <v/>
      </c>
      <c r="Z513" s="3">
        <f>IF(OR(F513=1),1,0)</f>
        <v/>
      </c>
      <c r="AA513" s="3">
        <f>IF(OR(M513=1),1,0)</f>
        <v/>
      </c>
    </row>
    <row r="514">
      <c r="A514" s="22" t="inlineStr">
        <is>
          <t>9858473012e988ff2a541c88766a40fa9b75fb8d</t>
        </is>
      </c>
      <c r="B514" s="22" t="inlineStr">
        <is>
          <t>2026-10</t>
        </is>
      </c>
      <c r="C514" s="22" t="inlineStr">
        <is>
          <t>Nairaland</t>
        </is>
      </c>
      <c r="D514" s="22" t="n">
        <v>0</v>
      </c>
      <c r="E514" s="22" t="inlineStr">
        <is>
          <t>Nairaland: Nairaland</t>
        </is>
      </c>
      <c r="F514" s="22" t="inlineStr">
        <is>
          <t>nairaland:Nairaland</t>
        </is>
      </c>
      <c r="G514" s="22" t="n">
        <v>-0.735</v>
      </c>
      <c r="H514" s="22" t="n">
        <v>1</v>
      </c>
      <c r="I514" s="22" t="n">
        <v>0</v>
      </c>
      <c r="J514" s="22" t="n">
        <v>0</v>
      </c>
      <c r="K514" s="22" t="n">
        <v>0</v>
      </c>
      <c r="L514" s="22" t="n">
        <v>0</v>
      </c>
      <c r="M514" s="22" t="n">
        <v>0</v>
      </c>
      <c r="N514" s="22" t="n">
        <v>0</v>
      </c>
      <c r="O514" s="22" t="n">
        <v>0</v>
      </c>
      <c r="P514" s="22" t="n">
        <v>0</v>
      </c>
      <c r="Q514" s="22" t="n">
        <v>0</v>
      </c>
      <c r="R514" s="22" t="n">
        <v>0</v>
      </c>
      <c r="S514" s="22" t="n">
        <v>0</v>
      </c>
      <c r="T514" s="22" t="n">
        <v>0</v>
      </c>
      <c r="U514" s="3">
        <f>IF(OR(N514=1,Q514=1),1,0)</f>
        <v/>
      </c>
      <c r="V514" s="3">
        <f>IF(OR(T514=1,P514=1),1,0)</f>
        <v/>
      </c>
      <c r="W514" s="3">
        <f>IF(OR(J514=1),1,0)</f>
        <v/>
      </c>
      <c r="X514" s="3">
        <f>IF(OR(I514=1,H514=1),1,0)</f>
        <v/>
      </c>
      <c r="Y514" s="3">
        <f>IF(OR(G514=1),1,0)</f>
        <v/>
      </c>
      <c r="Z514" s="3">
        <f>IF(OR(F514=1),1,0)</f>
        <v/>
      </c>
      <c r="AA514" s="3">
        <f>IF(OR(M514=1),1,0)</f>
        <v/>
      </c>
    </row>
    <row r="515">
      <c r="A515" s="22" t="inlineStr">
        <is>
          <t>87dde35652c4ba096bab0033296e0480c65940c7</t>
        </is>
      </c>
      <c r="B515" s="22" t="inlineStr">
        <is>
          <t>2026-10</t>
        </is>
      </c>
      <c r="C515" s="22" t="inlineStr">
        <is>
          <t>Nairaland</t>
        </is>
      </c>
      <c r="D515" s="22" t="n">
        <v>0</v>
      </c>
      <c r="E515" s="22" t="inlineStr">
        <is>
          <t>Nairaland: Nairaland</t>
        </is>
      </c>
      <c r="F515" s="22" t="inlineStr">
        <is>
          <t>nairaland:Nairaland</t>
        </is>
      </c>
      <c r="G515" s="22" t="n">
        <v>-0.586</v>
      </c>
      <c r="H515" s="22" t="n">
        <v>1</v>
      </c>
      <c r="I515" s="22" t="n">
        <v>0</v>
      </c>
      <c r="J515" s="22" t="n">
        <v>0</v>
      </c>
      <c r="K515" s="22" t="n">
        <v>0</v>
      </c>
      <c r="L515" s="22" t="n">
        <v>0</v>
      </c>
      <c r="M515" s="22" t="n">
        <v>0</v>
      </c>
      <c r="N515" s="22" t="n">
        <v>0</v>
      </c>
      <c r="O515" s="22" t="n">
        <v>0</v>
      </c>
      <c r="P515" s="22" t="n">
        <v>0</v>
      </c>
      <c r="Q515" s="22" t="n">
        <v>0</v>
      </c>
      <c r="R515" s="22" t="n">
        <v>0</v>
      </c>
      <c r="S515" s="22" t="n">
        <v>0</v>
      </c>
      <c r="T515" s="22" t="n">
        <v>0</v>
      </c>
      <c r="U515" s="3">
        <f>IF(OR(N515=1,Q515=1),1,0)</f>
        <v/>
      </c>
      <c r="V515" s="3">
        <f>IF(OR(T515=1,P515=1),1,0)</f>
        <v/>
      </c>
      <c r="W515" s="3">
        <f>IF(OR(J515=1),1,0)</f>
        <v/>
      </c>
      <c r="X515" s="3">
        <f>IF(OR(I515=1,H515=1),1,0)</f>
        <v/>
      </c>
      <c r="Y515" s="3">
        <f>IF(OR(G515=1),1,0)</f>
        <v/>
      </c>
      <c r="Z515" s="3">
        <f>IF(OR(F515=1),1,0)</f>
        <v/>
      </c>
      <c r="AA515" s="3">
        <f>IF(OR(M515=1),1,0)</f>
        <v/>
      </c>
    </row>
    <row r="516">
      <c r="A516" s="22" t="inlineStr">
        <is>
          <t>404876c5bfc0fd2eb2c138326cb63af7a5953046</t>
        </is>
      </c>
      <c r="B516" s="22" t="inlineStr">
        <is>
          <t>2026-10</t>
        </is>
      </c>
      <c r="C516" s="22" t="inlineStr">
        <is>
          <t>Nairaland</t>
        </is>
      </c>
      <c r="D516" s="22" t="n">
        <v>0</v>
      </c>
      <c r="E516" s="22" t="inlineStr">
        <is>
          <t>Nairaland: Nairaland</t>
        </is>
      </c>
      <c r="F516" s="22" t="inlineStr">
        <is>
          <t>nairaland:Nairaland</t>
        </is>
      </c>
      <c r="G516" s="22" t="n">
        <v>0.052</v>
      </c>
      <c r="H516" s="22" t="n">
        <v>0</v>
      </c>
      <c r="I516" s="22" t="n">
        <v>0</v>
      </c>
      <c r="J516" s="22" t="n">
        <v>0</v>
      </c>
      <c r="K516" s="22" t="n">
        <v>0</v>
      </c>
      <c r="L516" s="22" t="n">
        <v>0</v>
      </c>
      <c r="M516" s="22" t="n">
        <v>0</v>
      </c>
      <c r="N516" s="22" t="n">
        <v>0</v>
      </c>
      <c r="O516" s="22" t="n">
        <v>0</v>
      </c>
      <c r="P516" s="22" t="n">
        <v>1</v>
      </c>
      <c r="Q516" s="22" t="n">
        <v>0</v>
      </c>
      <c r="R516" s="22" t="n">
        <v>0</v>
      </c>
      <c r="S516" s="22" t="n">
        <v>0</v>
      </c>
      <c r="T516" s="22" t="n">
        <v>0</v>
      </c>
      <c r="U516" s="3">
        <f>IF(OR(N516=1,Q516=1),1,0)</f>
        <v/>
      </c>
      <c r="V516" s="3">
        <f>IF(OR(T516=1,P516=1),1,0)</f>
        <v/>
      </c>
      <c r="W516" s="3">
        <f>IF(OR(J516=1),1,0)</f>
        <v/>
      </c>
      <c r="X516" s="3">
        <f>IF(OR(I516=1,H516=1),1,0)</f>
        <v/>
      </c>
      <c r="Y516" s="3">
        <f>IF(OR(G516=1),1,0)</f>
        <v/>
      </c>
      <c r="Z516" s="3">
        <f>IF(OR(F516=1),1,0)</f>
        <v/>
      </c>
      <c r="AA516" s="3">
        <f>IF(OR(M516=1),1,0)</f>
        <v/>
      </c>
    </row>
    <row r="517">
      <c r="A517" s="22" t="inlineStr">
        <is>
          <t>2ec604a0d05299bef69b9ab49aef4569ecd527a9</t>
        </is>
      </c>
      <c r="B517" s="22" t="inlineStr">
        <is>
          <t>2026-10</t>
        </is>
      </c>
      <c r="C517" s="22" t="inlineStr">
        <is>
          <t>Nairaland</t>
        </is>
      </c>
      <c r="D517" s="22" t="n">
        <v>0</v>
      </c>
      <c r="E517" s="22" t="inlineStr">
        <is>
          <t>Nairaland: Nairaland</t>
        </is>
      </c>
      <c r="F517" s="22" t="inlineStr">
        <is>
          <t>nairaland:Nairaland</t>
        </is>
      </c>
      <c r="G517" s="22" t="n">
        <v>-0.586</v>
      </c>
      <c r="H517" s="22" t="n">
        <v>0</v>
      </c>
      <c r="I517" s="22" t="n">
        <v>0</v>
      </c>
      <c r="J517" s="22" t="n">
        <v>0</v>
      </c>
      <c r="K517" s="22" t="n">
        <v>0</v>
      </c>
      <c r="L517" s="22" t="n">
        <v>0</v>
      </c>
      <c r="M517" s="22" t="n">
        <v>1</v>
      </c>
      <c r="N517" s="22" t="n">
        <v>0</v>
      </c>
      <c r="O517" s="22" t="n">
        <v>0</v>
      </c>
      <c r="P517" s="22" t="n">
        <v>0</v>
      </c>
      <c r="Q517" s="22" t="n">
        <v>0</v>
      </c>
      <c r="R517" s="22" t="n">
        <v>0</v>
      </c>
      <c r="S517" s="22" t="n">
        <v>0</v>
      </c>
      <c r="T517" s="22" t="n">
        <v>0</v>
      </c>
      <c r="U517" s="3">
        <f>IF(OR(N517=1,Q517=1),1,0)</f>
        <v/>
      </c>
      <c r="V517" s="3">
        <f>IF(OR(T517=1,P517=1),1,0)</f>
        <v/>
      </c>
      <c r="W517" s="3">
        <f>IF(OR(J517=1),1,0)</f>
        <v/>
      </c>
      <c r="X517" s="3">
        <f>IF(OR(I517=1,H517=1),1,0)</f>
        <v/>
      </c>
      <c r="Y517" s="3">
        <f>IF(OR(G517=1),1,0)</f>
        <v/>
      </c>
      <c r="Z517" s="3">
        <f>IF(OR(F517=1),1,0)</f>
        <v/>
      </c>
      <c r="AA517" s="3">
        <f>IF(OR(M517=1),1,0)</f>
        <v/>
      </c>
    </row>
    <row r="518">
      <c r="A518" s="22" t="inlineStr">
        <is>
          <t>fcbf8a6efae7414c27f5ddf993cd14db53a2b169</t>
        </is>
      </c>
      <c r="B518" s="22" t="inlineStr">
        <is>
          <t>2026-10</t>
        </is>
      </c>
      <c r="C518" s="22" t="inlineStr">
        <is>
          <t>Nairaland</t>
        </is>
      </c>
      <c r="D518" s="22" t="n">
        <v>0</v>
      </c>
      <c r="E518" s="22" t="inlineStr">
        <is>
          <t>Nairaland: Nairaland</t>
        </is>
      </c>
      <c r="F518" s="22" t="inlineStr">
        <is>
          <t>nairaland:Nairaland</t>
        </is>
      </c>
      <c r="G518" s="22" t="n">
        <v>-0.829</v>
      </c>
      <c r="H518" s="22" t="n">
        <v>1</v>
      </c>
      <c r="I518" s="22" t="n">
        <v>0</v>
      </c>
      <c r="J518" s="22" t="n">
        <v>0</v>
      </c>
      <c r="K518" s="22" t="n">
        <v>0</v>
      </c>
      <c r="L518" s="22" t="n">
        <v>0</v>
      </c>
      <c r="M518" s="22" t="n">
        <v>1</v>
      </c>
      <c r="N518" s="22" t="n">
        <v>0</v>
      </c>
      <c r="O518" s="22" t="n">
        <v>0</v>
      </c>
      <c r="P518" s="22" t="n">
        <v>0</v>
      </c>
      <c r="Q518" s="22" t="n">
        <v>0</v>
      </c>
      <c r="R518" s="22" t="n">
        <v>0</v>
      </c>
      <c r="S518" s="22" t="n">
        <v>0</v>
      </c>
      <c r="T518" s="22" t="n">
        <v>0</v>
      </c>
      <c r="U518" s="3">
        <f>IF(OR(N518=1,Q518=1),1,0)</f>
        <v/>
      </c>
      <c r="V518" s="3">
        <f>IF(OR(T518=1,P518=1),1,0)</f>
        <v/>
      </c>
      <c r="W518" s="3">
        <f>IF(OR(J518=1),1,0)</f>
        <v/>
      </c>
      <c r="X518" s="3">
        <f>IF(OR(I518=1,H518=1),1,0)</f>
        <v/>
      </c>
      <c r="Y518" s="3">
        <f>IF(OR(G518=1),1,0)</f>
        <v/>
      </c>
      <c r="Z518" s="3">
        <f>IF(OR(F518=1),1,0)</f>
        <v/>
      </c>
      <c r="AA518" s="3">
        <f>IF(OR(M518=1),1,0)</f>
        <v/>
      </c>
    </row>
    <row r="519">
      <c r="A519" s="22" t="inlineStr">
        <is>
          <t>fbc35d9087d7faa105c67a64ae33af8dd784b094</t>
        </is>
      </c>
      <c r="B519" s="22" t="inlineStr">
        <is>
          <t>2026-10</t>
        </is>
      </c>
      <c r="C519" s="22" t="inlineStr">
        <is>
          <t>Nairaland</t>
        </is>
      </c>
      <c r="D519" s="22" t="n">
        <v>0</v>
      </c>
      <c r="E519" s="22" t="inlineStr">
        <is>
          <t>Nairaland: Nairaland</t>
        </is>
      </c>
      <c r="F519" s="22" t="inlineStr">
        <is>
          <t>nairaland:Nairaland</t>
        </is>
      </c>
      <c r="G519" s="22" t="n">
        <v>-0.74</v>
      </c>
      <c r="H519" s="22" t="n">
        <v>0</v>
      </c>
      <c r="I519" s="22" t="n">
        <v>1</v>
      </c>
      <c r="J519" s="22" t="n">
        <v>0</v>
      </c>
      <c r="K519" s="22" t="n">
        <v>0</v>
      </c>
      <c r="L519" s="22" t="n">
        <v>0</v>
      </c>
      <c r="M519" s="22" t="n">
        <v>1</v>
      </c>
      <c r="N519" s="22" t="n">
        <v>0</v>
      </c>
      <c r="O519" s="22" t="n">
        <v>0</v>
      </c>
      <c r="P519" s="22" t="n">
        <v>0</v>
      </c>
      <c r="Q519" s="22" t="n">
        <v>0</v>
      </c>
      <c r="R519" s="22" t="n">
        <v>0</v>
      </c>
      <c r="S519" s="22" t="n">
        <v>0</v>
      </c>
      <c r="T519" s="22" t="n">
        <v>0</v>
      </c>
      <c r="U519" s="3">
        <f>IF(OR(N519=1,Q519=1),1,0)</f>
        <v/>
      </c>
      <c r="V519" s="3">
        <f>IF(OR(T519=1,P519=1),1,0)</f>
        <v/>
      </c>
      <c r="W519" s="3">
        <f>IF(OR(J519=1),1,0)</f>
        <v/>
      </c>
      <c r="X519" s="3">
        <f>IF(OR(I519=1,H519=1),1,0)</f>
        <v/>
      </c>
      <c r="Y519" s="3">
        <f>IF(OR(G519=1),1,0)</f>
        <v/>
      </c>
      <c r="Z519" s="3">
        <f>IF(OR(F519=1),1,0)</f>
        <v/>
      </c>
      <c r="AA519" s="3">
        <f>IF(OR(M519=1),1,0)</f>
        <v/>
      </c>
    </row>
    <row r="520">
      <c r="A520" s="22" t="inlineStr">
        <is>
          <t>e6e0a12af62e50e9fa6be6b2d175bfdb4186ceea</t>
        </is>
      </c>
      <c r="B520" s="22" t="inlineStr">
        <is>
          <t>2026-10</t>
        </is>
      </c>
      <c r="C520" s="22" t="inlineStr">
        <is>
          <t>Nairaland</t>
        </is>
      </c>
      <c r="D520" s="22" t="n">
        <v>0</v>
      </c>
      <c r="E520" s="22" t="inlineStr">
        <is>
          <t>Nairaland: Nairaland</t>
        </is>
      </c>
      <c r="F520" s="22" t="inlineStr">
        <is>
          <t>nairaland:Nairaland</t>
        </is>
      </c>
      <c r="G520" s="22" t="n">
        <v>0.649</v>
      </c>
      <c r="H520" s="22" t="n">
        <v>1</v>
      </c>
      <c r="I520" s="22" t="n">
        <v>1</v>
      </c>
      <c r="J520" s="22" t="n">
        <v>0</v>
      </c>
      <c r="K520" s="22" t="n">
        <v>0</v>
      </c>
      <c r="L520" s="22" t="n">
        <v>0</v>
      </c>
      <c r="M520" s="22" t="n">
        <v>0</v>
      </c>
      <c r="N520" s="22" t="n">
        <v>0</v>
      </c>
      <c r="O520" s="22" t="n">
        <v>0</v>
      </c>
      <c r="P520" s="22" t="n">
        <v>0</v>
      </c>
      <c r="Q520" s="22" t="n">
        <v>0</v>
      </c>
      <c r="R520" s="22" t="n">
        <v>0</v>
      </c>
      <c r="S520" s="22" t="n">
        <v>0</v>
      </c>
      <c r="T520" s="22" t="n">
        <v>0</v>
      </c>
      <c r="U520" s="3">
        <f>IF(OR(N520=1,Q520=1),1,0)</f>
        <v/>
      </c>
      <c r="V520" s="3">
        <f>IF(OR(T520=1,P520=1),1,0)</f>
        <v/>
      </c>
      <c r="W520" s="3">
        <f>IF(OR(J520=1),1,0)</f>
        <v/>
      </c>
      <c r="X520" s="3">
        <f>IF(OR(I520=1,H520=1),1,0)</f>
        <v/>
      </c>
      <c r="Y520" s="3">
        <f>IF(OR(G520=1),1,0)</f>
        <v/>
      </c>
      <c r="Z520" s="3">
        <f>IF(OR(F520=1),1,0)</f>
        <v/>
      </c>
      <c r="AA520" s="3">
        <f>IF(OR(M520=1),1,0)</f>
        <v/>
      </c>
    </row>
    <row r="521">
      <c r="A521" s="22" t="inlineStr">
        <is>
          <t>826c0acba8a0b30826bbb4b2722b51c07996a3df</t>
        </is>
      </c>
      <c r="B521" s="22" t="inlineStr">
        <is>
          <t>2026-10</t>
        </is>
      </c>
      <c r="C521" s="22" t="inlineStr">
        <is>
          <t>Nairaland</t>
        </is>
      </c>
      <c r="D521" s="22" t="n">
        <v>0</v>
      </c>
      <c r="E521" s="22" t="inlineStr">
        <is>
          <t>Nairaland: Nairaland</t>
        </is>
      </c>
      <c r="F521" s="22" t="inlineStr">
        <is>
          <t>nairaland:Nairaland</t>
        </is>
      </c>
      <c r="G521" s="22" t="n">
        <v>-0.672</v>
      </c>
      <c r="H521" s="22" t="n">
        <v>1</v>
      </c>
      <c r="I521" s="22" t="n">
        <v>0</v>
      </c>
      <c r="J521" s="22" t="n">
        <v>0</v>
      </c>
      <c r="K521" s="22" t="n">
        <v>0</v>
      </c>
      <c r="L521" s="22" t="n">
        <v>0</v>
      </c>
      <c r="M521" s="22" t="n">
        <v>0</v>
      </c>
      <c r="N521" s="22" t="n">
        <v>0</v>
      </c>
      <c r="O521" s="22" t="n">
        <v>0</v>
      </c>
      <c r="P521" s="22" t="n">
        <v>0</v>
      </c>
      <c r="Q521" s="22" t="n">
        <v>1</v>
      </c>
      <c r="R521" s="22" t="n">
        <v>0</v>
      </c>
      <c r="S521" s="22" t="n">
        <v>0</v>
      </c>
      <c r="T521" s="22" t="n">
        <v>0</v>
      </c>
      <c r="U521" s="3">
        <f>IF(OR(N521=1,Q521=1),1,0)</f>
        <v/>
      </c>
      <c r="V521" s="3">
        <f>IF(OR(T521=1,P521=1),1,0)</f>
        <v/>
      </c>
      <c r="W521" s="3">
        <f>IF(OR(J521=1),1,0)</f>
        <v/>
      </c>
      <c r="X521" s="3">
        <f>IF(OR(I521=1,H521=1),1,0)</f>
        <v/>
      </c>
      <c r="Y521" s="3">
        <f>IF(OR(G521=1),1,0)</f>
        <v/>
      </c>
      <c r="Z521" s="3">
        <f>IF(OR(F521=1),1,0)</f>
        <v/>
      </c>
      <c r="AA521" s="3">
        <f>IF(OR(M521=1),1,0)</f>
        <v/>
      </c>
    </row>
    <row r="522">
      <c r="A522" s="22" t="inlineStr">
        <is>
          <t>b8793c906d35789d1ba047c8793ee47be5836052</t>
        </is>
      </c>
      <c r="B522" s="22" t="inlineStr">
        <is>
          <t>2026-10</t>
        </is>
      </c>
      <c r="C522" s="22" t="inlineStr">
        <is>
          <t>Nairaland</t>
        </is>
      </c>
      <c r="D522" s="22" t="n">
        <v>0</v>
      </c>
      <c r="E522" s="22" t="inlineStr">
        <is>
          <t>Nairaland: Nairaland</t>
        </is>
      </c>
      <c r="F522" s="22" t="inlineStr">
        <is>
          <t>nairaland:Nairaland</t>
        </is>
      </c>
      <c r="G522" s="22" t="n">
        <v>-0.9399999999999999</v>
      </c>
      <c r="H522" s="22" t="n">
        <v>1</v>
      </c>
      <c r="I522" s="22" t="n">
        <v>0</v>
      </c>
      <c r="J522" s="22" t="n">
        <v>0</v>
      </c>
      <c r="K522" s="22" t="n">
        <v>0</v>
      </c>
      <c r="L522" s="22" t="n">
        <v>0</v>
      </c>
      <c r="M522" s="22" t="n">
        <v>1</v>
      </c>
      <c r="N522" s="22" t="n">
        <v>0</v>
      </c>
      <c r="O522" s="22" t="n">
        <v>0</v>
      </c>
      <c r="P522" s="22" t="n">
        <v>0</v>
      </c>
      <c r="Q522" s="22" t="n">
        <v>0</v>
      </c>
      <c r="R522" s="22" t="n">
        <v>0</v>
      </c>
      <c r="S522" s="22" t="n">
        <v>0</v>
      </c>
      <c r="T522" s="22" t="n">
        <v>0</v>
      </c>
      <c r="U522" s="3">
        <f>IF(OR(N522=1,Q522=1),1,0)</f>
        <v/>
      </c>
      <c r="V522" s="3">
        <f>IF(OR(T522=1,P522=1),1,0)</f>
        <v/>
      </c>
      <c r="W522" s="3">
        <f>IF(OR(J522=1),1,0)</f>
        <v/>
      </c>
      <c r="X522" s="3">
        <f>IF(OR(I522=1,H522=1),1,0)</f>
        <v/>
      </c>
      <c r="Y522" s="3">
        <f>IF(OR(G522=1),1,0)</f>
        <v/>
      </c>
      <c r="Z522" s="3">
        <f>IF(OR(F522=1),1,0)</f>
        <v/>
      </c>
      <c r="AA522" s="3">
        <f>IF(OR(M522=1),1,0)</f>
        <v/>
      </c>
    </row>
    <row r="523">
      <c r="A523" s="22" t="inlineStr">
        <is>
          <t>191ea9f4f3a06e44b6c0c6f7954493ab50a8285d</t>
        </is>
      </c>
      <c r="B523" s="22" t="inlineStr">
        <is>
          <t>2026-10</t>
        </is>
      </c>
      <c r="C523" s="22" t="inlineStr">
        <is>
          <t>Nairaland</t>
        </is>
      </c>
      <c r="D523" s="22" t="n">
        <v>0</v>
      </c>
      <c r="E523" s="22" t="inlineStr">
        <is>
          <t>Nairaland: Nairaland</t>
        </is>
      </c>
      <c r="F523" s="22" t="inlineStr">
        <is>
          <t>nairaland:Nairaland</t>
        </is>
      </c>
      <c r="G523" s="22" t="n">
        <v>-0.836</v>
      </c>
      <c r="H523" s="22" t="n">
        <v>1</v>
      </c>
      <c r="I523" s="22" t="n">
        <v>0</v>
      </c>
      <c r="J523" s="22" t="n">
        <v>0</v>
      </c>
      <c r="K523" s="22" t="n">
        <v>0</v>
      </c>
      <c r="L523" s="22" t="n">
        <v>0</v>
      </c>
      <c r="M523" s="22" t="n">
        <v>1</v>
      </c>
      <c r="N523" s="22" t="n">
        <v>0</v>
      </c>
      <c r="O523" s="22" t="n">
        <v>0</v>
      </c>
      <c r="P523" s="22" t="n">
        <v>0</v>
      </c>
      <c r="Q523" s="22" t="n">
        <v>1</v>
      </c>
      <c r="R523" s="22" t="n">
        <v>0</v>
      </c>
      <c r="S523" s="22" t="n">
        <v>0</v>
      </c>
      <c r="T523" s="22" t="n">
        <v>0</v>
      </c>
      <c r="U523" s="3">
        <f>IF(OR(N523=1,Q523=1),1,0)</f>
        <v/>
      </c>
      <c r="V523" s="3">
        <f>IF(OR(T523=1,P523=1),1,0)</f>
        <v/>
      </c>
      <c r="W523" s="3">
        <f>IF(OR(J523=1),1,0)</f>
        <v/>
      </c>
      <c r="X523" s="3">
        <f>IF(OR(I523=1,H523=1),1,0)</f>
        <v/>
      </c>
      <c r="Y523" s="3">
        <f>IF(OR(G523=1),1,0)</f>
        <v/>
      </c>
      <c r="Z523" s="3">
        <f>IF(OR(F523=1),1,0)</f>
        <v/>
      </c>
      <c r="AA523" s="3">
        <f>IF(OR(M523=1),1,0)</f>
        <v/>
      </c>
    </row>
    <row r="524">
      <c r="A524" s="22" t="inlineStr">
        <is>
          <t>61f2fd63b2edb4dc9f01737163f805cd23985f46</t>
        </is>
      </c>
      <c r="B524" s="22" t="inlineStr">
        <is>
          <t>2026-10</t>
        </is>
      </c>
      <c r="C524" s="22" t="inlineStr">
        <is>
          <t>Nairaland</t>
        </is>
      </c>
      <c r="D524" s="22" t="n">
        <v>0</v>
      </c>
      <c r="E524" s="22" t="inlineStr">
        <is>
          <t>Nairaland: Nairaland</t>
        </is>
      </c>
      <c r="F524" s="22" t="inlineStr">
        <is>
          <t>nairaland:Nairaland</t>
        </is>
      </c>
      <c r="G524" s="22" t="n">
        <v>0.178</v>
      </c>
      <c r="H524" s="22" t="n">
        <v>1</v>
      </c>
      <c r="I524" s="22" t="n">
        <v>0</v>
      </c>
      <c r="J524" s="22" t="n">
        <v>0</v>
      </c>
      <c r="K524" s="22" t="n">
        <v>0</v>
      </c>
      <c r="L524" s="22" t="n">
        <v>0</v>
      </c>
      <c r="M524" s="22" t="n">
        <v>0</v>
      </c>
      <c r="N524" s="22" t="n">
        <v>0</v>
      </c>
      <c r="O524" s="22" t="n">
        <v>0</v>
      </c>
      <c r="P524" s="22" t="n">
        <v>0</v>
      </c>
      <c r="Q524" s="22" t="n">
        <v>0</v>
      </c>
      <c r="R524" s="22" t="n">
        <v>0</v>
      </c>
      <c r="S524" s="22" t="n">
        <v>0</v>
      </c>
      <c r="T524" s="22" t="n">
        <v>0</v>
      </c>
      <c r="U524" s="3">
        <f>IF(OR(N524=1,Q524=1),1,0)</f>
        <v/>
      </c>
      <c r="V524" s="3">
        <f>IF(OR(T524=1,P524=1),1,0)</f>
        <v/>
      </c>
      <c r="W524" s="3">
        <f>IF(OR(J524=1),1,0)</f>
        <v/>
      </c>
      <c r="X524" s="3">
        <f>IF(OR(I524=1,H524=1),1,0)</f>
        <v/>
      </c>
      <c r="Y524" s="3">
        <f>IF(OR(G524=1),1,0)</f>
        <v/>
      </c>
      <c r="Z524" s="3">
        <f>IF(OR(F524=1),1,0)</f>
        <v/>
      </c>
      <c r="AA524" s="3">
        <f>IF(OR(M524=1),1,0)</f>
        <v/>
      </c>
    </row>
    <row r="525">
      <c r="A525" s="22" t="inlineStr">
        <is>
          <t>f5a6e9ab995e0e5a97d5463bea1855af21c76014</t>
        </is>
      </c>
      <c r="B525" s="22" t="inlineStr">
        <is>
          <t>2026-10</t>
        </is>
      </c>
      <c r="C525" s="22" t="inlineStr">
        <is>
          <t>Nairaland</t>
        </is>
      </c>
      <c r="D525" s="22" t="n">
        <v>0</v>
      </c>
      <c r="E525" s="22" t="inlineStr">
        <is>
          <t>Nairaland: Nairaland</t>
        </is>
      </c>
      <c r="F525" s="22" t="inlineStr">
        <is>
          <t>nairaland:Nairaland</t>
        </is>
      </c>
      <c r="G525" s="22" t="n">
        <v>-0.52</v>
      </c>
      <c r="H525" s="22" t="n">
        <v>1</v>
      </c>
      <c r="I525" s="22" t="n">
        <v>0</v>
      </c>
      <c r="J525" s="22" t="n">
        <v>0</v>
      </c>
      <c r="K525" s="22" t="n">
        <v>0</v>
      </c>
      <c r="L525" s="22" t="n">
        <v>0</v>
      </c>
      <c r="M525" s="22" t="n">
        <v>0</v>
      </c>
      <c r="N525" s="22" t="n">
        <v>0</v>
      </c>
      <c r="O525" s="22" t="n">
        <v>0</v>
      </c>
      <c r="P525" s="22" t="n">
        <v>0</v>
      </c>
      <c r="Q525" s="22" t="n">
        <v>0</v>
      </c>
      <c r="R525" s="22" t="n">
        <v>0</v>
      </c>
      <c r="S525" s="22" t="n">
        <v>0</v>
      </c>
      <c r="T525" s="22" t="n">
        <v>0</v>
      </c>
      <c r="U525" s="3">
        <f>IF(OR(N525=1,Q525=1),1,0)</f>
        <v/>
      </c>
      <c r="V525" s="3">
        <f>IF(OR(T525=1,P525=1),1,0)</f>
        <v/>
      </c>
      <c r="W525" s="3">
        <f>IF(OR(J525=1),1,0)</f>
        <v/>
      </c>
      <c r="X525" s="3">
        <f>IF(OR(I525=1,H525=1),1,0)</f>
        <v/>
      </c>
      <c r="Y525" s="3">
        <f>IF(OR(G525=1),1,0)</f>
        <v/>
      </c>
      <c r="Z525" s="3">
        <f>IF(OR(F525=1),1,0)</f>
        <v/>
      </c>
      <c r="AA525" s="3">
        <f>IF(OR(M525=1),1,0)</f>
        <v/>
      </c>
    </row>
    <row r="526">
      <c r="A526" s="22" t="inlineStr">
        <is>
          <t>9bf3fa9df0b84f6585a66a18ad7e6e9a77fa4ff2</t>
        </is>
      </c>
      <c r="B526" s="22" t="inlineStr">
        <is>
          <t>2026-10</t>
        </is>
      </c>
      <c r="C526" s="22" t="inlineStr">
        <is>
          <t>Nairaland</t>
        </is>
      </c>
      <c r="D526" s="22" t="n">
        <v>0</v>
      </c>
      <c r="E526" s="22" t="inlineStr">
        <is>
          <t>Nairaland: Nairaland</t>
        </is>
      </c>
      <c r="F526" s="22" t="inlineStr">
        <is>
          <t>nairaland:Nairaland</t>
        </is>
      </c>
      <c r="G526" s="22" t="n">
        <v>0.681</v>
      </c>
      <c r="H526" s="22" t="n">
        <v>1</v>
      </c>
      <c r="I526" s="22" t="n">
        <v>1</v>
      </c>
      <c r="J526" s="22" t="n">
        <v>0</v>
      </c>
      <c r="K526" s="22" t="n">
        <v>0</v>
      </c>
      <c r="L526" s="22" t="n">
        <v>0</v>
      </c>
      <c r="M526" s="22" t="n">
        <v>0</v>
      </c>
      <c r="N526" s="22" t="n">
        <v>0</v>
      </c>
      <c r="O526" s="22" t="n">
        <v>0</v>
      </c>
      <c r="P526" s="22" t="n">
        <v>0</v>
      </c>
      <c r="Q526" s="22" t="n">
        <v>0</v>
      </c>
      <c r="R526" s="22" t="n">
        <v>0</v>
      </c>
      <c r="S526" s="22" t="n">
        <v>0</v>
      </c>
      <c r="T526" s="22" t="n">
        <v>0</v>
      </c>
      <c r="U526" s="3">
        <f>IF(OR(N526=1,Q526=1),1,0)</f>
        <v/>
      </c>
      <c r="V526" s="3">
        <f>IF(OR(T526=1,P526=1),1,0)</f>
        <v/>
      </c>
      <c r="W526" s="3">
        <f>IF(OR(J526=1),1,0)</f>
        <v/>
      </c>
      <c r="X526" s="3">
        <f>IF(OR(I526=1,H526=1),1,0)</f>
        <v/>
      </c>
      <c r="Y526" s="3">
        <f>IF(OR(G526=1),1,0)</f>
        <v/>
      </c>
      <c r="Z526" s="3">
        <f>IF(OR(F526=1),1,0)</f>
        <v/>
      </c>
      <c r="AA526" s="3">
        <f>IF(OR(M526=1),1,0)</f>
        <v/>
      </c>
    </row>
    <row r="527">
      <c r="A527" s="22" t="inlineStr">
        <is>
          <t>37fefcb12e2897005d0f906418baca6afe5ca54c</t>
        </is>
      </c>
      <c r="B527" s="22" t="inlineStr">
        <is>
          <t>2026-10</t>
        </is>
      </c>
      <c r="C527" s="22" t="inlineStr">
        <is>
          <t>Nairaland</t>
        </is>
      </c>
      <c r="D527" s="22" t="n">
        <v>0</v>
      </c>
      <c r="E527" s="22" t="inlineStr">
        <is>
          <t>Nairaland: Nairaland</t>
        </is>
      </c>
      <c r="F527" s="22" t="inlineStr">
        <is>
          <t>nairaland:Nairaland</t>
        </is>
      </c>
      <c r="G527" s="22" t="n">
        <v>-0.961</v>
      </c>
      <c r="H527" s="22" t="n">
        <v>1</v>
      </c>
      <c r="I527" s="22" t="n">
        <v>0</v>
      </c>
      <c r="J527" s="22" t="n">
        <v>0</v>
      </c>
      <c r="K527" s="22" t="n">
        <v>0</v>
      </c>
      <c r="L527" s="22" t="n">
        <v>0</v>
      </c>
      <c r="M527" s="22" t="n">
        <v>0</v>
      </c>
      <c r="N527" s="22" t="n">
        <v>0</v>
      </c>
      <c r="O527" s="22" t="n">
        <v>0</v>
      </c>
      <c r="P527" s="22" t="n">
        <v>0</v>
      </c>
      <c r="Q527" s="22" t="n">
        <v>0</v>
      </c>
      <c r="R527" s="22" t="n">
        <v>0</v>
      </c>
      <c r="S527" s="22" t="n">
        <v>0</v>
      </c>
      <c r="T527" s="22" t="n">
        <v>0</v>
      </c>
      <c r="U527" s="3">
        <f>IF(OR(N527=1,Q527=1),1,0)</f>
        <v/>
      </c>
      <c r="V527" s="3">
        <f>IF(OR(T527=1,P527=1),1,0)</f>
        <v/>
      </c>
      <c r="W527" s="3">
        <f>IF(OR(J527=1),1,0)</f>
        <v/>
      </c>
      <c r="X527" s="3">
        <f>IF(OR(I527=1,H527=1),1,0)</f>
        <v/>
      </c>
      <c r="Y527" s="3">
        <f>IF(OR(G527=1),1,0)</f>
        <v/>
      </c>
      <c r="Z527" s="3">
        <f>IF(OR(F527=1),1,0)</f>
        <v/>
      </c>
      <c r="AA527" s="3">
        <f>IF(OR(M527=1),1,0)</f>
        <v/>
      </c>
    </row>
    <row r="528">
      <c r="A528" s="22" t="inlineStr">
        <is>
          <t>322ec70f809cdbd47520effce0b85dc6c222228f</t>
        </is>
      </c>
      <c r="B528" s="22" t="inlineStr">
        <is>
          <t>2026-10</t>
        </is>
      </c>
      <c r="C528" s="22" t="inlineStr">
        <is>
          <t>Nairaland</t>
        </is>
      </c>
      <c r="D528" s="22" t="n">
        <v>0</v>
      </c>
      <c r="E528" s="22" t="inlineStr">
        <is>
          <t>Nairaland: Nairaland</t>
        </is>
      </c>
      <c r="F528" s="22" t="inlineStr">
        <is>
          <t>nairaland:Nairaland</t>
        </is>
      </c>
      <c r="G528" s="22" t="n">
        <v>-0.82</v>
      </c>
      <c r="H528" s="22" t="n">
        <v>0</v>
      </c>
      <c r="I528" s="22" t="n">
        <v>0</v>
      </c>
      <c r="J528" s="22" t="n">
        <v>0</v>
      </c>
      <c r="K528" s="22" t="n">
        <v>1</v>
      </c>
      <c r="L528" s="22" t="n">
        <v>0</v>
      </c>
      <c r="M528" s="22" t="n">
        <v>0</v>
      </c>
      <c r="N528" s="22" t="n">
        <v>0</v>
      </c>
      <c r="O528" s="22" t="n">
        <v>0</v>
      </c>
      <c r="P528" s="22" t="n">
        <v>0</v>
      </c>
      <c r="Q528" s="22" t="n">
        <v>0</v>
      </c>
      <c r="R528" s="22" t="n">
        <v>0</v>
      </c>
      <c r="S528" s="22" t="n">
        <v>0</v>
      </c>
      <c r="T528" s="22" t="n">
        <v>1</v>
      </c>
      <c r="U528" s="3">
        <f>IF(OR(N528=1,Q528=1),1,0)</f>
        <v/>
      </c>
      <c r="V528" s="3">
        <f>IF(OR(T528=1,P528=1),1,0)</f>
        <v/>
      </c>
      <c r="W528" s="3">
        <f>IF(OR(J528=1),1,0)</f>
        <v/>
      </c>
      <c r="X528" s="3">
        <f>IF(OR(I528=1,H528=1),1,0)</f>
        <v/>
      </c>
      <c r="Y528" s="3">
        <f>IF(OR(G528=1),1,0)</f>
        <v/>
      </c>
      <c r="Z528" s="3">
        <f>IF(OR(F528=1),1,0)</f>
        <v/>
      </c>
      <c r="AA528" s="3">
        <f>IF(OR(M528=1),1,0)</f>
        <v/>
      </c>
    </row>
    <row r="529">
      <c r="A529" s="22" t="inlineStr">
        <is>
          <t>73421fa608d62198ee06131a26ab9b93100b4f0b</t>
        </is>
      </c>
      <c r="B529" s="22" t="inlineStr">
        <is>
          <t>2026-10</t>
        </is>
      </c>
      <c r="C529" s="22" t="inlineStr">
        <is>
          <t>Nairaland</t>
        </is>
      </c>
      <c r="D529" s="22" t="n">
        <v>0</v>
      </c>
      <c r="E529" s="22" t="inlineStr">
        <is>
          <t>Nairaland: Nairaland</t>
        </is>
      </c>
      <c r="F529" s="22" t="inlineStr">
        <is>
          <t>nairaland:Nairaland</t>
        </is>
      </c>
      <c r="G529" s="22" t="n">
        <v>-0.925</v>
      </c>
      <c r="H529" s="22" t="n">
        <v>1</v>
      </c>
      <c r="I529" s="22" t="n">
        <v>0</v>
      </c>
      <c r="J529" s="22" t="n">
        <v>0</v>
      </c>
      <c r="K529" s="22" t="n">
        <v>0</v>
      </c>
      <c r="L529" s="22" t="n">
        <v>0</v>
      </c>
      <c r="M529" s="22" t="n">
        <v>0</v>
      </c>
      <c r="N529" s="22" t="n">
        <v>0</v>
      </c>
      <c r="O529" s="22" t="n">
        <v>1</v>
      </c>
      <c r="P529" s="22" t="n">
        <v>0</v>
      </c>
      <c r="Q529" s="22" t="n">
        <v>0</v>
      </c>
      <c r="R529" s="22" t="n">
        <v>0</v>
      </c>
      <c r="S529" s="22" t="n">
        <v>0</v>
      </c>
      <c r="T529" s="22" t="n">
        <v>0</v>
      </c>
      <c r="U529" s="3">
        <f>IF(OR(N529=1,Q529=1),1,0)</f>
        <v/>
      </c>
      <c r="V529" s="3">
        <f>IF(OR(T529=1,P529=1),1,0)</f>
        <v/>
      </c>
      <c r="W529" s="3">
        <f>IF(OR(J529=1),1,0)</f>
        <v/>
      </c>
      <c r="X529" s="3">
        <f>IF(OR(I529=1,H529=1),1,0)</f>
        <v/>
      </c>
      <c r="Y529" s="3">
        <f>IF(OR(G529=1),1,0)</f>
        <v/>
      </c>
      <c r="Z529" s="3">
        <f>IF(OR(F529=1),1,0)</f>
        <v/>
      </c>
      <c r="AA529" s="3">
        <f>IF(OR(M529=1),1,0)</f>
        <v/>
      </c>
    </row>
    <row r="530">
      <c r="A530" s="22" t="inlineStr">
        <is>
          <t>8af6c3d053157599b5d7d4a141ba60d22982f96c</t>
        </is>
      </c>
      <c r="B530" s="22" t="inlineStr">
        <is>
          <t>2026-10</t>
        </is>
      </c>
      <c r="C530" s="22" t="inlineStr">
        <is>
          <t>Nairaland</t>
        </is>
      </c>
      <c r="D530" s="22" t="n">
        <v>0</v>
      </c>
      <c r="E530" s="22" t="inlineStr">
        <is>
          <t>Nairaland: Nairaland</t>
        </is>
      </c>
      <c r="F530" s="22" t="inlineStr">
        <is>
          <t>nairaland:Nairaland</t>
        </is>
      </c>
      <c r="G530" s="22" t="n">
        <v>-0.572</v>
      </c>
      <c r="H530" s="22" t="n">
        <v>0</v>
      </c>
      <c r="I530" s="22" t="n">
        <v>1</v>
      </c>
      <c r="J530" s="22" t="n">
        <v>0</v>
      </c>
      <c r="K530" s="22" t="n">
        <v>0</v>
      </c>
      <c r="L530" s="22" t="n">
        <v>0</v>
      </c>
      <c r="M530" s="22" t="n">
        <v>0</v>
      </c>
      <c r="N530" s="22" t="n">
        <v>0</v>
      </c>
      <c r="O530" s="22" t="n">
        <v>0</v>
      </c>
      <c r="P530" s="22" t="n">
        <v>0</v>
      </c>
      <c r="Q530" s="22" t="n">
        <v>0</v>
      </c>
      <c r="R530" s="22" t="n">
        <v>0</v>
      </c>
      <c r="S530" s="22" t="n">
        <v>0</v>
      </c>
      <c r="T530" s="22" t="n">
        <v>0</v>
      </c>
      <c r="U530" s="3">
        <f>IF(OR(N530=1,Q530=1),1,0)</f>
        <v/>
      </c>
      <c r="V530" s="3">
        <f>IF(OR(T530=1,P530=1),1,0)</f>
        <v/>
      </c>
      <c r="W530" s="3">
        <f>IF(OR(J530=1),1,0)</f>
        <v/>
      </c>
      <c r="X530" s="3">
        <f>IF(OR(I530=1,H530=1),1,0)</f>
        <v/>
      </c>
      <c r="Y530" s="3">
        <f>IF(OR(G530=1),1,0)</f>
        <v/>
      </c>
      <c r="Z530" s="3">
        <f>IF(OR(F530=1),1,0)</f>
        <v/>
      </c>
      <c r="AA530" s="3">
        <f>IF(OR(M530=1),1,0)</f>
        <v/>
      </c>
    </row>
    <row r="531">
      <c r="A531" s="22" t="inlineStr">
        <is>
          <t>8b636d85ee1241c6cc2cb9cbf6a6a4cb5fdc227a</t>
        </is>
      </c>
      <c r="B531" s="22" t="inlineStr">
        <is>
          <t>2026-10</t>
        </is>
      </c>
      <c r="C531" s="22" t="inlineStr">
        <is>
          <t>Nairaland</t>
        </is>
      </c>
      <c r="D531" s="22" t="n">
        <v>0</v>
      </c>
      <c r="E531" s="22" t="inlineStr">
        <is>
          <t>Nairaland: Nairaland</t>
        </is>
      </c>
      <c r="F531" s="22" t="inlineStr">
        <is>
          <t>nairaland:Nairaland</t>
        </is>
      </c>
      <c r="G531" s="22" t="n">
        <v>-0.34</v>
      </c>
      <c r="H531" s="22" t="n">
        <v>0</v>
      </c>
      <c r="I531" s="22" t="n">
        <v>0</v>
      </c>
      <c r="J531" s="22" t="n">
        <v>0</v>
      </c>
      <c r="K531" s="22" t="n">
        <v>0</v>
      </c>
      <c r="L531" s="22" t="n">
        <v>0</v>
      </c>
      <c r="M531" s="22" t="n">
        <v>1</v>
      </c>
      <c r="N531" s="22" t="n">
        <v>0</v>
      </c>
      <c r="O531" s="22" t="n">
        <v>0</v>
      </c>
      <c r="P531" s="22" t="n">
        <v>0</v>
      </c>
      <c r="Q531" s="22" t="n">
        <v>0</v>
      </c>
      <c r="R531" s="22" t="n">
        <v>0</v>
      </c>
      <c r="S531" s="22" t="n">
        <v>0</v>
      </c>
      <c r="T531" s="22" t="n">
        <v>0</v>
      </c>
      <c r="U531" s="3">
        <f>IF(OR(N531=1,Q531=1),1,0)</f>
        <v/>
      </c>
      <c r="V531" s="3">
        <f>IF(OR(T531=1,P531=1),1,0)</f>
        <v/>
      </c>
      <c r="W531" s="3">
        <f>IF(OR(J531=1),1,0)</f>
        <v/>
      </c>
      <c r="X531" s="3">
        <f>IF(OR(I531=1,H531=1),1,0)</f>
        <v/>
      </c>
      <c r="Y531" s="3">
        <f>IF(OR(G531=1),1,0)</f>
        <v/>
      </c>
      <c r="Z531" s="3">
        <f>IF(OR(F531=1),1,0)</f>
        <v/>
      </c>
      <c r="AA531" s="3">
        <f>IF(OR(M531=1),1,0)</f>
        <v/>
      </c>
    </row>
    <row r="532">
      <c r="A532" s="22" t="inlineStr">
        <is>
          <t>573c338410db8151b7df74dfbea96a83965fae61</t>
        </is>
      </c>
      <c r="B532" s="22" t="inlineStr">
        <is>
          <t>2026-10</t>
        </is>
      </c>
      <c r="C532" s="22" t="inlineStr">
        <is>
          <t>Nairaland</t>
        </is>
      </c>
      <c r="D532" s="22" t="n">
        <v>0</v>
      </c>
      <c r="E532" s="22" t="inlineStr">
        <is>
          <t>Nairaland: Nairaland</t>
        </is>
      </c>
      <c r="F532" s="22" t="inlineStr">
        <is>
          <t>nairaland:Nairaland</t>
        </is>
      </c>
      <c r="G532" s="22" t="n">
        <v>-0.542</v>
      </c>
      <c r="H532" s="22" t="n">
        <v>1</v>
      </c>
      <c r="I532" s="22" t="n">
        <v>0</v>
      </c>
      <c r="J532" s="22" t="n">
        <v>0</v>
      </c>
      <c r="K532" s="22" t="n">
        <v>0</v>
      </c>
      <c r="L532" s="22" t="n">
        <v>0</v>
      </c>
      <c r="M532" s="22" t="n">
        <v>1</v>
      </c>
      <c r="N532" s="22" t="n">
        <v>0</v>
      </c>
      <c r="O532" s="22" t="n">
        <v>0</v>
      </c>
      <c r="P532" s="22" t="n">
        <v>0</v>
      </c>
      <c r="Q532" s="22" t="n">
        <v>0</v>
      </c>
      <c r="R532" s="22" t="n">
        <v>0</v>
      </c>
      <c r="S532" s="22" t="n">
        <v>0</v>
      </c>
      <c r="T532" s="22" t="n">
        <v>0</v>
      </c>
      <c r="U532" s="3">
        <f>IF(OR(N532=1,Q532=1),1,0)</f>
        <v/>
      </c>
      <c r="V532" s="3">
        <f>IF(OR(T532=1,P532=1),1,0)</f>
        <v/>
      </c>
      <c r="W532" s="3">
        <f>IF(OR(J532=1),1,0)</f>
        <v/>
      </c>
      <c r="X532" s="3">
        <f>IF(OR(I532=1,H532=1),1,0)</f>
        <v/>
      </c>
      <c r="Y532" s="3">
        <f>IF(OR(G532=1),1,0)</f>
        <v/>
      </c>
      <c r="Z532" s="3">
        <f>IF(OR(F532=1),1,0)</f>
        <v/>
      </c>
      <c r="AA532" s="3">
        <f>IF(OR(M532=1),1,0)</f>
        <v/>
      </c>
    </row>
    <row r="533">
      <c r="A533" s="22" t="inlineStr">
        <is>
          <t>010668b910ba08a40e2576ae6ce1fa0623d14057</t>
        </is>
      </c>
      <c r="B533" s="22" t="inlineStr">
        <is>
          <t>2026-10</t>
        </is>
      </c>
      <c r="C533" s="22" t="inlineStr">
        <is>
          <t>Nairaland</t>
        </is>
      </c>
      <c r="D533" s="22" t="n">
        <v>0</v>
      </c>
      <c r="E533" s="22" t="inlineStr">
        <is>
          <t>Nairaland: Nairaland</t>
        </is>
      </c>
      <c r="F533" s="22" t="inlineStr">
        <is>
          <t>nairaland:Nairaland</t>
        </is>
      </c>
      <c r="G533" s="22" t="n">
        <v>-0.25</v>
      </c>
      <c r="H533" s="22" t="n">
        <v>1</v>
      </c>
      <c r="I533" s="22" t="n">
        <v>0</v>
      </c>
      <c r="J533" s="22" t="n">
        <v>0</v>
      </c>
      <c r="K533" s="22" t="n">
        <v>0</v>
      </c>
      <c r="L533" s="22" t="n">
        <v>0</v>
      </c>
      <c r="M533" s="22" t="n">
        <v>0</v>
      </c>
      <c r="N533" s="22" t="n">
        <v>0</v>
      </c>
      <c r="O533" s="22" t="n">
        <v>0</v>
      </c>
      <c r="P533" s="22" t="n">
        <v>0</v>
      </c>
      <c r="Q533" s="22" t="n">
        <v>0</v>
      </c>
      <c r="R533" s="22" t="n">
        <v>0</v>
      </c>
      <c r="S533" s="22" t="n">
        <v>0</v>
      </c>
      <c r="T533" s="22" t="n">
        <v>0</v>
      </c>
      <c r="U533" s="3">
        <f>IF(OR(N533=1,Q533=1),1,0)</f>
        <v/>
      </c>
      <c r="V533" s="3">
        <f>IF(OR(T533=1,P533=1),1,0)</f>
        <v/>
      </c>
      <c r="W533" s="3">
        <f>IF(OR(J533=1),1,0)</f>
        <v/>
      </c>
      <c r="X533" s="3">
        <f>IF(OR(I533=1,H533=1),1,0)</f>
        <v/>
      </c>
      <c r="Y533" s="3">
        <f>IF(OR(G533=1),1,0)</f>
        <v/>
      </c>
      <c r="Z533" s="3">
        <f>IF(OR(F533=1),1,0)</f>
        <v/>
      </c>
      <c r="AA533" s="3">
        <f>IF(OR(M533=1),1,0)</f>
        <v/>
      </c>
    </row>
    <row r="534">
      <c r="A534" s="22" t="inlineStr">
        <is>
          <t>9adf139f3db455b30b365ef788e2902282749c2e</t>
        </is>
      </c>
      <c r="B534" s="22" t="inlineStr">
        <is>
          <t>2026-10</t>
        </is>
      </c>
      <c r="C534" s="22" t="inlineStr">
        <is>
          <t>Nairaland</t>
        </is>
      </c>
      <c r="D534" s="22" t="n">
        <v>0</v>
      </c>
      <c r="E534" s="22" t="inlineStr">
        <is>
          <t>Nairaland: Nairaland</t>
        </is>
      </c>
      <c r="F534" s="22" t="inlineStr">
        <is>
          <t>nairaland:Nairaland</t>
        </is>
      </c>
      <c r="G534" s="22" t="n">
        <v>0.579</v>
      </c>
      <c r="H534" s="22" t="n">
        <v>0</v>
      </c>
      <c r="I534" s="22" t="n">
        <v>0</v>
      </c>
      <c r="J534" s="22" t="n">
        <v>0</v>
      </c>
      <c r="K534" s="22" t="n">
        <v>0</v>
      </c>
      <c r="L534" s="22" t="n">
        <v>0</v>
      </c>
      <c r="M534" s="22" t="n">
        <v>0</v>
      </c>
      <c r="N534" s="22" t="n">
        <v>0</v>
      </c>
      <c r="O534" s="22" t="n">
        <v>1</v>
      </c>
      <c r="P534" s="22" t="n">
        <v>0</v>
      </c>
      <c r="Q534" s="22" t="n">
        <v>0</v>
      </c>
      <c r="R534" s="22" t="n">
        <v>0</v>
      </c>
      <c r="S534" s="22" t="n">
        <v>0</v>
      </c>
      <c r="T534" s="22" t="n">
        <v>0</v>
      </c>
      <c r="U534" s="3">
        <f>IF(OR(N534=1,Q534=1),1,0)</f>
        <v/>
      </c>
      <c r="V534" s="3">
        <f>IF(OR(T534=1,P534=1),1,0)</f>
        <v/>
      </c>
      <c r="W534" s="3">
        <f>IF(OR(J534=1),1,0)</f>
        <v/>
      </c>
      <c r="X534" s="3">
        <f>IF(OR(I534=1,H534=1),1,0)</f>
        <v/>
      </c>
      <c r="Y534" s="3">
        <f>IF(OR(G534=1),1,0)</f>
        <v/>
      </c>
      <c r="Z534" s="3">
        <f>IF(OR(F534=1),1,0)</f>
        <v/>
      </c>
      <c r="AA534" s="3">
        <f>IF(OR(M534=1),1,0)</f>
        <v/>
      </c>
    </row>
    <row r="535">
      <c r="A535" s="22" t="inlineStr">
        <is>
          <t>92cf5b76505134057747cbab5fc1485a302bdcf7</t>
        </is>
      </c>
      <c r="B535" s="22" t="inlineStr">
        <is>
          <t>2026-10</t>
        </is>
      </c>
      <c r="C535" s="22" t="inlineStr">
        <is>
          <t>Nairaland</t>
        </is>
      </c>
      <c r="D535" s="22" t="n">
        <v>0</v>
      </c>
      <c r="E535" s="22" t="inlineStr">
        <is>
          <t>Nairaland: Nairaland</t>
        </is>
      </c>
      <c r="F535" s="22" t="inlineStr">
        <is>
          <t>nairaland:Nairaland</t>
        </is>
      </c>
      <c r="G535" s="22" t="n">
        <v>0.103</v>
      </c>
      <c r="H535" s="22" t="n">
        <v>0</v>
      </c>
      <c r="I535" s="22" t="n">
        <v>0</v>
      </c>
      <c r="J535" s="22" t="n">
        <v>0</v>
      </c>
      <c r="K535" s="22" t="n">
        <v>0</v>
      </c>
      <c r="L535" s="22" t="n">
        <v>0</v>
      </c>
      <c r="M535" s="22" t="n">
        <v>0</v>
      </c>
      <c r="N535" s="22" t="n">
        <v>0</v>
      </c>
      <c r="O535" s="22" t="n">
        <v>1</v>
      </c>
      <c r="P535" s="22" t="n">
        <v>0</v>
      </c>
      <c r="Q535" s="22" t="n">
        <v>0</v>
      </c>
      <c r="R535" s="22" t="n">
        <v>0</v>
      </c>
      <c r="S535" s="22" t="n">
        <v>0</v>
      </c>
      <c r="T535" s="22" t="n">
        <v>0</v>
      </c>
      <c r="U535" s="3">
        <f>IF(OR(N535=1,Q535=1),1,0)</f>
        <v/>
      </c>
      <c r="V535" s="3">
        <f>IF(OR(T535=1,P535=1),1,0)</f>
        <v/>
      </c>
      <c r="W535" s="3">
        <f>IF(OR(J535=1),1,0)</f>
        <v/>
      </c>
      <c r="X535" s="3">
        <f>IF(OR(I535=1,H535=1),1,0)</f>
        <v/>
      </c>
      <c r="Y535" s="3">
        <f>IF(OR(G535=1),1,0)</f>
        <v/>
      </c>
      <c r="Z535" s="3">
        <f>IF(OR(F535=1),1,0)</f>
        <v/>
      </c>
      <c r="AA535" s="3">
        <f>IF(OR(M535=1),1,0)</f>
        <v/>
      </c>
    </row>
    <row r="536">
      <c r="A536" s="22" t="inlineStr">
        <is>
          <t>91ddbf85af415ef9974d94cbc897402f3cfd8583</t>
        </is>
      </c>
      <c r="B536" s="22" t="inlineStr">
        <is>
          <t>2026-10</t>
        </is>
      </c>
      <c r="C536" s="22" t="inlineStr">
        <is>
          <t>Nairaland</t>
        </is>
      </c>
      <c r="D536" s="22" t="n">
        <v>0</v>
      </c>
      <c r="E536" s="22" t="inlineStr">
        <is>
          <t>Nairaland: Nairaland</t>
        </is>
      </c>
      <c r="F536" s="22" t="inlineStr">
        <is>
          <t>nairaland:Nairaland</t>
        </is>
      </c>
      <c r="G536" s="22" t="n">
        <v>-0.735</v>
      </c>
      <c r="H536" s="22" t="n">
        <v>1</v>
      </c>
      <c r="I536" s="22" t="n">
        <v>0</v>
      </c>
      <c r="J536" s="22" t="n">
        <v>0</v>
      </c>
      <c r="K536" s="22" t="n">
        <v>0</v>
      </c>
      <c r="L536" s="22" t="n">
        <v>0</v>
      </c>
      <c r="M536" s="22" t="n">
        <v>0</v>
      </c>
      <c r="N536" s="22" t="n">
        <v>0</v>
      </c>
      <c r="O536" s="22" t="n">
        <v>0</v>
      </c>
      <c r="P536" s="22" t="n">
        <v>0</v>
      </c>
      <c r="Q536" s="22" t="n">
        <v>0</v>
      </c>
      <c r="R536" s="22" t="n">
        <v>0</v>
      </c>
      <c r="S536" s="22" t="n">
        <v>0</v>
      </c>
      <c r="T536" s="22" t="n">
        <v>0</v>
      </c>
      <c r="U536" s="3">
        <f>IF(OR(N536=1,Q536=1),1,0)</f>
        <v/>
      </c>
      <c r="V536" s="3">
        <f>IF(OR(T536=1,P536=1),1,0)</f>
        <v/>
      </c>
      <c r="W536" s="3">
        <f>IF(OR(J536=1),1,0)</f>
        <v/>
      </c>
      <c r="X536" s="3">
        <f>IF(OR(I536=1,H536=1),1,0)</f>
        <v/>
      </c>
      <c r="Y536" s="3">
        <f>IF(OR(G536=1),1,0)</f>
        <v/>
      </c>
      <c r="Z536" s="3">
        <f>IF(OR(F536=1),1,0)</f>
        <v/>
      </c>
      <c r="AA536" s="3">
        <f>IF(OR(M536=1),1,0)</f>
        <v/>
      </c>
    </row>
    <row r="537">
      <c r="A537" s="22" t="inlineStr">
        <is>
          <t>764c1fab10bc15672f696c5e89fcffc31f058dfd</t>
        </is>
      </c>
      <c r="B537" s="22" t="inlineStr">
        <is>
          <t>2026-10</t>
        </is>
      </c>
      <c r="C537" s="22" t="inlineStr">
        <is>
          <t>Nairaland</t>
        </is>
      </c>
      <c r="D537" s="22" t="n">
        <v>0</v>
      </c>
      <c r="E537" s="22" t="inlineStr">
        <is>
          <t>Nairaland: Nairaland</t>
        </is>
      </c>
      <c r="F537" s="22" t="inlineStr">
        <is>
          <t>nairaland:Nairaland</t>
        </is>
      </c>
      <c r="G537" s="22" t="n">
        <v>-0.8179999999999999</v>
      </c>
      <c r="H537" s="22" t="n">
        <v>1</v>
      </c>
      <c r="I537" s="22" t="n">
        <v>1</v>
      </c>
      <c r="J537" s="22" t="n">
        <v>0</v>
      </c>
      <c r="K537" s="22" t="n">
        <v>0</v>
      </c>
      <c r="L537" s="22" t="n">
        <v>0</v>
      </c>
      <c r="M537" s="22" t="n">
        <v>0</v>
      </c>
      <c r="N537" s="22" t="n">
        <v>0</v>
      </c>
      <c r="O537" s="22" t="n">
        <v>0</v>
      </c>
      <c r="P537" s="22" t="n">
        <v>0</v>
      </c>
      <c r="Q537" s="22" t="n">
        <v>0</v>
      </c>
      <c r="R537" s="22" t="n">
        <v>0</v>
      </c>
      <c r="S537" s="22" t="n">
        <v>0</v>
      </c>
      <c r="T537" s="22" t="n">
        <v>0</v>
      </c>
      <c r="U537" s="3">
        <f>IF(OR(N537=1,Q537=1),1,0)</f>
        <v/>
      </c>
      <c r="V537" s="3">
        <f>IF(OR(T537=1,P537=1),1,0)</f>
        <v/>
      </c>
      <c r="W537" s="3">
        <f>IF(OR(J537=1),1,0)</f>
        <v/>
      </c>
      <c r="X537" s="3">
        <f>IF(OR(I537=1,H537=1),1,0)</f>
        <v/>
      </c>
      <c r="Y537" s="3">
        <f>IF(OR(G537=1),1,0)</f>
        <v/>
      </c>
      <c r="Z537" s="3">
        <f>IF(OR(F537=1),1,0)</f>
        <v/>
      </c>
      <c r="AA537" s="3">
        <f>IF(OR(M537=1),1,0)</f>
        <v/>
      </c>
    </row>
    <row r="538">
      <c r="A538" s="22" t="inlineStr">
        <is>
          <t>81bd3643d5ca46d31c349280dfe5ea439d728b96</t>
        </is>
      </c>
      <c r="B538" s="22" t="inlineStr">
        <is>
          <t>2026-10</t>
        </is>
      </c>
      <c r="C538" s="22" t="inlineStr">
        <is>
          <t>Nairaland</t>
        </is>
      </c>
      <c r="D538" s="22" t="n">
        <v>0</v>
      </c>
      <c r="E538" s="22" t="inlineStr">
        <is>
          <t>Nairaland: Nairaland</t>
        </is>
      </c>
      <c r="F538" s="22" t="inlineStr">
        <is>
          <t>nairaland:Nairaland</t>
        </is>
      </c>
      <c r="G538" s="22" t="n">
        <v>0</v>
      </c>
      <c r="H538" s="22" t="n">
        <v>0</v>
      </c>
      <c r="I538" s="22" t="n">
        <v>1</v>
      </c>
      <c r="J538" s="22" t="n">
        <v>0</v>
      </c>
      <c r="K538" s="22" t="n">
        <v>0</v>
      </c>
      <c r="L538" s="22" t="n">
        <v>0</v>
      </c>
      <c r="M538" s="22" t="n">
        <v>0</v>
      </c>
      <c r="N538" s="22" t="n">
        <v>0</v>
      </c>
      <c r="O538" s="22" t="n">
        <v>0</v>
      </c>
      <c r="P538" s="22" t="n">
        <v>0</v>
      </c>
      <c r="Q538" s="22" t="n">
        <v>0</v>
      </c>
      <c r="R538" s="22" t="n">
        <v>0</v>
      </c>
      <c r="S538" s="22" t="n">
        <v>0</v>
      </c>
      <c r="T538" s="22" t="n">
        <v>0</v>
      </c>
      <c r="U538" s="3">
        <f>IF(OR(N538=1,Q538=1),1,0)</f>
        <v/>
      </c>
      <c r="V538" s="3">
        <f>IF(OR(T538=1,P538=1),1,0)</f>
        <v/>
      </c>
      <c r="W538" s="3">
        <f>IF(OR(J538=1),1,0)</f>
        <v/>
      </c>
      <c r="X538" s="3">
        <f>IF(OR(I538=1,H538=1),1,0)</f>
        <v/>
      </c>
      <c r="Y538" s="3">
        <f>IF(OR(G538=1),1,0)</f>
        <v/>
      </c>
      <c r="Z538" s="3">
        <f>IF(OR(F538=1),1,0)</f>
        <v/>
      </c>
      <c r="AA538" s="3">
        <f>IF(OR(M538=1),1,0)</f>
        <v/>
      </c>
    </row>
    <row r="539">
      <c r="A539" s="22" t="inlineStr">
        <is>
          <t>8a6bd31e44df81b8ebb9d85ff5388ba0a843852e</t>
        </is>
      </c>
      <c r="B539" s="22" t="inlineStr">
        <is>
          <t>2026-10</t>
        </is>
      </c>
      <c r="C539" s="22" t="inlineStr">
        <is>
          <t>Nairaland</t>
        </is>
      </c>
      <c r="D539" s="22" t="n">
        <v>0</v>
      </c>
      <c r="E539" s="22" t="inlineStr">
        <is>
          <t>Nairaland: Nairaland</t>
        </is>
      </c>
      <c r="F539" s="22" t="inlineStr">
        <is>
          <t>nairaland:Nairaland</t>
        </is>
      </c>
      <c r="G539" s="22" t="n">
        <v>0.8149999999999999</v>
      </c>
      <c r="H539" s="22" t="n">
        <v>0</v>
      </c>
      <c r="I539" s="22" t="n">
        <v>0</v>
      </c>
      <c r="J539" s="22" t="n">
        <v>0</v>
      </c>
      <c r="K539" s="22" t="n">
        <v>0</v>
      </c>
      <c r="L539" s="22" t="n">
        <v>0</v>
      </c>
      <c r="M539" s="22" t="n">
        <v>0</v>
      </c>
      <c r="N539" s="22" t="n">
        <v>0</v>
      </c>
      <c r="O539" s="22" t="n">
        <v>0</v>
      </c>
      <c r="P539" s="22" t="n">
        <v>0</v>
      </c>
      <c r="Q539" s="22" t="n">
        <v>0</v>
      </c>
      <c r="R539" s="22" t="n">
        <v>0</v>
      </c>
      <c r="S539" s="22" t="n">
        <v>0</v>
      </c>
      <c r="T539" s="22" t="n">
        <v>0</v>
      </c>
      <c r="U539" s="3">
        <f>IF(OR(N539=1,Q539=1),1,0)</f>
        <v/>
      </c>
      <c r="V539" s="3">
        <f>IF(OR(T539=1,P539=1),1,0)</f>
        <v/>
      </c>
      <c r="W539" s="3">
        <f>IF(OR(J539=1),1,0)</f>
        <v/>
      </c>
      <c r="X539" s="3">
        <f>IF(OR(I539=1,H539=1),1,0)</f>
        <v/>
      </c>
      <c r="Y539" s="3">
        <f>IF(OR(G539=1),1,0)</f>
        <v/>
      </c>
      <c r="Z539" s="3">
        <f>IF(OR(F539=1),1,0)</f>
        <v/>
      </c>
      <c r="AA539" s="3">
        <f>IF(OR(M539=1),1,0)</f>
        <v/>
      </c>
    </row>
    <row r="540">
      <c r="A540" s="22" t="inlineStr">
        <is>
          <t>6a86f5ba9ca0d78bbea02a5f4d939924000c42fd</t>
        </is>
      </c>
      <c r="B540" s="22" t="inlineStr">
        <is>
          <t>2026-10</t>
        </is>
      </c>
      <c r="C540" s="22" t="inlineStr">
        <is>
          <t>Nairaland</t>
        </is>
      </c>
      <c r="D540" s="22" t="n">
        <v>0</v>
      </c>
      <c r="E540" s="22" t="inlineStr">
        <is>
          <t>Nairaland: Nairaland</t>
        </is>
      </c>
      <c r="F540" s="22" t="inlineStr">
        <is>
          <t>nairaland:Nairaland</t>
        </is>
      </c>
      <c r="G540" s="22" t="n">
        <v>0.273</v>
      </c>
      <c r="H540" s="22" t="n">
        <v>0</v>
      </c>
      <c r="I540" s="22" t="n">
        <v>0</v>
      </c>
      <c r="J540" s="22" t="n">
        <v>0</v>
      </c>
      <c r="K540" s="22" t="n">
        <v>0</v>
      </c>
      <c r="L540" s="22" t="n">
        <v>0</v>
      </c>
      <c r="M540" s="22" t="n">
        <v>0</v>
      </c>
      <c r="N540" s="22" t="n">
        <v>0</v>
      </c>
      <c r="O540" s="22" t="n">
        <v>1</v>
      </c>
      <c r="P540" s="22" t="n">
        <v>0</v>
      </c>
      <c r="Q540" s="22" t="n">
        <v>0</v>
      </c>
      <c r="R540" s="22" t="n">
        <v>0</v>
      </c>
      <c r="S540" s="22" t="n">
        <v>0</v>
      </c>
      <c r="T540" s="22" t="n">
        <v>0</v>
      </c>
      <c r="U540" s="3">
        <f>IF(OR(N540=1,Q540=1),1,0)</f>
        <v/>
      </c>
      <c r="V540" s="3">
        <f>IF(OR(T540=1,P540=1),1,0)</f>
        <v/>
      </c>
      <c r="W540" s="3">
        <f>IF(OR(J540=1),1,0)</f>
        <v/>
      </c>
      <c r="X540" s="3">
        <f>IF(OR(I540=1,H540=1),1,0)</f>
        <v/>
      </c>
      <c r="Y540" s="3">
        <f>IF(OR(G540=1),1,0)</f>
        <v/>
      </c>
      <c r="Z540" s="3">
        <f>IF(OR(F540=1),1,0)</f>
        <v/>
      </c>
      <c r="AA540" s="3">
        <f>IF(OR(M540=1),1,0)</f>
        <v/>
      </c>
    </row>
    <row r="541">
      <c r="A541" s="22" t="inlineStr">
        <is>
          <t>14f041924d9fb54c24ffb06b34b72d3c79920d02</t>
        </is>
      </c>
      <c r="B541" s="22" t="inlineStr">
        <is>
          <t>2026-10</t>
        </is>
      </c>
      <c r="C541" s="22" t="inlineStr">
        <is>
          <t>Nairaland</t>
        </is>
      </c>
      <c r="D541" s="22" t="n">
        <v>0</v>
      </c>
      <c r="E541" s="22" t="inlineStr">
        <is>
          <t>Nairaland: Nairaland</t>
        </is>
      </c>
      <c r="F541" s="22" t="inlineStr">
        <is>
          <t>nairaland:Nairaland</t>
        </is>
      </c>
      <c r="G541" s="22" t="n">
        <v>-0.847</v>
      </c>
      <c r="H541" s="22" t="n">
        <v>1</v>
      </c>
      <c r="I541" s="22" t="n">
        <v>1</v>
      </c>
      <c r="J541" s="22" t="n">
        <v>0</v>
      </c>
      <c r="K541" s="22" t="n">
        <v>0</v>
      </c>
      <c r="L541" s="22" t="n">
        <v>0</v>
      </c>
      <c r="M541" s="22" t="n">
        <v>1</v>
      </c>
      <c r="N541" s="22" t="n">
        <v>0</v>
      </c>
      <c r="O541" s="22" t="n">
        <v>0</v>
      </c>
      <c r="P541" s="22" t="n">
        <v>0</v>
      </c>
      <c r="Q541" s="22" t="n">
        <v>0</v>
      </c>
      <c r="R541" s="22" t="n">
        <v>0</v>
      </c>
      <c r="S541" s="22" t="n">
        <v>0</v>
      </c>
      <c r="T541" s="22" t="n">
        <v>0</v>
      </c>
      <c r="U541" s="3">
        <f>IF(OR(N541=1,Q541=1),1,0)</f>
        <v/>
      </c>
      <c r="V541" s="3">
        <f>IF(OR(T541=1,P541=1),1,0)</f>
        <v/>
      </c>
      <c r="W541" s="3">
        <f>IF(OR(J541=1),1,0)</f>
        <v/>
      </c>
      <c r="X541" s="3">
        <f>IF(OR(I541=1,H541=1),1,0)</f>
        <v/>
      </c>
      <c r="Y541" s="3">
        <f>IF(OR(G541=1),1,0)</f>
        <v/>
      </c>
      <c r="Z541" s="3">
        <f>IF(OR(F541=1),1,0)</f>
        <v/>
      </c>
      <c r="AA541" s="3">
        <f>IF(OR(M541=1),1,0)</f>
        <v/>
      </c>
    </row>
    <row r="542">
      <c r="A542" s="22" t="inlineStr">
        <is>
          <t>e7e220741fccaacd9957c47437df2f09389e07dd</t>
        </is>
      </c>
      <c r="B542" s="22" t="inlineStr">
        <is>
          <t>2026-10</t>
        </is>
      </c>
      <c r="C542" s="22" t="inlineStr">
        <is>
          <t>Nairaland</t>
        </is>
      </c>
      <c r="D542" s="22" t="n">
        <v>0</v>
      </c>
      <c r="E542" s="22" t="inlineStr">
        <is>
          <t>Nairaland: Nairaland</t>
        </is>
      </c>
      <c r="F542" s="22" t="inlineStr">
        <is>
          <t>nairaland:Nairaland</t>
        </is>
      </c>
      <c r="G542" s="22" t="n">
        <v>0.25</v>
      </c>
      <c r="H542" s="22" t="n">
        <v>0</v>
      </c>
      <c r="I542" s="22" t="n">
        <v>0</v>
      </c>
      <c r="J542" s="22" t="n">
        <v>0</v>
      </c>
      <c r="K542" s="22" t="n">
        <v>0</v>
      </c>
      <c r="L542" s="22" t="n">
        <v>0</v>
      </c>
      <c r="M542" s="22" t="n">
        <v>0</v>
      </c>
      <c r="N542" s="22" t="n">
        <v>0</v>
      </c>
      <c r="O542" s="22" t="n">
        <v>1</v>
      </c>
      <c r="P542" s="22" t="n">
        <v>0</v>
      </c>
      <c r="Q542" s="22" t="n">
        <v>0</v>
      </c>
      <c r="R542" s="22" t="n">
        <v>0</v>
      </c>
      <c r="S542" s="22" t="n">
        <v>0</v>
      </c>
      <c r="T542" s="22" t="n">
        <v>0</v>
      </c>
      <c r="U542" s="3">
        <f>IF(OR(N542=1,Q542=1),1,0)</f>
        <v/>
      </c>
      <c r="V542" s="3">
        <f>IF(OR(T542=1,P542=1),1,0)</f>
        <v/>
      </c>
      <c r="W542" s="3">
        <f>IF(OR(J542=1),1,0)</f>
        <v/>
      </c>
      <c r="X542" s="3">
        <f>IF(OR(I542=1,H542=1),1,0)</f>
        <v/>
      </c>
      <c r="Y542" s="3">
        <f>IF(OR(G542=1),1,0)</f>
        <v/>
      </c>
      <c r="Z542" s="3">
        <f>IF(OR(F542=1),1,0)</f>
        <v/>
      </c>
      <c r="AA542" s="3">
        <f>IF(OR(M542=1),1,0)</f>
        <v/>
      </c>
    </row>
    <row r="543">
      <c r="A543" s="22" t="inlineStr">
        <is>
          <t>32428a68ac931fb9fd0643d03d72a81e92efe84b</t>
        </is>
      </c>
      <c r="B543" s="22" t="inlineStr">
        <is>
          <t>2026-10</t>
        </is>
      </c>
      <c r="C543" s="22" t="inlineStr">
        <is>
          <t>Nairaland</t>
        </is>
      </c>
      <c r="D543" s="22" t="n">
        <v>0</v>
      </c>
      <c r="E543" s="22" t="inlineStr">
        <is>
          <t>Nairaland: Nairaland</t>
        </is>
      </c>
      <c r="F543" s="22" t="inlineStr">
        <is>
          <t>nairaland:Nairaland</t>
        </is>
      </c>
      <c r="G543" s="22" t="n">
        <v>-0.016</v>
      </c>
      <c r="H543" s="22" t="n">
        <v>0</v>
      </c>
      <c r="I543" s="22" t="n">
        <v>0</v>
      </c>
      <c r="J543" s="22" t="n">
        <v>0</v>
      </c>
      <c r="K543" s="22" t="n">
        <v>0</v>
      </c>
      <c r="L543" s="22" t="n">
        <v>0</v>
      </c>
      <c r="M543" s="22" t="n">
        <v>0</v>
      </c>
      <c r="N543" s="22" t="n">
        <v>0</v>
      </c>
      <c r="O543" s="22" t="n">
        <v>0</v>
      </c>
      <c r="P543" s="22" t="n">
        <v>0</v>
      </c>
      <c r="Q543" s="22" t="n">
        <v>0</v>
      </c>
      <c r="R543" s="22" t="n">
        <v>0</v>
      </c>
      <c r="S543" s="22" t="n">
        <v>0</v>
      </c>
      <c r="T543" s="22" t="n">
        <v>0</v>
      </c>
      <c r="U543" s="3">
        <f>IF(OR(N543=1,Q543=1),1,0)</f>
        <v/>
      </c>
      <c r="V543" s="3">
        <f>IF(OR(T543=1,P543=1),1,0)</f>
        <v/>
      </c>
      <c r="W543" s="3">
        <f>IF(OR(J543=1),1,0)</f>
        <v/>
      </c>
      <c r="X543" s="3">
        <f>IF(OR(I543=1,H543=1),1,0)</f>
        <v/>
      </c>
      <c r="Y543" s="3">
        <f>IF(OR(G543=1),1,0)</f>
        <v/>
      </c>
      <c r="Z543" s="3">
        <f>IF(OR(F543=1),1,0)</f>
        <v/>
      </c>
      <c r="AA543" s="3">
        <f>IF(OR(M543=1),1,0)</f>
        <v/>
      </c>
    </row>
    <row r="544">
      <c r="A544" s="22" t="inlineStr">
        <is>
          <t>590cc057933736559b5921364615a6ee143dfd6d</t>
        </is>
      </c>
      <c r="B544" s="22" t="inlineStr">
        <is>
          <t>2026-10</t>
        </is>
      </c>
      <c r="C544" s="22" t="inlineStr">
        <is>
          <t>Nairaland</t>
        </is>
      </c>
      <c r="D544" s="22" t="n">
        <v>0</v>
      </c>
      <c r="E544" s="22" t="inlineStr">
        <is>
          <t>Nairaland: Nairaland</t>
        </is>
      </c>
      <c r="F544" s="22" t="inlineStr">
        <is>
          <t>nairaland:Nairaland</t>
        </is>
      </c>
      <c r="G544" s="22" t="n">
        <v>-0.077</v>
      </c>
      <c r="H544" s="22" t="n">
        <v>1</v>
      </c>
      <c r="I544" s="22" t="n">
        <v>0</v>
      </c>
      <c r="J544" s="22" t="n">
        <v>0</v>
      </c>
      <c r="K544" s="22" t="n">
        <v>0</v>
      </c>
      <c r="L544" s="22" t="n">
        <v>0</v>
      </c>
      <c r="M544" s="22" t="n">
        <v>0</v>
      </c>
      <c r="N544" s="22" t="n">
        <v>0</v>
      </c>
      <c r="O544" s="22" t="n">
        <v>0</v>
      </c>
      <c r="P544" s="22" t="n">
        <v>0</v>
      </c>
      <c r="Q544" s="22" t="n">
        <v>0</v>
      </c>
      <c r="R544" s="22" t="n">
        <v>0</v>
      </c>
      <c r="S544" s="22" t="n">
        <v>0</v>
      </c>
      <c r="T544" s="22" t="n">
        <v>0</v>
      </c>
      <c r="U544" s="3">
        <f>IF(OR(N544=1,Q544=1),1,0)</f>
        <v/>
      </c>
      <c r="V544" s="3">
        <f>IF(OR(T544=1,P544=1),1,0)</f>
        <v/>
      </c>
      <c r="W544" s="3">
        <f>IF(OR(J544=1),1,0)</f>
        <v/>
      </c>
      <c r="X544" s="3">
        <f>IF(OR(I544=1,H544=1),1,0)</f>
        <v/>
      </c>
      <c r="Y544" s="3">
        <f>IF(OR(G544=1),1,0)</f>
        <v/>
      </c>
      <c r="Z544" s="3">
        <f>IF(OR(F544=1),1,0)</f>
        <v/>
      </c>
      <c r="AA544" s="3">
        <f>IF(OR(M544=1),1,0)</f>
        <v/>
      </c>
    </row>
    <row r="545">
      <c r="A545" s="22" t="inlineStr">
        <is>
          <t>231b4daf33b61220907fad28bb12a610014f276e</t>
        </is>
      </c>
      <c r="B545" s="22" t="inlineStr">
        <is>
          <t>2026-10</t>
        </is>
      </c>
      <c r="C545" s="22" t="inlineStr">
        <is>
          <t>Nairaland</t>
        </is>
      </c>
      <c r="D545" s="22" t="n">
        <v>0</v>
      </c>
      <c r="E545" s="22" t="inlineStr">
        <is>
          <t>Nairaland: Nairaland</t>
        </is>
      </c>
      <c r="F545" s="22" t="inlineStr">
        <is>
          <t>nairaland:Nairaland</t>
        </is>
      </c>
      <c r="G545" s="22" t="n">
        <v>-0.586</v>
      </c>
      <c r="H545" s="22" t="n">
        <v>1</v>
      </c>
      <c r="I545" s="22" t="n">
        <v>0</v>
      </c>
      <c r="J545" s="22" t="n">
        <v>0</v>
      </c>
      <c r="K545" s="22" t="n">
        <v>0</v>
      </c>
      <c r="L545" s="22" t="n">
        <v>0</v>
      </c>
      <c r="M545" s="22" t="n">
        <v>0</v>
      </c>
      <c r="N545" s="22" t="n">
        <v>0</v>
      </c>
      <c r="O545" s="22" t="n">
        <v>0</v>
      </c>
      <c r="P545" s="22" t="n">
        <v>0</v>
      </c>
      <c r="Q545" s="22" t="n">
        <v>0</v>
      </c>
      <c r="R545" s="22" t="n">
        <v>0</v>
      </c>
      <c r="S545" s="22" t="n">
        <v>0</v>
      </c>
      <c r="T545" s="22" t="n">
        <v>0</v>
      </c>
      <c r="U545" s="3">
        <f>IF(OR(N545=1,Q545=1),1,0)</f>
        <v/>
      </c>
      <c r="V545" s="3">
        <f>IF(OR(T545=1,P545=1),1,0)</f>
        <v/>
      </c>
      <c r="W545" s="3">
        <f>IF(OR(J545=1),1,0)</f>
        <v/>
      </c>
      <c r="X545" s="3">
        <f>IF(OR(I545=1,H545=1),1,0)</f>
        <v/>
      </c>
      <c r="Y545" s="3">
        <f>IF(OR(G545=1),1,0)</f>
        <v/>
      </c>
      <c r="Z545" s="3">
        <f>IF(OR(F545=1),1,0)</f>
        <v/>
      </c>
      <c r="AA545" s="3">
        <f>IF(OR(M545=1),1,0)</f>
        <v/>
      </c>
    </row>
    <row r="546">
      <c r="A546" s="22" t="inlineStr">
        <is>
          <t>0c68e0b946c1268316ca32fa3b3bd591e25dd34e</t>
        </is>
      </c>
      <c r="B546" s="22" t="inlineStr">
        <is>
          <t>2026-10</t>
        </is>
      </c>
      <c r="C546" s="22" t="inlineStr">
        <is>
          <t>Nairaland</t>
        </is>
      </c>
      <c r="D546" s="22" t="n">
        <v>0</v>
      </c>
      <c r="E546" s="22" t="inlineStr">
        <is>
          <t>Nairaland: Nairaland</t>
        </is>
      </c>
      <c r="F546" s="22" t="inlineStr">
        <is>
          <t>nairaland:Nairaland</t>
        </is>
      </c>
      <c r="G546" s="22" t="n">
        <v>-0.85</v>
      </c>
      <c r="H546" s="22" t="n">
        <v>0</v>
      </c>
      <c r="I546" s="22" t="n">
        <v>0</v>
      </c>
      <c r="J546" s="22" t="n">
        <v>0</v>
      </c>
      <c r="K546" s="22" t="n">
        <v>0</v>
      </c>
      <c r="L546" s="22" t="n">
        <v>0</v>
      </c>
      <c r="M546" s="22" t="n">
        <v>0</v>
      </c>
      <c r="N546" s="22" t="n">
        <v>0</v>
      </c>
      <c r="O546" s="22" t="n">
        <v>0</v>
      </c>
      <c r="P546" s="22" t="n">
        <v>0</v>
      </c>
      <c r="Q546" s="22" t="n">
        <v>0</v>
      </c>
      <c r="R546" s="22" t="n">
        <v>0</v>
      </c>
      <c r="S546" s="22" t="n">
        <v>0</v>
      </c>
      <c r="T546" s="22" t="n">
        <v>0</v>
      </c>
      <c r="U546" s="3">
        <f>IF(OR(N546=1,Q546=1),1,0)</f>
        <v/>
      </c>
      <c r="V546" s="3">
        <f>IF(OR(T546=1,P546=1),1,0)</f>
        <v/>
      </c>
      <c r="W546" s="3">
        <f>IF(OR(J546=1),1,0)</f>
        <v/>
      </c>
      <c r="X546" s="3">
        <f>IF(OR(I546=1,H546=1),1,0)</f>
        <v/>
      </c>
      <c r="Y546" s="3">
        <f>IF(OR(G546=1),1,0)</f>
        <v/>
      </c>
      <c r="Z546" s="3">
        <f>IF(OR(F546=1),1,0)</f>
        <v/>
      </c>
      <c r="AA546" s="3">
        <f>IF(OR(M546=1),1,0)</f>
        <v/>
      </c>
    </row>
    <row r="547">
      <c r="A547" s="22" t="inlineStr">
        <is>
          <t>9bbc6f6040f86199e160d57b526f3dee627ab9ca</t>
        </is>
      </c>
      <c r="B547" s="22" t="inlineStr">
        <is>
          <t>2026-10</t>
        </is>
      </c>
      <c r="C547" s="22" t="inlineStr">
        <is>
          <t>Nairaland</t>
        </is>
      </c>
      <c r="D547" s="22" t="n">
        <v>0</v>
      </c>
      <c r="E547" s="22" t="inlineStr">
        <is>
          <t>Nairaland: Nairaland</t>
        </is>
      </c>
      <c r="F547" s="22" t="inlineStr">
        <is>
          <t>nairaland:Nairaland</t>
        </is>
      </c>
      <c r="G547" s="22" t="n">
        <v>0.34</v>
      </c>
      <c r="H547" s="22" t="n">
        <v>1</v>
      </c>
      <c r="I547" s="22" t="n">
        <v>1</v>
      </c>
      <c r="J547" s="22" t="n">
        <v>0</v>
      </c>
      <c r="K547" s="22" t="n">
        <v>0</v>
      </c>
      <c r="L547" s="22" t="n">
        <v>0</v>
      </c>
      <c r="M547" s="22" t="n">
        <v>0</v>
      </c>
      <c r="N547" s="22" t="n">
        <v>0</v>
      </c>
      <c r="O547" s="22" t="n">
        <v>0</v>
      </c>
      <c r="P547" s="22" t="n">
        <v>0</v>
      </c>
      <c r="Q547" s="22" t="n">
        <v>0</v>
      </c>
      <c r="R547" s="22" t="n">
        <v>0</v>
      </c>
      <c r="S547" s="22" t="n">
        <v>0</v>
      </c>
      <c r="T547" s="22" t="n">
        <v>0</v>
      </c>
      <c r="U547" s="3">
        <f>IF(OR(N547=1,Q547=1),1,0)</f>
        <v/>
      </c>
      <c r="V547" s="3">
        <f>IF(OR(T547=1,P547=1),1,0)</f>
        <v/>
      </c>
      <c r="W547" s="3">
        <f>IF(OR(J547=1),1,0)</f>
        <v/>
      </c>
      <c r="X547" s="3">
        <f>IF(OR(I547=1,H547=1),1,0)</f>
        <v/>
      </c>
      <c r="Y547" s="3">
        <f>IF(OR(G547=1),1,0)</f>
        <v/>
      </c>
      <c r="Z547" s="3">
        <f>IF(OR(F547=1),1,0)</f>
        <v/>
      </c>
      <c r="AA547" s="3">
        <f>IF(OR(M547=1),1,0)</f>
        <v/>
      </c>
    </row>
    <row r="548">
      <c r="A548" s="22" t="inlineStr">
        <is>
          <t>d3f2c7a9167879a9a97457f85d885c0be02b15c4</t>
        </is>
      </c>
      <c r="B548" s="22" t="inlineStr">
        <is>
          <t>2026-10</t>
        </is>
      </c>
      <c r="C548" s="22" t="inlineStr">
        <is>
          <t>Nairaland</t>
        </is>
      </c>
      <c r="D548" s="22" t="n">
        <v>0</v>
      </c>
      <c r="E548" s="22" t="inlineStr">
        <is>
          <t>Nairaland: Nairaland</t>
        </is>
      </c>
      <c r="F548" s="22" t="inlineStr">
        <is>
          <t>nairaland:Nairaland</t>
        </is>
      </c>
      <c r="G548" s="22" t="n">
        <v>-0.382</v>
      </c>
      <c r="H548" s="22" t="n">
        <v>1</v>
      </c>
      <c r="I548" s="22" t="n">
        <v>0</v>
      </c>
      <c r="J548" s="22" t="n">
        <v>0</v>
      </c>
      <c r="K548" s="22" t="n">
        <v>0</v>
      </c>
      <c r="L548" s="22" t="n">
        <v>0</v>
      </c>
      <c r="M548" s="22" t="n">
        <v>0</v>
      </c>
      <c r="N548" s="22" t="n">
        <v>0</v>
      </c>
      <c r="O548" s="22" t="n">
        <v>0</v>
      </c>
      <c r="P548" s="22" t="n">
        <v>0</v>
      </c>
      <c r="Q548" s="22" t="n">
        <v>0</v>
      </c>
      <c r="R548" s="22" t="n">
        <v>0</v>
      </c>
      <c r="S548" s="22" t="n">
        <v>0</v>
      </c>
      <c r="T548" s="22" t="n">
        <v>0</v>
      </c>
      <c r="U548" s="3">
        <f>IF(OR(N548=1,Q548=1),1,0)</f>
        <v/>
      </c>
      <c r="V548" s="3">
        <f>IF(OR(T548=1,P548=1),1,0)</f>
        <v/>
      </c>
      <c r="W548" s="3">
        <f>IF(OR(J548=1),1,0)</f>
        <v/>
      </c>
      <c r="X548" s="3">
        <f>IF(OR(I548=1,H548=1),1,0)</f>
        <v/>
      </c>
      <c r="Y548" s="3">
        <f>IF(OR(G548=1),1,0)</f>
        <v/>
      </c>
      <c r="Z548" s="3">
        <f>IF(OR(F548=1),1,0)</f>
        <v/>
      </c>
      <c r="AA548" s="3">
        <f>IF(OR(M548=1),1,0)</f>
        <v/>
      </c>
    </row>
    <row r="549">
      <c r="A549" s="22" t="inlineStr">
        <is>
          <t>61fc057ae73fca3460c68db45f6fffb1d56fbc2b</t>
        </is>
      </c>
      <c r="B549" s="22" t="inlineStr">
        <is>
          <t>2026-10</t>
        </is>
      </c>
      <c r="C549" s="22" t="inlineStr">
        <is>
          <t>Nairaland</t>
        </is>
      </c>
      <c r="D549" s="22" t="n">
        <v>0</v>
      </c>
      <c r="E549" s="22" t="inlineStr">
        <is>
          <t>Nairaland: Nairaland</t>
        </is>
      </c>
      <c r="F549" s="22" t="inlineStr">
        <is>
          <t>nairaland:Nairaland</t>
        </is>
      </c>
      <c r="G549" s="22" t="n">
        <v>0</v>
      </c>
      <c r="H549" s="22" t="n">
        <v>0</v>
      </c>
      <c r="I549" s="22" t="n">
        <v>1</v>
      </c>
      <c r="J549" s="22" t="n">
        <v>0</v>
      </c>
      <c r="K549" s="22" t="n">
        <v>0</v>
      </c>
      <c r="L549" s="22" t="n">
        <v>0</v>
      </c>
      <c r="M549" s="22" t="n">
        <v>0</v>
      </c>
      <c r="N549" s="22" t="n">
        <v>0</v>
      </c>
      <c r="O549" s="22" t="n">
        <v>0</v>
      </c>
      <c r="P549" s="22" t="n">
        <v>0</v>
      </c>
      <c r="Q549" s="22" t="n">
        <v>0</v>
      </c>
      <c r="R549" s="22" t="n">
        <v>0</v>
      </c>
      <c r="S549" s="22" t="n">
        <v>0</v>
      </c>
      <c r="T549" s="22" t="n">
        <v>0</v>
      </c>
      <c r="U549" s="3">
        <f>IF(OR(N549=1,Q549=1),1,0)</f>
        <v/>
      </c>
      <c r="V549" s="3">
        <f>IF(OR(T549=1,P549=1),1,0)</f>
        <v/>
      </c>
      <c r="W549" s="3">
        <f>IF(OR(J549=1),1,0)</f>
        <v/>
      </c>
      <c r="X549" s="3">
        <f>IF(OR(I549=1,H549=1),1,0)</f>
        <v/>
      </c>
      <c r="Y549" s="3">
        <f>IF(OR(G549=1),1,0)</f>
        <v/>
      </c>
      <c r="Z549" s="3">
        <f>IF(OR(F549=1),1,0)</f>
        <v/>
      </c>
      <c r="AA549" s="3">
        <f>IF(OR(M549=1),1,0)</f>
        <v/>
      </c>
    </row>
    <row r="550">
      <c r="A550" s="22" t="inlineStr">
        <is>
          <t>569f54bd75dc1ac827d7eb4ed42d975eedb280b9</t>
        </is>
      </c>
      <c r="B550" s="22" t="inlineStr">
        <is>
          <t>2026-10</t>
        </is>
      </c>
      <c r="C550" s="22" t="inlineStr">
        <is>
          <t>Nairaland</t>
        </is>
      </c>
      <c r="D550" s="22" t="n">
        <v>0</v>
      </c>
      <c r="E550" s="22" t="inlineStr">
        <is>
          <t>Nairaland: Nairaland</t>
        </is>
      </c>
      <c r="F550" s="22" t="inlineStr">
        <is>
          <t>nairaland:Nairaland</t>
        </is>
      </c>
      <c r="G550" s="22" t="n">
        <v>0</v>
      </c>
      <c r="H550" s="22" t="n">
        <v>0</v>
      </c>
      <c r="I550" s="22" t="n">
        <v>1</v>
      </c>
      <c r="J550" s="22" t="n">
        <v>0</v>
      </c>
      <c r="K550" s="22" t="n">
        <v>0</v>
      </c>
      <c r="L550" s="22" t="n">
        <v>0</v>
      </c>
      <c r="M550" s="22" t="n">
        <v>0</v>
      </c>
      <c r="N550" s="22" t="n">
        <v>0</v>
      </c>
      <c r="O550" s="22" t="n">
        <v>0</v>
      </c>
      <c r="P550" s="22" t="n">
        <v>0</v>
      </c>
      <c r="Q550" s="22" t="n">
        <v>0</v>
      </c>
      <c r="R550" s="22" t="n">
        <v>0</v>
      </c>
      <c r="S550" s="22" t="n">
        <v>0</v>
      </c>
      <c r="T550" s="22" t="n">
        <v>0</v>
      </c>
      <c r="U550" s="3">
        <f>IF(OR(N550=1,Q550=1),1,0)</f>
        <v/>
      </c>
      <c r="V550" s="3">
        <f>IF(OR(T550=1,P550=1),1,0)</f>
        <v/>
      </c>
      <c r="W550" s="3">
        <f>IF(OR(J550=1),1,0)</f>
        <v/>
      </c>
      <c r="X550" s="3">
        <f>IF(OR(I550=1,H550=1),1,0)</f>
        <v/>
      </c>
      <c r="Y550" s="3">
        <f>IF(OR(G550=1),1,0)</f>
        <v/>
      </c>
      <c r="Z550" s="3">
        <f>IF(OR(F550=1),1,0)</f>
        <v/>
      </c>
      <c r="AA550" s="3">
        <f>IF(OR(M550=1),1,0)</f>
        <v/>
      </c>
    </row>
    <row r="551">
      <c r="A551" s="22" t="inlineStr">
        <is>
          <t>7df42546b8e6e5cc4977cf9b2e9ba7f41fda5ea7</t>
        </is>
      </c>
      <c r="B551" s="22" t="inlineStr">
        <is>
          <t>2026-10</t>
        </is>
      </c>
      <c r="C551" s="22" t="inlineStr">
        <is>
          <t>Nairaland</t>
        </is>
      </c>
      <c r="D551" s="22" t="n">
        <v>0</v>
      </c>
      <c r="E551" s="22" t="inlineStr">
        <is>
          <t>Nairaland: Nairaland</t>
        </is>
      </c>
      <c r="F551" s="22" t="inlineStr">
        <is>
          <t>nairaland:Nairaland</t>
        </is>
      </c>
      <c r="G551" s="22" t="n">
        <v>-0.862</v>
      </c>
      <c r="H551" s="22" t="n">
        <v>0</v>
      </c>
      <c r="I551" s="22" t="n">
        <v>1</v>
      </c>
      <c r="J551" s="22" t="n">
        <v>0</v>
      </c>
      <c r="K551" s="22" t="n">
        <v>0</v>
      </c>
      <c r="L551" s="22" t="n">
        <v>0</v>
      </c>
      <c r="M551" s="22" t="n">
        <v>0</v>
      </c>
      <c r="N551" s="22" t="n">
        <v>0</v>
      </c>
      <c r="O551" s="22" t="n">
        <v>0</v>
      </c>
      <c r="P551" s="22" t="n">
        <v>0</v>
      </c>
      <c r="Q551" s="22" t="n">
        <v>0</v>
      </c>
      <c r="R551" s="22" t="n">
        <v>0</v>
      </c>
      <c r="S551" s="22" t="n">
        <v>0</v>
      </c>
      <c r="T551" s="22" t="n">
        <v>0</v>
      </c>
      <c r="U551" s="3">
        <f>IF(OR(N551=1,Q551=1),1,0)</f>
        <v/>
      </c>
      <c r="V551" s="3">
        <f>IF(OR(T551=1,P551=1),1,0)</f>
        <v/>
      </c>
      <c r="W551" s="3">
        <f>IF(OR(J551=1),1,0)</f>
        <v/>
      </c>
      <c r="X551" s="3">
        <f>IF(OR(I551=1,H551=1),1,0)</f>
        <v/>
      </c>
      <c r="Y551" s="3">
        <f>IF(OR(G551=1),1,0)</f>
        <v/>
      </c>
      <c r="Z551" s="3">
        <f>IF(OR(F551=1),1,0)</f>
        <v/>
      </c>
      <c r="AA551" s="3">
        <f>IF(OR(M551=1),1,0)</f>
        <v/>
      </c>
    </row>
    <row r="552">
      <c r="A552" s="22" t="inlineStr">
        <is>
          <t>3a6603c5283b98df60bc046304aff9d00f4f44a3</t>
        </is>
      </c>
      <c r="B552" s="22" t="inlineStr">
        <is>
          <t>2026-10</t>
        </is>
      </c>
      <c r="C552" s="22" t="inlineStr">
        <is>
          <t>Nairaland</t>
        </is>
      </c>
      <c r="D552" s="22" t="n">
        <v>0</v>
      </c>
      <c r="E552" s="22" t="inlineStr">
        <is>
          <t>Nairaland: Nairaland</t>
        </is>
      </c>
      <c r="F552" s="22" t="inlineStr">
        <is>
          <t>nairaland:Nairaland</t>
        </is>
      </c>
      <c r="G552" s="22" t="n">
        <v>-0.784</v>
      </c>
      <c r="H552" s="22" t="n">
        <v>0</v>
      </c>
      <c r="I552" s="22" t="n">
        <v>0</v>
      </c>
      <c r="J552" s="22" t="n">
        <v>0</v>
      </c>
      <c r="K552" s="22" t="n">
        <v>0</v>
      </c>
      <c r="L552" s="22" t="n">
        <v>0</v>
      </c>
      <c r="M552" s="22" t="n">
        <v>1</v>
      </c>
      <c r="N552" s="22" t="n">
        <v>0</v>
      </c>
      <c r="O552" s="22" t="n">
        <v>1</v>
      </c>
      <c r="P552" s="22" t="n">
        <v>0</v>
      </c>
      <c r="Q552" s="22" t="n">
        <v>0</v>
      </c>
      <c r="R552" s="22" t="n">
        <v>0</v>
      </c>
      <c r="S552" s="22" t="n">
        <v>0</v>
      </c>
      <c r="T552" s="22" t="n">
        <v>0</v>
      </c>
      <c r="U552" s="3">
        <f>IF(OR(N552=1,Q552=1),1,0)</f>
        <v/>
      </c>
      <c r="V552" s="3">
        <f>IF(OR(T552=1,P552=1),1,0)</f>
        <v/>
      </c>
      <c r="W552" s="3">
        <f>IF(OR(J552=1),1,0)</f>
        <v/>
      </c>
      <c r="X552" s="3">
        <f>IF(OR(I552=1,H552=1),1,0)</f>
        <v/>
      </c>
      <c r="Y552" s="3">
        <f>IF(OR(G552=1),1,0)</f>
        <v/>
      </c>
      <c r="Z552" s="3">
        <f>IF(OR(F552=1),1,0)</f>
        <v/>
      </c>
      <c r="AA552" s="3">
        <f>IF(OR(M552=1),1,0)</f>
        <v/>
      </c>
    </row>
    <row r="553">
      <c r="A553" s="22" t="inlineStr">
        <is>
          <t>b3409aaa9b6a72017aaef559f0785ccdfb6391cc</t>
        </is>
      </c>
      <c r="B553" s="22" t="inlineStr">
        <is>
          <t>2026-10</t>
        </is>
      </c>
      <c r="C553" s="22" t="inlineStr">
        <is>
          <t>Nairaland</t>
        </is>
      </c>
      <c r="D553" s="22" t="n">
        <v>0</v>
      </c>
      <c r="E553" s="22" t="inlineStr">
        <is>
          <t>Nairaland: Nairaland</t>
        </is>
      </c>
      <c r="F553" s="22" t="inlineStr">
        <is>
          <t>nairaland:Nairaland</t>
        </is>
      </c>
      <c r="G553" s="22" t="n">
        <v>-0.876</v>
      </c>
      <c r="H553" s="22" t="n">
        <v>0</v>
      </c>
      <c r="I553" s="22" t="n">
        <v>1</v>
      </c>
      <c r="J553" s="22" t="n">
        <v>0</v>
      </c>
      <c r="K553" s="22" t="n">
        <v>0</v>
      </c>
      <c r="L553" s="22" t="n">
        <v>0</v>
      </c>
      <c r="M553" s="22" t="n">
        <v>0</v>
      </c>
      <c r="N553" s="22" t="n">
        <v>0</v>
      </c>
      <c r="O553" s="22" t="n">
        <v>0</v>
      </c>
      <c r="P553" s="22" t="n">
        <v>0</v>
      </c>
      <c r="Q553" s="22" t="n">
        <v>0</v>
      </c>
      <c r="R553" s="22" t="n">
        <v>0</v>
      </c>
      <c r="S553" s="22" t="n">
        <v>0</v>
      </c>
      <c r="T553" s="22" t="n">
        <v>0</v>
      </c>
      <c r="U553" s="3">
        <f>IF(OR(N553=1,Q553=1),1,0)</f>
        <v/>
      </c>
      <c r="V553" s="3">
        <f>IF(OR(T553=1,P553=1),1,0)</f>
        <v/>
      </c>
      <c r="W553" s="3">
        <f>IF(OR(J553=1),1,0)</f>
        <v/>
      </c>
      <c r="X553" s="3">
        <f>IF(OR(I553=1,H553=1),1,0)</f>
        <v/>
      </c>
      <c r="Y553" s="3">
        <f>IF(OR(G553=1),1,0)</f>
        <v/>
      </c>
      <c r="Z553" s="3">
        <f>IF(OR(F553=1),1,0)</f>
        <v/>
      </c>
      <c r="AA553" s="3">
        <f>IF(OR(M553=1),1,0)</f>
        <v/>
      </c>
    </row>
    <row r="554">
      <c r="A554" s="22" t="inlineStr">
        <is>
          <t>8c45fdb0f35acd55d14f7c7f925c1f7068865fce</t>
        </is>
      </c>
      <c r="B554" s="22" t="inlineStr">
        <is>
          <t>2026-10</t>
        </is>
      </c>
      <c r="C554" s="22" t="inlineStr">
        <is>
          <t>Nairaland</t>
        </is>
      </c>
      <c r="D554" s="22" t="n">
        <v>0</v>
      </c>
      <c r="E554" s="22" t="inlineStr">
        <is>
          <t>Nairaland: Nairaland</t>
        </is>
      </c>
      <c r="F554" s="22" t="inlineStr">
        <is>
          <t>nairaland:Nairaland</t>
        </is>
      </c>
      <c r="G554" s="22" t="n">
        <v>-0.542</v>
      </c>
      <c r="H554" s="22" t="n">
        <v>1</v>
      </c>
      <c r="I554" s="22" t="n">
        <v>0</v>
      </c>
      <c r="J554" s="22" t="n">
        <v>0</v>
      </c>
      <c r="K554" s="22" t="n">
        <v>0</v>
      </c>
      <c r="L554" s="22" t="n">
        <v>0</v>
      </c>
      <c r="M554" s="22" t="n">
        <v>0</v>
      </c>
      <c r="N554" s="22" t="n">
        <v>0</v>
      </c>
      <c r="O554" s="22" t="n">
        <v>0</v>
      </c>
      <c r="P554" s="22" t="n">
        <v>0</v>
      </c>
      <c r="Q554" s="22" t="n">
        <v>0</v>
      </c>
      <c r="R554" s="22" t="n">
        <v>0</v>
      </c>
      <c r="S554" s="22" t="n">
        <v>0</v>
      </c>
      <c r="T554" s="22" t="n">
        <v>0</v>
      </c>
      <c r="U554" s="3">
        <f>IF(OR(N554=1,Q554=1),1,0)</f>
        <v/>
      </c>
      <c r="V554" s="3">
        <f>IF(OR(T554=1,P554=1),1,0)</f>
        <v/>
      </c>
      <c r="W554" s="3">
        <f>IF(OR(J554=1),1,0)</f>
        <v/>
      </c>
      <c r="X554" s="3">
        <f>IF(OR(I554=1,H554=1),1,0)</f>
        <v/>
      </c>
      <c r="Y554" s="3">
        <f>IF(OR(G554=1),1,0)</f>
        <v/>
      </c>
      <c r="Z554" s="3">
        <f>IF(OR(F554=1),1,0)</f>
        <v/>
      </c>
      <c r="AA554" s="3">
        <f>IF(OR(M554=1),1,0)</f>
        <v/>
      </c>
    </row>
    <row r="555">
      <c r="A555" s="22" t="inlineStr">
        <is>
          <t>ad1e0c544074eacdd9679f9c8b7f587b1ebc9b70</t>
        </is>
      </c>
      <c r="B555" s="22" t="inlineStr">
        <is>
          <t>2026-10</t>
        </is>
      </c>
      <c r="C555" s="22" t="inlineStr">
        <is>
          <t>Nairaland</t>
        </is>
      </c>
      <c r="D555" s="22" t="n">
        <v>0</v>
      </c>
      <c r="E555" s="22" t="inlineStr">
        <is>
          <t>Nairaland: Nairaland</t>
        </is>
      </c>
      <c r="F555" s="22" t="inlineStr">
        <is>
          <t>nairaland:Nairaland</t>
        </is>
      </c>
      <c r="G555" s="22" t="n">
        <v>-0.09</v>
      </c>
      <c r="H555" s="22" t="n">
        <v>1</v>
      </c>
      <c r="I555" s="22" t="n">
        <v>0</v>
      </c>
      <c r="J555" s="22" t="n">
        <v>0</v>
      </c>
      <c r="K555" s="22" t="n">
        <v>0</v>
      </c>
      <c r="L555" s="22" t="n">
        <v>0</v>
      </c>
      <c r="M555" s="22" t="n">
        <v>0</v>
      </c>
      <c r="N555" s="22" t="n">
        <v>0</v>
      </c>
      <c r="O555" s="22" t="n">
        <v>0</v>
      </c>
      <c r="P555" s="22" t="n">
        <v>0</v>
      </c>
      <c r="Q555" s="22" t="n">
        <v>0</v>
      </c>
      <c r="R555" s="22" t="n">
        <v>0</v>
      </c>
      <c r="S555" s="22" t="n">
        <v>0</v>
      </c>
      <c r="T555" s="22" t="n">
        <v>0</v>
      </c>
      <c r="U555" s="3">
        <f>IF(OR(N555=1,Q555=1),1,0)</f>
        <v/>
      </c>
      <c r="V555" s="3">
        <f>IF(OR(T555=1,P555=1),1,0)</f>
        <v/>
      </c>
      <c r="W555" s="3">
        <f>IF(OR(J555=1),1,0)</f>
        <v/>
      </c>
      <c r="X555" s="3">
        <f>IF(OR(I555=1,H555=1),1,0)</f>
        <v/>
      </c>
      <c r="Y555" s="3">
        <f>IF(OR(G555=1),1,0)</f>
        <v/>
      </c>
      <c r="Z555" s="3">
        <f>IF(OR(F555=1),1,0)</f>
        <v/>
      </c>
      <c r="AA555" s="3">
        <f>IF(OR(M555=1),1,0)</f>
        <v/>
      </c>
    </row>
    <row r="556">
      <c r="A556" s="22" t="inlineStr">
        <is>
          <t>40488ca23e70641e29f46ca37fd80935737b0384</t>
        </is>
      </c>
      <c r="B556" s="22" t="inlineStr">
        <is>
          <t>2026-10</t>
        </is>
      </c>
      <c r="C556" s="22" t="inlineStr">
        <is>
          <t>Nairaland</t>
        </is>
      </c>
      <c r="D556" s="22" t="n">
        <v>0</v>
      </c>
      <c r="E556" s="22" t="inlineStr">
        <is>
          <t>Nairaland: Nairaland</t>
        </is>
      </c>
      <c r="F556" s="22" t="inlineStr">
        <is>
          <t>nairaland:Nairaland</t>
        </is>
      </c>
      <c r="G556" s="22" t="n">
        <v>-0.84</v>
      </c>
      <c r="H556" s="22" t="n">
        <v>1</v>
      </c>
      <c r="I556" s="22" t="n">
        <v>0</v>
      </c>
      <c r="J556" s="22" t="n">
        <v>0</v>
      </c>
      <c r="K556" s="22" t="n">
        <v>0</v>
      </c>
      <c r="L556" s="22" t="n">
        <v>0</v>
      </c>
      <c r="M556" s="22" t="n">
        <v>0</v>
      </c>
      <c r="N556" s="22" t="n">
        <v>0</v>
      </c>
      <c r="O556" s="22" t="n">
        <v>0</v>
      </c>
      <c r="P556" s="22" t="n">
        <v>0</v>
      </c>
      <c r="Q556" s="22" t="n">
        <v>0</v>
      </c>
      <c r="R556" s="22" t="n">
        <v>0</v>
      </c>
      <c r="S556" s="22" t="n">
        <v>0</v>
      </c>
      <c r="T556" s="22" t="n">
        <v>0</v>
      </c>
      <c r="U556" s="3">
        <f>IF(OR(N556=1,Q556=1),1,0)</f>
        <v/>
      </c>
      <c r="V556" s="3">
        <f>IF(OR(T556=1,P556=1),1,0)</f>
        <v/>
      </c>
      <c r="W556" s="3">
        <f>IF(OR(J556=1),1,0)</f>
        <v/>
      </c>
      <c r="X556" s="3">
        <f>IF(OR(I556=1,H556=1),1,0)</f>
        <v/>
      </c>
      <c r="Y556" s="3">
        <f>IF(OR(G556=1),1,0)</f>
        <v/>
      </c>
      <c r="Z556" s="3">
        <f>IF(OR(F556=1),1,0)</f>
        <v/>
      </c>
      <c r="AA556" s="3">
        <f>IF(OR(M556=1),1,0)</f>
        <v/>
      </c>
    </row>
    <row r="557">
      <c r="A557" s="22" t="inlineStr">
        <is>
          <t>1a32a724e7172b608d05034cc2aa5f7cc52e5d5b</t>
        </is>
      </c>
      <c r="B557" s="22" t="inlineStr">
        <is>
          <t>2026-10</t>
        </is>
      </c>
      <c r="C557" s="22" t="inlineStr">
        <is>
          <t>Nairaland</t>
        </is>
      </c>
      <c r="D557" s="22" t="n">
        <v>0</v>
      </c>
      <c r="E557" s="22" t="inlineStr">
        <is>
          <t>Nairaland: Nairaland</t>
        </is>
      </c>
      <c r="F557" s="22" t="inlineStr">
        <is>
          <t>nairaland:Nairaland</t>
        </is>
      </c>
      <c r="G557" s="22" t="n">
        <v>0.66</v>
      </c>
      <c r="H557" s="22" t="n">
        <v>0</v>
      </c>
      <c r="I557" s="22" t="n">
        <v>1</v>
      </c>
      <c r="J557" s="22" t="n">
        <v>0</v>
      </c>
      <c r="K557" s="22" t="n">
        <v>0</v>
      </c>
      <c r="L557" s="22" t="n">
        <v>0</v>
      </c>
      <c r="M557" s="22" t="n">
        <v>0</v>
      </c>
      <c r="N557" s="22" t="n">
        <v>0</v>
      </c>
      <c r="O557" s="22" t="n">
        <v>1</v>
      </c>
      <c r="P557" s="22" t="n">
        <v>0</v>
      </c>
      <c r="Q557" s="22" t="n">
        <v>0</v>
      </c>
      <c r="R557" s="22" t="n">
        <v>0</v>
      </c>
      <c r="S557" s="22" t="n">
        <v>0</v>
      </c>
      <c r="T557" s="22" t="n">
        <v>0</v>
      </c>
      <c r="U557" s="3">
        <f>IF(OR(N557=1,Q557=1),1,0)</f>
        <v/>
      </c>
      <c r="V557" s="3">
        <f>IF(OR(T557=1,P557=1),1,0)</f>
        <v/>
      </c>
      <c r="W557" s="3">
        <f>IF(OR(J557=1),1,0)</f>
        <v/>
      </c>
      <c r="X557" s="3">
        <f>IF(OR(I557=1,H557=1),1,0)</f>
        <v/>
      </c>
      <c r="Y557" s="3">
        <f>IF(OR(G557=1),1,0)</f>
        <v/>
      </c>
      <c r="Z557" s="3">
        <f>IF(OR(F557=1),1,0)</f>
        <v/>
      </c>
      <c r="AA557" s="3">
        <f>IF(OR(M557=1),1,0)</f>
        <v/>
      </c>
    </row>
    <row r="558">
      <c r="A558" s="22" t="inlineStr">
        <is>
          <t>34356b1640abb5797029af9c6a992656b74f23f0</t>
        </is>
      </c>
      <c r="B558" s="22" t="inlineStr">
        <is>
          <t>2026-10</t>
        </is>
      </c>
      <c r="C558" s="22" t="inlineStr">
        <is>
          <t>Nairaland</t>
        </is>
      </c>
      <c r="D558" s="22" t="n">
        <v>0</v>
      </c>
      <c r="E558" s="22" t="inlineStr">
        <is>
          <t>Nairaland: Nairaland</t>
        </is>
      </c>
      <c r="F558" s="22" t="inlineStr">
        <is>
          <t>nairaland:Nairaland</t>
        </is>
      </c>
      <c r="G558" s="22" t="n">
        <v>-0.825</v>
      </c>
      <c r="H558" s="22" t="n">
        <v>1</v>
      </c>
      <c r="I558" s="22" t="n">
        <v>0</v>
      </c>
      <c r="J558" s="22" t="n">
        <v>0</v>
      </c>
      <c r="K558" s="22" t="n">
        <v>0</v>
      </c>
      <c r="L558" s="22" t="n">
        <v>0</v>
      </c>
      <c r="M558" s="22" t="n">
        <v>0</v>
      </c>
      <c r="N558" s="22" t="n">
        <v>0</v>
      </c>
      <c r="O558" s="22" t="n">
        <v>0</v>
      </c>
      <c r="P558" s="22" t="n">
        <v>0</v>
      </c>
      <c r="Q558" s="22" t="n">
        <v>0</v>
      </c>
      <c r="R558" s="22" t="n">
        <v>0</v>
      </c>
      <c r="S558" s="22" t="n">
        <v>0</v>
      </c>
      <c r="T558" s="22" t="n">
        <v>0</v>
      </c>
      <c r="U558" s="3">
        <f>IF(OR(N558=1,Q558=1),1,0)</f>
        <v/>
      </c>
      <c r="V558" s="3">
        <f>IF(OR(T558=1,P558=1),1,0)</f>
        <v/>
      </c>
      <c r="W558" s="3">
        <f>IF(OR(J558=1),1,0)</f>
        <v/>
      </c>
      <c r="X558" s="3">
        <f>IF(OR(I558=1,H558=1),1,0)</f>
        <v/>
      </c>
      <c r="Y558" s="3">
        <f>IF(OR(G558=1),1,0)</f>
        <v/>
      </c>
      <c r="Z558" s="3">
        <f>IF(OR(F558=1),1,0)</f>
        <v/>
      </c>
      <c r="AA558" s="3">
        <f>IF(OR(M558=1),1,0)</f>
        <v/>
      </c>
    </row>
    <row r="559">
      <c r="A559" s="22" t="inlineStr">
        <is>
          <t>b6b61d8bfdb52154d0aa4b075475b35324bd334f</t>
        </is>
      </c>
      <c r="B559" s="22" t="inlineStr">
        <is>
          <t>2026-10</t>
        </is>
      </c>
      <c r="C559" s="22" t="inlineStr">
        <is>
          <t>Nairaland</t>
        </is>
      </c>
      <c r="D559" s="22" t="n">
        <v>0</v>
      </c>
      <c r="E559" s="22" t="inlineStr">
        <is>
          <t>Nairaland: Nairaland</t>
        </is>
      </c>
      <c r="F559" s="22" t="inlineStr">
        <is>
          <t>nairaland:Nairaland</t>
        </is>
      </c>
      <c r="G559" s="22" t="n">
        <v>-0.924</v>
      </c>
      <c r="H559" s="22" t="n">
        <v>1</v>
      </c>
      <c r="I559" s="22" t="n">
        <v>0</v>
      </c>
      <c r="J559" s="22" t="n">
        <v>0</v>
      </c>
      <c r="K559" s="22" t="n">
        <v>0</v>
      </c>
      <c r="L559" s="22" t="n">
        <v>0</v>
      </c>
      <c r="M559" s="22" t="n">
        <v>0</v>
      </c>
      <c r="N559" s="22" t="n">
        <v>0</v>
      </c>
      <c r="O559" s="22" t="n">
        <v>0</v>
      </c>
      <c r="P559" s="22" t="n">
        <v>0</v>
      </c>
      <c r="Q559" s="22" t="n">
        <v>0</v>
      </c>
      <c r="R559" s="22" t="n">
        <v>0</v>
      </c>
      <c r="S559" s="22" t="n">
        <v>0</v>
      </c>
      <c r="T559" s="22" t="n">
        <v>0</v>
      </c>
      <c r="U559" s="3">
        <f>IF(OR(N559=1,Q559=1),1,0)</f>
        <v/>
      </c>
      <c r="V559" s="3">
        <f>IF(OR(T559=1,P559=1),1,0)</f>
        <v/>
      </c>
      <c r="W559" s="3">
        <f>IF(OR(J559=1),1,0)</f>
        <v/>
      </c>
      <c r="X559" s="3">
        <f>IF(OR(I559=1,H559=1),1,0)</f>
        <v/>
      </c>
      <c r="Y559" s="3">
        <f>IF(OR(G559=1),1,0)</f>
        <v/>
      </c>
      <c r="Z559" s="3">
        <f>IF(OR(F559=1),1,0)</f>
        <v/>
      </c>
      <c r="AA559" s="3">
        <f>IF(OR(M559=1),1,0)</f>
        <v/>
      </c>
    </row>
    <row r="560">
      <c r="A560" s="22" t="inlineStr">
        <is>
          <t>8e24df76f870433d3db66106217c2d70b7cd7b16</t>
        </is>
      </c>
      <c r="B560" s="22" t="inlineStr">
        <is>
          <t>2026-10</t>
        </is>
      </c>
      <c r="C560" s="22" t="inlineStr">
        <is>
          <t>Nairaland</t>
        </is>
      </c>
      <c r="D560" s="22" t="n">
        <v>0</v>
      </c>
      <c r="E560" s="22" t="inlineStr">
        <is>
          <t>Nairaland: Nairaland</t>
        </is>
      </c>
      <c r="F560" s="22" t="inlineStr">
        <is>
          <t>nairaland:Nairaland</t>
        </is>
      </c>
      <c r="G560" s="22" t="n">
        <v>0.6860000000000001</v>
      </c>
      <c r="H560" s="22" t="n">
        <v>0</v>
      </c>
      <c r="I560" s="22" t="n">
        <v>0</v>
      </c>
      <c r="J560" s="22" t="n">
        <v>0</v>
      </c>
      <c r="K560" s="22" t="n">
        <v>1</v>
      </c>
      <c r="L560" s="22" t="n">
        <v>0</v>
      </c>
      <c r="M560" s="22" t="n">
        <v>0</v>
      </c>
      <c r="N560" s="22" t="n">
        <v>0</v>
      </c>
      <c r="O560" s="22" t="n">
        <v>0</v>
      </c>
      <c r="P560" s="22" t="n">
        <v>0</v>
      </c>
      <c r="Q560" s="22" t="n">
        <v>0</v>
      </c>
      <c r="R560" s="22" t="n">
        <v>0</v>
      </c>
      <c r="S560" s="22" t="n">
        <v>0</v>
      </c>
      <c r="T560" s="22" t="n">
        <v>0</v>
      </c>
      <c r="U560" s="3">
        <f>IF(OR(N560=1,Q560=1),1,0)</f>
        <v/>
      </c>
      <c r="V560" s="3">
        <f>IF(OR(T560=1,P560=1),1,0)</f>
        <v/>
      </c>
      <c r="W560" s="3">
        <f>IF(OR(J560=1),1,0)</f>
        <v/>
      </c>
      <c r="X560" s="3">
        <f>IF(OR(I560=1,H560=1),1,0)</f>
        <v/>
      </c>
      <c r="Y560" s="3">
        <f>IF(OR(G560=1),1,0)</f>
        <v/>
      </c>
      <c r="Z560" s="3">
        <f>IF(OR(F560=1),1,0)</f>
        <v/>
      </c>
      <c r="AA560" s="3">
        <f>IF(OR(M560=1),1,0)</f>
        <v/>
      </c>
    </row>
    <row r="561">
      <c r="A561" s="22" t="inlineStr">
        <is>
          <t>7c65c4c288aec1eabb5489f7bf131dd0ee940cdf</t>
        </is>
      </c>
      <c r="B561" s="22" t="inlineStr">
        <is>
          <t>2026-10</t>
        </is>
      </c>
      <c r="C561" s="22" t="inlineStr">
        <is>
          <t>Nairaland</t>
        </is>
      </c>
      <c r="D561" s="22" t="n">
        <v>0</v>
      </c>
      <c r="E561" s="22" t="inlineStr">
        <is>
          <t>Nairaland: Nairaland</t>
        </is>
      </c>
      <c r="F561" s="22" t="inlineStr">
        <is>
          <t>nairaland:Nairaland</t>
        </is>
      </c>
      <c r="G561" s="22" t="n">
        <v>0.422</v>
      </c>
      <c r="H561" s="22" t="n">
        <v>1</v>
      </c>
      <c r="I561" s="22" t="n">
        <v>0</v>
      </c>
      <c r="J561" s="22" t="n">
        <v>0</v>
      </c>
      <c r="K561" s="22" t="n">
        <v>0</v>
      </c>
      <c r="L561" s="22" t="n">
        <v>0</v>
      </c>
      <c r="M561" s="22" t="n">
        <v>0</v>
      </c>
      <c r="N561" s="22" t="n">
        <v>0</v>
      </c>
      <c r="O561" s="22" t="n">
        <v>0</v>
      </c>
      <c r="P561" s="22" t="n">
        <v>0</v>
      </c>
      <c r="Q561" s="22" t="n">
        <v>0</v>
      </c>
      <c r="R561" s="22" t="n">
        <v>0</v>
      </c>
      <c r="S561" s="22" t="n">
        <v>0</v>
      </c>
      <c r="T561" s="22" t="n">
        <v>0</v>
      </c>
      <c r="U561" s="3">
        <f>IF(OR(N561=1,Q561=1),1,0)</f>
        <v/>
      </c>
      <c r="V561" s="3">
        <f>IF(OR(T561=1,P561=1),1,0)</f>
        <v/>
      </c>
      <c r="W561" s="3">
        <f>IF(OR(J561=1),1,0)</f>
        <v/>
      </c>
      <c r="X561" s="3">
        <f>IF(OR(I561=1,H561=1),1,0)</f>
        <v/>
      </c>
      <c r="Y561" s="3">
        <f>IF(OR(G561=1),1,0)</f>
        <v/>
      </c>
      <c r="Z561" s="3">
        <f>IF(OR(F561=1),1,0)</f>
        <v/>
      </c>
      <c r="AA561" s="3">
        <f>IF(OR(M561=1),1,0)</f>
        <v/>
      </c>
    </row>
    <row r="562">
      <c r="A562" s="22" t="inlineStr">
        <is>
          <t>846ef159c95a921c8d42dd34fdefbc9908439e76</t>
        </is>
      </c>
      <c r="B562" s="22" t="inlineStr">
        <is>
          <t>2026-10</t>
        </is>
      </c>
      <c r="C562" s="22" t="inlineStr">
        <is>
          <t>Nairaland</t>
        </is>
      </c>
      <c r="D562" s="22" t="n">
        <v>0</v>
      </c>
      <c r="E562" s="22" t="inlineStr">
        <is>
          <t>Nairaland: Nairaland</t>
        </is>
      </c>
      <c r="F562" s="22" t="inlineStr">
        <is>
          <t>nairaland:Nairaland</t>
        </is>
      </c>
      <c r="G562" s="22" t="n">
        <v>0.091</v>
      </c>
      <c r="H562" s="22" t="n">
        <v>1</v>
      </c>
      <c r="I562" s="22" t="n">
        <v>0</v>
      </c>
      <c r="J562" s="22" t="n">
        <v>0</v>
      </c>
      <c r="K562" s="22" t="n">
        <v>0</v>
      </c>
      <c r="L562" s="22" t="n">
        <v>0</v>
      </c>
      <c r="M562" s="22" t="n">
        <v>0</v>
      </c>
      <c r="N562" s="22" t="n">
        <v>0</v>
      </c>
      <c r="O562" s="22" t="n">
        <v>0</v>
      </c>
      <c r="P562" s="22" t="n">
        <v>0</v>
      </c>
      <c r="Q562" s="22" t="n">
        <v>0</v>
      </c>
      <c r="R562" s="22" t="n">
        <v>0</v>
      </c>
      <c r="S562" s="22" t="n">
        <v>0</v>
      </c>
      <c r="T562" s="22" t="n">
        <v>0</v>
      </c>
      <c r="U562" s="3">
        <f>IF(OR(N562=1,Q562=1),1,0)</f>
        <v/>
      </c>
      <c r="V562" s="3">
        <f>IF(OR(T562=1,P562=1),1,0)</f>
        <v/>
      </c>
      <c r="W562" s="3">
        <f>IF(OR(J562=1),1,0)</f>
        <v/>
      </c>
      <c r="X562" s="3">
        <f>IF(OR(I562=1,H562=1),1,0)</f>
        <v/>
      </c>
      <c r="Y562" s="3">
        <f>IF(OR(G562=1),1,0)</f>
        <v/>
      </c>
      <c r="Z562" s="3">
        <f>IF(OR(F562=1),1,0)</f>
        <v/>
      </c>
      <c r="AA562" s="3">
        <f>IF(OR(M562=1),1,0)</f>
        <v/>
      </c>
    </row>
    <row r="563">
      <c r="A563" s="22" t="inlineStr">
        <is>
          <t>1f08dbee091c0bb2c1a8cd7edf96acc58da4cb14</t>
        </is>
      </c>
      <c r="B563" s="22" t="inlineStr">
        <is>
          <t>2026-10</t>
        </is>
      </c>
      <c r="C563" s="22" t="inlineStr">
        <is>
          <t>Nairaland</t>
        </is>
      </c>
      <c r="D563" s="22" t="n">
        <v>0</v>
      </c>
      <c r="E563" s="22" t="inlineStr">
        <is>
          <t>Nairaland: Nairaland</t>
        </is>
      </c>
      <c r="F563" s="22" t="inlineStr">
        <is>
          <t>nairaland:Nairaland</t>
        </is>
      </c>
      <c r="G563" s="22" t="n">
        <v>-0.9</v>
      </c>
      <c r="H563" s="22" t="n">
        <v>1</v>
      </c>
      <c r="I563" s="22" t="n">
        <v>0</v>
      </c>
      <c r="J563" s="22" t="n">
        <v>0</v>
      </c>
      <c r="K563" s="22" t="n">
        <v>0</v>
      </c>
      <c r="L563" s="22" t="n">
        <v>0</v>
      </c>
      <c r="M563" s="22" t="n">
        <v>0</v>
      </c>
      <c r="N563" s="22" t="n">
        <v>0</v>
      </c>
      <c r="O563" s="22" t="n">
        <v>0</v>
      </c>
      <c r="P563" s="22" t="n">
        <v>0</v>
      </c>
      <c r="Q563" s="22" t="n">
        <v>0</v>
      </c>
      <c r="R563" s="22" t="n">
        <v>0</v>
      </c>
      <c r="S563" s="22" t="n">
        <v>0</v>
      </c>
      <c r="T563" s="22" t="n">
        <v>0</v>
      </c>
      <c r="U563" s="3">
        <f>IF(OR(N563=1,Q563=1),1,0)</f>
        <v/>
      </c>
      <c r="V563" s="3">
        <f>IF(OR(T563=1,P563=1),1,0)</f>
        <v/>
      </c>
      <c r="W563" s="3">
        <f>IF(OR(J563=1),1,0)</f>
        <v/>
      </c>
      <c r="X563" s="3">
        <f>IF(OR(I563=1,H563=1),1,0)</f>
        <v/>
      </c>
      <c r="Y563" s="3">
        <f>IF(OR(G563=1),1,0)</f>
        <v/>
      </c>
      <c r="Z563" s="3">
        <f>IF(OR(F563=1),1,0)</f>
        <v/>
      </c>
      <c r="AA563" s="3">
        <f>IF(OR(M563=1),1,0)</f>
        <v/>
      </c>
    </row>
    <row r="564">
      <c r="A564" s="22" t="inlineStr">
        <is>
          <t>4efa47b89cfe8e8983e2b1d05e8c411026c8d0dc</t>
        </is>
      </c>
      <c r="B564" s="22" t="inlineStr">
        <is>
          <t>2026-10</t>
        </is>
      </c>
      <c r="C564" s="22" t="inlineStr">
        <is>
          <t>Nairaland</t>
        </is>
      </c>
      <c r="D564" s="22" t="n">
        <v>0</v>
      </c>
      <c r="E564" s="22" t="inlineStr">
        <is>
          <t>Nairaland: Nairaland</t>
        </is>
      </c>
      <c r="F564" s="22" t="inlineStr">
        <is>
          <t>nairaland:Nairaland</t>
        </is>
      </c>
      <c r="G564" s="22" t="n">
        <v>-0.637</v>
      </c>
      <c r="H564" s="22" t="n">
        <v>0</v>
      </c>
      <c r="I564" s="22" t="n">
        <v>0</v>
      </c>
      <c r="J564" s="22" t="n">
        <v>0</v>
      </c>
      <c r="K564" s="22" t="n">
        <v>0</v>
      </c>
      <c r="L564" s="22" t="n">
        <v>0</v>
      </c>
      <c r="M564" s="22" t="n">
        <v>0</v>
      </c>
      <c r="N564" s="22" t="n">
        <v>0</v>
      </c>
      <c r="O564" s="22" t="n">
        <v>0</v>
      </c>
      <c r="P564" s="22" t="n">
        <v>0</v>
      </c>
      <c r="Q564" s="22" t="n">
        <v>1</v>
      </c>
      <c r="R564" s="22" t="n">
        <v>0</v>
      </c>
      <c r="S564" s="22" t="n">
        <v>0</v>
      </c>
      <c r="T564" s="22" t="n">
        <v>0</v>
      </c>
      <c r="U564" s="3">
        <f>IF(OR(N564=1,Q564=1),1,0)</f>
        <v/>
      </c>
      <c r="V564" s="3">
        <f>IF(OR(T564=1,P564=1),1,0)</f>
        <v/>
      </c>
      <c r="W564" s="3">
        <f>IF(OR(J564=1),1,0)</f>
        <v/>
      </c>
      <c r="X564" s="3">
        <f>IF(OR(I564=1,H564=1),1,0)</f>
        <v/>
      </c>
      <c r="Y564" s="3">
        <f>IF(OR(G564=1),1,0)</f>
        <v/>
      </c>
      <c r="Z564" s="3">
        <f>IF(OR(F564=1),1,0)</f>
        <v/>
      </c>
      <c r="AA564" s="3">
        <f>IF(OR(M564=1),1,0)</f>
        <v/>
      </c>
    </row>
    <row r="565">
      <c r="A565" s="22" t="inlineStr">
        <is>
          <t>dade33ee1ab05cd5e0d0c147b06792453cad3f0b</t>
        </is>
      </c>
      <c r="B565" s="22" t="inlineStr">
        <is>
          <t>2026-10</t>
        </is>
      </c>
      <c r="C565" s="22" t="inlineStr">
        <is>
          <t>Nairaland</t>
        </is>
      </c>
      <c r="D565" s="22" t="n">
        <v>0</v>
      </c>
      <c r="E565" s="22" t="inlineStr">
        <is>
          <t>Nairaland: Nairaland</t>
        </is>
      </c>
      <c r="F565" s="22" t="inlineStr">
        <is>
          <t>nairaland:Nairaland</t>
        </is>
      </c>
      <c r="G565" s="22" t="n">
        <v>0.403</v>
      </c>
      <c r="H565" s="22" t="n">
        <v>0</v>
      </c>
      <c r="I565" s="22" t="n">
        <v>0</v>
      </c>
      <c r="J565" s="22" t="n">
        <v>0</v>
      </c>
      <c r="K565" s="22" t="n">
        <v>0</v>
      </c>
      <c r="L565" s="22" t="n">
        <v>0</v>
      </c>
      <c r="M565" s="22" t="n">
        <v>0</v>
      </c>
      <c r="N565" s="22" t="n">
        <v>1</v>
      </c>
      <c r="O565" s="22" t="n">
        <v>1</v>
      </c>
      <c r="P565" s="22" t="n">
        <v>0</v>
      </c>
      <c r="Q565" s="22" t="n">
        <v>0</v>
      </c>
      <c r="R565" s="22" t="n">
        <v>0</v>
      </c>
      <c r="S565" s="22" t="n">
        <v>0</v>
      </c>
      <c r="T565" s="22" t="n">
        <v>0</v>
      </c>
      <c r="U565" s="3">
        <f>IF(OR(N565=1,Q565=1),1,0)</f>
        <v/>
      </c>
      <c r="V565" s="3">
        <f>IF(OR(T565=1,P565=1),1,0)</f>
        <v/>
      </c>
      <c r="W565" s="3">
        <f>IF(OR(J565=1),1,0)</f>
        <v/>
      </c>
      <c r="X565" s="3">
        <f>IF(OR(I565=1,H565=1),1,0)</f>
        <v/>
      </c>
      <c r="Y565" s="3">
        <f>IF(OR(G565=1),1,0)</f>
        <v/>
      </c>
      <c r="Z565" s="3">
        <f>IF(OR(F565=1),1,0)</f>
        <v/>
      </c>
      <c r="AA565" s="3">
        <f>IF(OR(M565=1),1,0)</f>
        <v/>
      </c>
    </row>
    <row r="566">
      <c r="A566" s="22" t="inlineStr">
        <is>
          <t>fd681d58425bae91373e56846ba649a7b11eb434</t>
        </is>
      </c>
      <c r="B566" s="22" t="inlineStr">
        <is>
          <t>2026-10</t>
        </is>
      </c>
      <c r="C566" s="22" t="inlineStr">
        <is>
          <t>Nairaland</t>
        </is>
      </c>
      <c r="D566" s="22" t="n">
        <v>0</v>
      </c>
      <c r="E566" s="22" t="inlineStr">
        <is>
          <t>Nairaland: Nairaland</t>
        </is>
      </c>
      <c r="F566" s="22" t="inlineStr">
        <is>
          <t>nairaland:Nairaland</t>
        </is>
      </c>
      <c r="G566" s="22" t="n">
        <v>-0.36</v>
      </c>
      <c r="H566" s="22" t="n">
        <v>0</v>
      </c>
      <c r="I566" s="22" t="n">
        <v>1</v>
      </c>
      <c r="J566" s="22" t="n">
        <v>0</v>
      </c>
      <c r="K566" s="22" t="n">
        <v>0</v>
      </c>
      <c r="L566" s="22" t="n">
        <v>0</v>
      </c>
      <c r="M566" s="22" t="n">
        <v>0</v>
      </c>
      <c r="N566" s="22" t="n">
        <v>0</v>
      </c>
      <c r="O566" s="22" t="n">
        <v>0</v>
      </c>
      <c r="P566" s="22" t="n">
        <v>0</v>
      </c>
      <c r="Q566" s="22" t="n">
        <v>0</v>
      </c>
      <c r="R566" s="22" t="n">
        <v>0</v>
      </c>
      <c r="S566" s="22" t="n">
        <v>0</v>
      </c>
      <c r="T566" s="22" t="n">
        <v>0</v>
      </c>
      <c r="U566" s="3">
        <f>IF(OR(N566=1,Q566=1),1,0)</f>
        <v/>
      </c>
      <c r="V566" s="3">
        <f>IF(OR(T566=1,P566=1),1,0)</f>
        <v/>
      </c>
      <c r="W566" s="3">
        <f>IF(OR(J566=1),1,0)</f>
        <v/>
      </c>
      <c r="X566" s="3">
        <f>IF(OR(I566=1,H566=1),1,0)</f>
        <v/>
      </c>
      <c r="Y566" s="3">
        <f>IF(OR(G566=1),1,0)</f>
        <v/>
      </c>
      <c r="Z566" s="3">
        <f>IF(OR(F566=1),1,0)</f>
        <v/>
      </c>
      <c r="AA566" s="3">
        <f>IF(OR(M566=1),1,0)</f>
        <v/>
      </c>
    </row>
    <row r="567">
      <c r="A567" s="22" t="inlineStr">
        <is>
          <t>8f5783909ebdfc9ed99f0acb120ca20786a719d8</t>
        </is>
      </c>
      <c r="B567" s="22" t="inlineStr">
        <is>
          <t>2026-10</t>
        </is>
      </c>
      <c r="C567" s="22" t="inlineStr">
        <is>
          <t>Nairaland</t>
        </is>
      </c>
      <c r="D567" s="22" t="n">
        <v>0</v>
      </c>
      <c r="E567" s="22" t="inlineStr">
        <is>
          <t>Nairaland: Nairaland</t>
        </is>
      </c>
      <c r="F567" s="22" t="inlineStr">
        <is>
          <t>nairaland:Nairaland</t>
        </is>
      </c>
      <c r="G567" s="22" t="n">
        <v>-0.542</v>
      </c>
      <c r="H567" s="22" t="n">
        <v>1</v>
      </c>
      <c r="I567" s="22" t="n">
        <v>0</v>
      </c>
      <c r="J567" s="22" t="n">
        <v>0</v>
      </c>
      <c r="K567" s="22" t="n">
        <v>0</v>
      </c>
      <c r="L567" s="22" t="n">
        <v>0</v>
      </c>
      <c r="M567" s="22" t="n">
        <v>0</v>
      </c>
      <c r="N567" s="22" t="n">
        <v>0</v>
      </c>
      <c r="O567" s="22" t="n">
        <v>0</v>
      </c>
      <c r="P567" s="22" t="n">
        <v>0</v>
      </c>
      <c r="Q567" s="22" t="n">
        <v>0</v>
      </c>
      <c r="R567" s="22" t="n">
        <v>0</v>
      </c>
      <c r="S567" s="22" t="n">
        <v>0</v>
      </c>
      <c r="T567" s="22" t="n">
        <v>0</v>
      </c>
      <c r="U567" s="3">
        <f>IF(OR(N567=1,Q567=1),1,0)</f>
        <v/>
      </c>
      <c r="V567" s="3">
        <f>IF(OR(T567=1,P567=1),1,0)</f>
        <v/>
      </c>
      <c r="W567" s="3">
        <f>IF(OR(J567=1),1,0)</f>
        <v/>
      </c>
      <c r="X567" s="3">
        <f>IF(OR(I567=1,H567=1),1,0)</f>
        <v/>
      </c>
      <c r="Y567" s="3">
        <f>IF(OR(G567=1),1,0)</f>
        <v/>
      </c>
      <c r="Z567" s="3">
        <f>IF(OR(F567=1),1,0)</f>
        <v/>
      </c>
      <c r="AA567" s="3">
        <f>IF(OR(M567=1),1,0)</f>
        <v/>
      </c>
    </row>
    <row r="568">
      <c r="A568" s="22" t="inlineStr">
        <is>
          <t>7da1a28b6fae4ad0fcaeb85dbf90ea8079bc77f6</t>
        </is>
      </c>
      <c r="B568" s="22" t="inlineStr">
        <is>
          <t>2026-10</t>
        </is>
      </c>
      <c r="C568" s="22" t="inlineStr">
        <is>
          <t>Nairaland</t>
        </is>
      </c>
      <c r="D568" s="22" t="n">
        <v>0</v>
      </c>
      <c r="E568" s="22" t="inlineStr">
        <is>
          <t>Nairaland: Nairaland</t>
        </is>
      </c>
      <c r="F568" s="22" t="inlineStr">
        <is>
          <t>nairaland:Nairaland</t>
        </is>
      </c>
      <c r="G568" s="22" t="n">
        <v>0.973</v>
      </c>
      <c r="H568" s="22" t="n">
        <v>0</v>
      </c>
      <c r="I568" s="22" t="n">
        <v>1</v>
      </c>
      <c r="J568" s="22" t="n">
        <v>0</v>
      </c>
      <c r="K568" s="22" t="n">
        <v>0</v>
      </c>
      <c r="L568" s="22" t="n">
        <v>0</v>
      </c>
      <c r="M568" s="22" t="n">
        <v>0</v>
      </c>
      <c r="N568" s="22" t="n">
        <v>0</v>
      </c>
      <c r="O568" s="22" t="n">
        <v>0</v>
      </c>
      <c r="P568" s="22" t="n">
        <v>0</v>
      </c>
      <c r="Q568" s="22" t="n">
        <v>0</v>
      </c>
      <c r="R568" s="22" t="n">
        <v>0</v>
      </c>
      <c r="S568" s="22" t="n">
        <v>0</v>
      </c>
      <c r="T568" s="22" t="n">
        <v>0</v>
      </c>
      <c r="U568" s="3">
        <f>IF(OR(N568=1,Q568=1),1,0)</f>
        <v/>
      </c>
      <c r="V568" s="3">
        <f>IF(OR(T568=1,P568=1),1,0)</f>
        <v/>
      </c>
      <c r="W568" s="3">
        <f>IF(OR(J568=1),1,0)</f>
        <v/>
      </c>
      <c r="X568" s="3">
        <f>IF(OR(I568=1,H568=1),1,0)</f>
        <v/>
      </c>
      <c r="Y568" s="3">
        <f>IF(OR(G568=1),1,0)</f>
        <v/>
      </c>
      <c r="Z568" s="3">
        <f>IF(OR(F568=1),1,0)</f>
        <v/>
      </c>
      <c r="AA568" s="3">
        <f>IF(OR(M568=1),1,0)</f>
        <v/>
      </c>
    </row>
    <row r="569">
      <c r="A569" s="22" t="inlineStr">
        <is>
          <t>5e8f72c44647e90aa673d14b2861683c449be608</t>
        </is>
      </c>
      <c r="B569" s="22" t="inlineStr">
        <is>
          <t>2026-10</t>
        </is>
      </c>
      <c r="C569" s="22" t="inlineStr">
        <is>
          <t>Nairaland</t>
        </is>
      </c>
      <c r="D569" s="22" t="n">
        <v>0</v>
      </c>
      <c r="E569" s="22" t="inlineStr">
        <is>
          <t>Nairaland: Nairaland</t>
        </is>
      </c>
      <c r="F569" s="22" t="inlineStr">
        <is>
          <t>nairaland:Nairaland</t>
        </is>
      </c>
      <c r="G569" s="22" t="n">
        <v>0.389</v>
      </c>
      <c r="H569" s="22" t="n">
        <v>0</v>
      </c>
      <c r="I569" s="22" t="n">
        <v>0</v>
      </c>
      <c r="J569" s="22" t="n">
        <v>0</v>
      </c>
      <c r="K569" s="22" t="n">
        <v>0</v>
      </c>
      <c r="L569" s="22" t="n">
        <v>0</v>
      </c>
      <c r="M569" s="22" t="n">
        <v>0</v>
      </c>
      <c r="N569" s="22" t="n">
        <v>0</v>
      </c>
      <c r="O569" s="22" t="n">
        <v>0</v>
      </c>
      <c r="P569" s="22" t="n">
        <v>0</v>
      </c>
      <c r="Q569" s="22" t="n">
        <v>1</v>
      </c>
      <c r="R569" s="22" t="n">
        <v>0</v>
      </c>
      <c r="S569" s="22" t="n">
        <v>0</v>
      </c>
      <c r="T569" s="22" t="n">
        <v>0</v>
      </c>
      <c r="U569" s="3">
        <f>IF(OR(N569=1,Q569=1),1,0)</f>
        <v/>
      </c>
      <c r="V569" s="3">
        <f>IF(OR(T569=1,P569=1),1,0)</f>
        <v/>
      </c>
      <c r="W569" s="3">
        <f>IF(OR(J569=1),1,0)</f>
        <v/>
      </c>
      <c r="X569" s="3">
        <f>IF(OR(I569=1,H569=1),1,0)</f>
        <v/>
      </c>
      <c r="Y569" s="3">
        <f>IF(OR(G569=1),1,0)</f>
        <v/>
      </c>
      <c r="Z569" s="3">
        <f>IF(OR(F569=1),1,0)</f>
        <v/>
      </c>
      <c r="AA569" s="3">
        <f>IF(OR(M569=1),1,0)</f>
        <v/>
      </c>
    </row>
    <row r="570">
      <c r="A570" s="22" t="inlineStr">
        <is>
          <t>0b662db9069416967a32daf11169c61c1d88fa1e</t>
        </is>
      </c>
      <c r="B570" s="22" t="inlineStr">
        <is>
          <t>2026-10</t>
        </is>
      </c>
      <c r="C570" s="22" t="inlineStr">
        <is>
          <t>X</t>
        </is>
      </c>
      <c r="D570" s="22" t="n">
        <v>1</v>
      </c>
      <c r="E570" s="22" t="inlineStr">
        <is>
          <t>X: X search: electronic transmission results</t>
        </is>
      </c>
      <c r="F570" s="22" t="inlineStr">
        <is>
          <t>x:X search: electronic transmission results</t>
        </is>
      </c>
      <c r="G570" s="22" t="n">
        <v>-0.793</v>
      </c>
      <c r="H570" s="22" t="n">
        <v>0</v>
      </c>
      <c r="I570" s="22" t="n">
        <v>1</v>
      </c>
      <c r="J570" s="22" t="n">
        <v>0</v>
      </c>
      <c r="K570" s="22" t="n">
        <v>0</v>
      </c>
      <c r="L570" s="22" t="n">
        <v>0</v>
      </c>
      <c r="M570" s="22" t="n">
        <v>0</v>
      </c>
      <c r="N570" s="22" t="n">
        <v>0</v>
      </c>
      <c r="O570" s="22" t="n">
        <v>0</v>
      </c>
      <c r="P570" s="22" t="n">
        <v>0</v>
      </c>
      <c r="Q570" s="22" t="n">
        <v>0</v>
      </c>
      <c r="R570" s="22" t="n">
        <v>0</v>
      </c>
      <c r="S570" s="22" t="n">
        <v>0</v>
      </c>
      <c r="T570" s="22" t="n">
        <v>0</v>
      </c>
      <c r="U570" s="3">
        <f>IF(OR(N570=1,Q570=1),1,0)</f>
        <v/>
      </c>
      <c r="V570" s="3">
        <f>IF(OR(T570=1,P570=1),1,0)</f>
        <v/>
      </c>
      <c r="W570" s="3">
        <f>IF(OR(J570=1),1,0)</f>
        <v/>
      </c>
      <c r="X570" s="3">
        <f>IF(OR(I570=1,H570=1),1,0)</f>
        <v/>
      </c>
      <c r="Y570" s="3">
        <f>IF(OR(G570=1),1,0)</f>
        <v/>
      </c>
      <c r="Z570" s="3">
        <f>IF(OR(F570=1),1,0)</f>
        <v/>
      </c>
      <c r="AA570" s="3">
        <f>IF(OR(M570=1),1,0)</f>
        <v/>
      </c>
    </row>
    <row r="571">
      <c r="A571" s="22" t="inlineStr">
        <is>
          <t>3dc7b4df92aedceceab5df9acd0565ce37f819ed</t>
        </is>
      </c>
      <c r="B571" s="22" t="inlineStr">
        <is>
          <t>2026-10</t>
        </is>
      </c>
      <c r="C571" s="22" t="inlineStr">
        <is>
          <t>X</t>
        </is>
      </c>
      <c r="D571" s="22" t="n">
        <v>1</v>
      </c>
      <c r="E571" s="22" t="inlineStr">
        <is>
          <t>X: X search: electronic transmission results</t>
        </is>
      </c>
      <c r="F571" s="22" t="inlineStr">
        <is>
          <t>x:X search: electronic transmission results</t>
        </is>
      </c>
      <c r="G571" s="22" t="n">
        <v>-0.345</v>
      </c>
      <c r="H571" s="22" t="n">
        <v>0</v>
      </c>
      <c r="I571" s="22" t="n">
        <v>1</v>
      </c>
      <c r="J571" s="22" t="n">
        <v>0</v>
      </c>
      <c r="K571" s="22" t="n">
        <v>0</v>
      </c>
      <c r="L571" s="22" t="n">
        <v>0</v>
      </c>
      <c r="M571" s="22" t="n">
        <v>1</v>
      </c>
      <c r="N571" s="22" t="n">
        <v>0</v>
      </c>
      <c r="O571" s="22" t="n">
        <v>0</v>
      </c>
      <c r="P571" s="22" t="n">
        <v>0</v>
      </c>
      <c r="Q571" s="22" t="n">
        <v>0</v>
      </c>
      <c r="R571" s="22" t="n">
        <v>0</v>
      </c>
      <c r="S571" s="22" t="n">
        <v>0</v>
      </c>
      <c r="T571" s="22" t="n">
        <v>0</v>
      </c>
      <c r="U571" s="3">
        <f>IF(OR(N571=1,Q571=1),1,0)</f>
        <v/>
      </c>
      <c r="V571" s="3">
        <f>IF(OR(T571=1,P571=1),1,0)</f>
        <v/>
      </c>
      <c r="W571" s="3">
        <f>IF(OR(J571=1),1,0)</f>
        <v/>
      </c>
      <c r="X571" s="3">
        <f>IF(OR(I571=1,H571=1),1,0)</f>
        <v/>
      </c>
      <c r="Y571" s="3">
        <f>IF(OR(G571=1),1,0)</f>
        <v/>
      </c>
      <c r="Z571" s="3">
        <f>IF(OR(F571=1),1,0)</f>
        <v/>
      </c>
      <c r="AA571" s="3">
        <f>IF(OR(M571=1),1,0)</f>
        <v/>
      </c>
    </row>
    <row r="572">
      <c r="A572" s="22" t="inlineStr">
        <is>
          <t>c7bf9fefc6c3ee578ce45832bbcb7cb4072f57d5</t>
        </is>
      </c>
      <c r="B572" s="22" t="inlineStr">
        <is>
          <t>2026-10</t>
        </is>
      </c>
      <c r="C572" s="22" t="inlineStr">
        <is>
          <t>X</t>
        </is>
      </c>
      <c r="D572" s="22" t="n">
        <v>1</v>
      </c>
      <c r="E572" s="22" t="inlineStr">
        <is>
          <t>X: X search: electronic transmission results</t>
        </is>
      </c>
      <c r="F572" s="22" t="inlineStr">
        <is>
          <t>x:X search: electronic transmission results</t>
        </is>
      </c>
      <c r="G572" s="22" t="n">
        <v>-0.276</v>
      </c>
      <c r="H572" s="22" t="n">
        <v>0</v>
      </c>
      <c r="I572" s="22" t="n">
        <v>1</v>
      </c>
      <c r="J572" s="22" t="n">
        <v>0</v>
      </c>
      <c r="K572" s="22" t="n">
        <v>0</v>
      </c>
      <c r="L572" s="22" t="n">
        <v>0</v>
      </c>
      <c r="M572" s="22" t="n">
        <v>0</v>
      </c>
      <c r="N572" s="22" t="n">
        <v>0</v>
      </c>
      <c r="O572" s="22" t="n">
        <v>0</v>
      </c>
      <c r="P572" s="22" t="n">
        <v>0</v>
      </c>
      <c r="Q572" s="22" t="n">
        <v>0</v>
      </c>
      <c r="R572" s="22" t="n">
        <v>0</v>
      </c>
      <c r="S572" s="22" t="n">
        <v>0</v>
      </c>
      <c r="T572" s="22" t="n">
        <v>0</v>
      </c>
      <c r="U572" s="3">
        <f>IF(OR(N572=1,Q572=1),1,0)</f>
        <v/>
      </c>
      <c r="V572" s="3">
        <f>IF(OR(T572=1,P572=1),1,0)</f>
        <v/>
      </c>
      <c r="W572" s="3">
        <f>IF(OR(J572=1),1,0)</f>
        <v/>
      </c>
      <c r="X572" s="3">
        <f>IF(OR(I572=1,H572=1),1,0)</f>
        <v/>
      </c>
      <c r="Y572" s="3">
        <f>IF(OR(G572=1),1,0)</f>
        <v/>
      </c>
      <c r="Z572" s="3">
        <f>IF(OR(F572=1),1,0)</f>
        <v/>
      </c>
      <c r="AA572" s="3">
        <f>IF(OR(M572=1),1,0)</f>
        <v/>
      </c>
    </row>
    <row r="573">
      <c r="A573" s="22" t="inlineStr">
        <is>
          <t>bd9361243992e8c5cfff319e7321b05a64d1c991</t>
        </is>
      </c>
      <c r="B573" s="22" t="inlineStr">
        <is>
          <t>2026-10</t>
        </is>
      </c>
      <c r="C573" s="22" t="inlineStr">
        <is>
          <t>X</t>
        </is>
      </c>
      <c r="D573" s="22" t="n">
        <v>1</v>
      </c>
      <c r="E573" s="22" t="inlineStr">
        <is>
          <t>X: X search: electronic transmission results</t>
        </is>
      </c>
      <c r="F573" s="22" t="inlineStr">
        <is>
          <t>x:X search: electronic transmission results</t>
        </is>
      </c>
      <c r="G573" s="22" t="n">
        <v>0.9350000000000001</v>
      </c>
      <c r="H573" s="22" t="n">
        <v>0</v>
      </c>
      <c r="I573" s="22" t="n">
        <v>1</v>
      </c>
      <c r="J573" s="22" t="n">
        <v>0</v>
      </c>
      <c r="K573" s="22" t="n">
        <v>0</v>
      </c>
      <c r="L573" s="22" t="n">
        <v>0</v>
      </c>
      <c r="M573" s="22" t="n">
        <v>0</v>
      </c>
      <c r="N573" s="22" t="n">
        <v>0</v>
      </c>
      <c r="O573" s="22" t="n">
        <v>0</v>
      </c>
      <c r="P573" s="22" t="n">
        <v>0</v>
      </c>
      <c r="Q573" s="22" t="n">
        <v>0</v>
      </c>
      <c r="R573" s="22" t="n">
        <v>0</v>
      </c>
      <c r="S573" s="22" t="n">
        <v>0</v>
      </c>
      <c r="T573" s="22" t="n">
        <v>0</v>
      </c>
      <c r="U573" s="3">
        <f>IF(OR(N573=1,Q573=1),1,0)</f>
        <v/>
      </c>
      <c r="V573" s="3">
        <f>IF(OR(T573=1,P573=1),1,0)</f>
        <v/>
      </c>
      <c r="W573" s="3">
        <f>IF(OR(J573=1),1,0)</f>
        <v/>
      </c>
      <c r="X573" s="3">
        <f>IF(OR(I573=1,H573=1),1,0)</f>
        <v/>
      </c>
      <c r="Y573" s="3">
        <f>IF(OR(G573=1),1,0)</f>
        <v/>
      </c>
      <c r="Z573" s="3">
        <f>IF(OR(F573=1),1,0)</f>
        <v/>
      </c>
      <c r="AA573" s="3">
        <f>IF(OR(M573=1),1,0)</f>
        <v/>
      </c>
    </row>
    <row r="574">
      <c r="A574" s="22" t="inlineStr">
        <is>
          <t>cf3e9b1c29e7acba45df6be74c0f617b15599658</t>
        </is>
      </c>
      <c r="B574" s="22" t="inlineStr">
        <is>
          <t>2026-10</t>
        </is>
      </c>
      <c r="C574" s="22" t="inlineStr">
        <is>
          <t>X</t>
        </is>
      </c>
      <c r="D574" s="22" t="n">
        <v>1</v>
      </c>
      <c r="E574" s="22" t="inlineStr">
        <is>
          <t>X: X search: electronic transmission results</t>
        </is>
      </c>
      <c r="F574" s="22" t="inlineStr">
        <is>
          <t>x:X search: electronic transmission results</t>
        </is>
      </c>
      <c r="G574" s="22" t="n">
        <v>0</v>
      </c>
      <c r="H574" s="22" t="n">
        <v>0</v>
      </c>
      <c r="I574" s="22" t="n">
        <v>1</v>
      </c>
      <c r="J574" s="22" t="n">
        <v>0</v>
      </c>
      <c r="K574" s="22" t="n">
        <v>0</v>
      </c>
      <c r="L574" s="22" t="n">
        <v>0</v>
      </c>
      <c r="M574" s="22" t="n">
        <v>0</v>
      </c>
      <c r="N574" s="22" t="n">
        <v>0</v>
      </c>
      <c r="O574" s="22" t="n">
        <v>0</v>
      </c>
      <c r="P574" s="22" t="n">
        <v>0</v>
      </c>
      <c r="Q574" s="22" t="n">
        <v>0</v>
      </c>
      <c r="R574" s="22" t="n">
        <v>0</v>
      </c>
      <c r="S574" s="22" t="n">
        <v>0</v>
      </c>
      <c r="T574" s="22" t="n">
        <v>0</v>
      </c>
      <c r="U574" s="3">
        <f>IF(OR(N574=1,Q574=1),1,0)</f>
        <v/>
      </c>
      <c r="V574" s="3">
        <f>IF(OR(T574=1,P574=1),1,0)</f>
        <v/>
      </c>
      <c r="W574" s="3">
        <f>IF(OR(J574=1),1,0)</f>
        <v/>
      </c>
      <c r="X574" s="3">
        <f>IF(OR(I574=1,H574=1),1,0)</f>
        <v/>
      </c>
      <c r="Y574" s="3">
        <f>IF(OR(G574=1),1,0)</f>
        <v/>
      </c>
      <c r="Z574" s="3">
        <f>IF(OR(F574=1),1,0)</f>
        <v/>
      </c>
      <c r="AA574" s="3">
        <f>IF(OR(M574=1),1,0)</f>
        <v/>
      </c>
    </row>
    <row r="575">
      <c r="A575" s="22" t="inlineStr">
        <is>
          <t>c3229505745e240fb65633343b1e3081c629ea80</t>
        </is>
      </c>
      <c r="B575" s="22" t="inlineStr">
        <is>
          <t>2026-10</t>
        </is>
      </c>
      <c r="C575" s="22" t="inlineStr">
        <is>
          <t>X</t>
        </is>
      </c>
      <c r="D575" s="22" t="n">
        <v>1</v>
      </c>
      <c r="E575" s="22" t="inlineStr">
        <is>
          <t>X: X search: electronic transmission results</t>
        </is>
      </c>
      <c r="F575" s="22" t="inlineStr">
        <is>
          <t>x:X search: electronic transmission results</t>
        </is>
      </c>
      <c r="G575" s="22" t="n">
        <v>-0.767</v>
      </c>
      <c r="H575" s="22" t="n">
        <v>0</v>
      </c>
      <c r="I575" s="22" t="n">
        <v>1</v>
      </c>
      <c r="J575" s="22" t="n">
        <v>0</v>
      </c>
      <c r="K575" s="22" t="n">
        <v>0</v>
      </c>
      <c r="L575" s="22" t="n">
        <v>0</v>
      </c>
      <c r="M575" s="22" t="n">
        <v>0</v>
      </c>
      <c r="N575" s="22" t="n">
        <v>0</v>
      </c>
      <c r="O575" s="22" t="n">
        <v>0</v>
      </c>
      <c r="P575" s="22" t="n">
        <v>0</v>
      </c>
      <c r="Q575" s="22" t="n">
        <v>0</v>
      </c>
      <c r="R575" s="22" t="n">
        <v>0</v>
      </c>
      <c r="S575" s="22" t="n">
        <v>0</v>
      </c>
      <c r="T575" s="22" t="n">
        <v>0</v>
      </c>
      <c r="U575" s="3">
        <f>IF(OR(N575=1,Q575=1),1,0)</f>
        <v/>
      </c>
      <c r="V575" s="3">
        <f>IF(OR(T575=1,P575=1),1,0)</f>
        <v/>
      </c>
      <c r="W575" s="3">
        <f>IF(OR(J575=1),1,0)</f>
        <v/>
      </c>
      <c r="X575" s="3">
        <f>IF(OR(I575=1,H575=1),1,0)</f>
        <v/>
      </c>
      <c r="Y575" s="3">
        <f>IF(OR(G575=1),1,0)</f>
        <v/>
      </c>
      <c r="Z575" s="3">
        <f>IF(OR(F575=1),1,0)</f>
        <v/>
      </c>
      <c r="AA575" s="3">
        <f>IF(OR(M575=1),1,0)</f>
        <v/>
      </c>
    </row>
    <row r="576">
      <c r="A576" s="22" t="inlineStr">
        <is>
          <t>b62161cb5a7ad063eed561d74c715a08d1cc1b72</t>
        </is>
      </c>
      <c r="B576" s="22" t="inlineStr">
        <is>
          <t>2026-10</t>
        </is>
      </c>
      <c r="C576" s="22" t="inlineStr">
        <is>
          <t>X</t>
        </is>
      </c>
      <c r="D576" s="22" t="n">
        <v>1</v>
      </c>
      <c r="E576" s="22" t="inlineStr">
        <is>
          <t>X: X search: electronic transmission results</t>
        </is>
      </c>
      <c r="F576" s="22" t="inlineStr">
        <is>
          <t>x:X search: electronic transmission results</t>
        </is>
      </c>
      <c r="G576" s="22" t="n">
        <v>0.636</v>
      </c>
      <c r="H576" s="22" t="n">
        <v>0</v>
      </c>
      <c r="I576" s="22" t="n">
        <v>1</v>
      </c>
      <c r="J576" s="22" t="n">
        <v>0</v>
      </c>
      <c r="K576" s="22" t="n">
        <v>0</v>
      </c>
      <c r="L576" s="22" t="n">
        <v>0</v>
      </c>
      <c r="M576" s="22" t="n">
        <v>0</v>
      </c>
      <c r="N576" s="22" t="n">
        <v>0</v>
      </c>
      <c r="O576" s="22" t="n">
        <v>0</v>
      </c>
      <c r="P576" s="22" t="n">
        <v>0</v>
      </c>
      <c r="Q576" s="22" t="n">
        <v>0</v>
      </c>
      <c r="R576" s="22" t="n">
        <v>0</v>
      </c>
      <c r="S576" s="22" t="n">
        <v>0</v>
      </c>
      <c r="T576" s="22" t="n">
        <v>0</v>
      </c>
      <c r="U576" s="3">
        <f>IF(OR(N576=1,Q576=1),1,0)</f>
        <v/>
      </c>
      <c r="V576" s="3">
        <f>IF(OR(T576=1,P576=1),1,0)</f>
        <v/>
      </c>
      <c r="W576" s="3">
        <f>IF(OR(J576=1),1,0)</f>
        <v/>
      </c>
      <c r="X576" s="3">
        <f>IF(OR(I576=1,H576=1),1,0)</f>
        <v/>
      </c>
      <c r="Y576" s="3">
        <f>IF(OR(G576=1),1,0)</f>
        <v/>
      </c>
      <c r="Z576" s="3">
        <f>IF(OR(F576=1),1,0)</f>
        <v/>
      </c>
      <c r="AA576" s="3">
        <f>IF(OR(M576=1),1,0)</f>
        <v/>
      </c>
    </row>
    <row r="577">
      <c r="A577" s="22" t="inlineStr">
        <is>
          <t>33dd60496487456ffda0b7eff671dfc07d895da6</t>
        </is>
      </c>
      <c r="B577" s="22" t="inlineStr">
        <is>
          <t>2026-10</t>
        </is>
      </c>
      <c r="C577" s="22" t="inlineStr">
        <is>
          <t>X</t>
        </is>
      </c>
      <c r="D577" s="22" t="n">
        <v>1</v>
      </c>
      <c r="E577" s="22" t="inlineStr">
        <is>
          <t>X: X search: electronic transmission results</t>
        </is>
      </c>
      <c r="F577" s="22" t="inlineStr">
        <is>
          <t>x:X search: electronic transmission results</t>
        </is>
      </c>
      <c r="G577" s="22" t="n">
        <v>-0.649</v>
      </c>
      <c r="H577" s="22" t="n">
        <v>0</v>
      </c>
      <c r="I577" s="22" t="n">
        <v>1</v>
      </c>
      <c r="J577" s="22" t="n">
        <v>0</v>
      </c>
      <c r="K577" s="22" t="n">
        <v>0</v>
      </c>
      <c r="L577" s="22" t="n">
        <v>0</v>
      </c>
      <c r="M577" s="22" t="n">
        <v>1</v>
      </c>
      <c r="N577" s="22" t="n">
        <v>0</v>
      </c>
      <c r="O577" s="22" t="n">
        <v>0</v>
      </c>
      <c r="P577" s="22" t="n">
        <v>0</v>
      </c>
      <c r="Q577" s="22" t="n">
        <v>0</v>
      </c>
      <c r="R577" s="22" t="n">
        <v>0</v>
      </c>
      <c r="S577" s="22" t="n">
        <v>0</v>
      </c>
      <c r="T577" s="22" t="n">
        <v>0</v>
      </c>
      <c r="U577" s="3">
        <f>IF(OR(N577=1,Q577=1),1,0)</f>
        <v/>
      </c>
      <c r="V577" s="3">
        <f>IF(OR(T577=1,P577=1),1,0)</f>
        <v/>
      </c>
      <c r="W577" s="3">
        <f>IF(OR(J577=1),1,0)</f>
        <v/>
      </c>
      <c r="X577" s="3">
        <f>IF(OR(I577=1,H577=1),1,0)</f>
        <v/>
      </c>
      <c r="Y577" s="3">
        <f>IF(OR(G577=1),1,0)</f>
        <v/>
      </c>
      <c r="Z577" s="3">
        <f>IF(OR(F577=1),1,0)</f>
        <v/>
      </c>
      <c r="AA577" s="3">
        <f>IF(OR(M577=1),1,0)</f>
        <v/>
      </c>
    </row>
    <row r="578">
      <c r="A578" s="22" t="inlineStr">
        <is>
          <t>cc3eef642ecfb8eb1711a591edc1c9a4488cb586</t>
        </is>
      </c>
      <c r="B578" s="22" t="inlineStr">
        <is>
          <t>2026-10</t>
        </is>
      </c>
      <c r="C578" s="22" t="inlineStr">
        <is>
          <t>X</t>
        </is>
      </c>
      <c r="D578" s="22" t="n">
        <v>1</v>
      </c>
      <c r="E578" s="22" t="inlineStr">
        <is>
          <t>X: X search: electronic transmission results</t>
        </is>
      </c>
      <c r="F578" s="22" t="inlineStr">
        <is>
          <t>x:X search: electronic transmission results</t>
        </is>
      </c>
      <c r="G578" s="22" t="n">
        <v>0.886</v>
      </c>
      <c r="H578" s="22" t="n">
        <v>0</v>
      </c>
      <c r="I578" s="22" t="n">
        <v>1</v>
      </c>
      <c r="J578" s="22" t="n">
        <v>0</v>
      </c>
      <c r="K578" s="22" t="n">
        <v>0</v>
      </c>
      <c r="L578" s="22" t="n">
        <v>0</v>
      </c>
      <c r="M578" s="22" t="n">
        <v>0</v>
      </c>
      <c r="N578" s="22" t="n">
        <v>0</v>
      </c>
      <c r="O578" s="22" t="n">
        <v>0</v>
      </c>
      <c r="P578" s="22" t="n">
        <v>0</v>
      </c>
      <c r="Q578" s="22" t="n">
        <v>0</v>
      </c>
      <c r="R578" s="22" t="n">
        <v>0</v>
      </c>
      <c r="S578" s="22" t="n">
        <v>0</v>
      </c>
      <c r="T578" s="22" t="n">
        <v>0</v>
      </c>
      <c r="U578" s="3">
        <f>IF(OR(N578=1,Q578=1),1,0)</f>
        <v/>
      </c>
      <c r="V578" s="3">
        <f>IF(OR(T578=1,P578=1),1,0)</f>
        <v/>
      </c>
      <c r="W578" s="3">
        <f>IF(OR(J578=1),1,0)</f>
        <v/>
      </c>
      <c r="X578" s="3">
        <f>IF(OR(I578=1,H578=1),1,0)</f>
        <v/>
      </c>
      <c r="Y578" s="3">
        <f>IF(OR(G578=1),1,0)</f>
        <v/>
      </c>
      <c r="Z578" s="3">
        <f>IF(OR(F578=1),1,0)</f>
        <v/>
      </c>
      <c r="AA578" s="3">
        <f>IF(OR(M578=1),1,0)</f>
        <v/>
      </c>
    </row>
    <row r="579">
      <c r="A579" s="22" t="inlineStr">
        <is>
          <t>eabbd4ae9ae14818172fa973766f6be71a6f7b63</t>
        </is>
      </c>
      <c r="B579" s="22" t="inlineStr">
        <is>
          <t>2026-10</t>
        </is>
      </c>
      <c r="C579" s="22" t="inlineStr">
        <is>
          <t>X</t>
        </is>
      </c>
      <c r="D579" s="22" t="n">
        <v>1</v>
      </c>
      <c r="E579" s="22" t="inlineStr">
        <is>
          <t>X: X search: electronic transmission results</t>
        </is>
      </c>
      <c r="F579" s="22" t="inlineStr">
        <is>
          <t>x:X search: electronic transmission results</t>
        </is>
      </c>
      <c r="G579" s="22" t="n">
        <v>0.487</v>
      </c>
      <c r="H579" s="22" t="n">
        <v>0</v>
      </c>
      <c r="I579" s="22" t="n">
        <v>1</v>
      </c>
      <c r="J579" s="22" t="n">
        <v>0</v>
      </c>
      <c r="K579" s="22" t="n">
        <v>0</v>
      </c>
      <c r="L579" s="22" t="n">
        <v>0</v>
      </c>
      <c r="M579" s="22" t="n">
        <v>0</v>
      </c>
      <c r="N579" s="22" t="n">
        <v>0</v>
      </c>
      <c r="O579" s="22" t="n">
        <v>0</v>
      </c>
      <c r="P579" s="22" t="n">
        <v>0</v>
      </c>
      <c r="Q579" s="22" t="n">
        <v>0</v>
      </c>
      <c r="R579" s="22" t="n">
        <v>0</v>
      </c>
      <c r="S579" s="22" t="n">
        <v>0</v>
      </c>
      <c r="T579" s="22" t="n">
        <v>0</v>
      </c>
      <c r="U579" s="3">
        <f>IF(OR(N579=1,Q579=1),1,0)</f>
        <v/>
      </c>
      <c r="V579" s="3">
        <f>IF(OR(T579=1,P579=1),1,0)</f>
        <v/>
      </c>
      <c r="W579" s="3">
        <f>IF(OR(J579=1),1,0)</f>
        <v/>
      </c>
      <c r="X579" s="3">
        <f>IF(OR(I579=1,H579=1),1,0)</f>
        <v/>
      </c>
      <c r="Y579" s="3">
        <f>IF(OR(G579=1),1,0)</f>
        <v/>
      </c>
      <c r="Z579" s="3">
        <f>IF(OR(F579=1),1,0)</f>
        <v/>
      </c>
      <c r="AA579" s="3">
        <f>IF(OR(M579=1),1,0)</f>
        <v/>
      </c>
    </row>
    <row r="580">
      <c r="A580" s="22" t="inlineStr">
        <is>
          <t>fd6219801142bb398e9e10563189213c1cee2740</t>
        </is>
      </c>
      <c r="B580" s="22" t="inlineStr">
        <is>
          <t>2026-10</t>
        </is>
      </c>
      <c r="C580" s="22" t="inlineStr">
        <is>
          <t>X</t>
        </is>
      </c>
      <c r="D580" s="22" t="n">
        <v>1</v>
      </c>
      <c r="E580" s="22" t="inlineStr">
        <is>
          <t>X: X search: electronic transmission results</t>
        </is>
      </c>
      <c r="F580" s="22" t="inlineStr">
        <is>
          <t>x:X search: electronic transmission results</t>
        </is>
      </c>
      <c r="G580" s="22" t="n">
        <v>-0.527</v>
      </c>
      <c r="H580" s="22" t="n">
        <v>0</v>
      </c>
      <c r="I580" s="22" t="n">
        <v>1</v>
      </c>
      <c r="J580" s="22" t="n">
        <v>0</v>
      </c>
      <c r="K580" s="22" t="n">
        <v>0</v>
      </c>
      <c r="L580" s="22" t="n">
        <v>0</v>
      </c>
      <c r="M580" s="22" t="n">
        <v>0</v>
      </c>
      <c r="N580" s="22" t="n">
        <v>0</v>
      </c>
      <c r="O580" s="22" t="n">
        <v>0</v>
      </c>
      <c r="P580" s="22" t="n">
        <v>0</v>
      </c>
      <c r="Q580" s="22" t="n">
        <v>0</v>
      </c>
      <c r="R580" s="22" t="n">
        <v>0</v>
      </c>
      <c r="S580" s="22" t="n">
        <v>0</v>
      </c>
      <c r="T580" s="22" t="n">
        <v>0</v>
      </c>
      <c r="U580" s="3">
        <f>IF(OR(N580=1,Q580=1),1,0)</f>
        <v/>
      </c>
      <c r="V580" s="3">
        <f>IF(OR(T580=1,P580=1),1,0)</f>
        <v/>
      </c>
      <c r="W580" s="3">
        <f>IF(OR(J580=1),1,0)</f>
        <v/>
      </c>
      <c r="X580" s="3">
        <f>IF(OR(I580=1,H580=1),1,0)</f>
        <v/>
      </c>
      <c r="Y580" s="3">
        <f>IF(OR(G580=1),1,0)</f>
        <v/>
      </c>
      <c r="Z580" s="3">
        <f>IF(OR(F580=1),1,0)</f>
        <v/>
      </c>
      <c r="AA580" s="3">
        <f>IF(OR(M580=1),1,0)</f>
        <v/>
      </c>
    </row>
    <row r="581">
      <c r="A581" s="22" t="inlineStr">
        <is>
          <t>4106f29285ebf436dbdc0b6b248300871a29f071</t>
        </is>
      </c>
      <c r="B581" s="22" t="inlineStr">
        <is>
          <t>2026-10</t>
        </is>
      </c>
      <c r="C581" s="22" t="inlineStr">
        <is>
          <t>X</t>
        </is>
      </c>
      <c r="D581" s="22" t="n">
        <v>1</v>
      </c>
      <c r="E581" s="22" t="inlineStr">
        <is>
          <t>X: X search: electronic transmission results</t>
        </is>
      </c>
      <c r="F581" s="22" t="inlineStr">
        <is>
          <t>x:X search: electronic transmission results</t>
        </is>
      </c>
      <c r="G581" s="22" t="n">
        <v>0.422</v>
      </c>
      <c r="H581" s="22" t="n">
        <v>0</v>
      </c>
      <c r="I581" s="22" t="n">
        <v>1</v>
      </c>
      <c r="J581" s="22" t="n">
        <v>0</v>
      </c>
      <c r="K581" s="22" t="n">
        <v>0</v>
      </c>
      <c r="L581" s="22" t="n">
        <v>0</v>
      </c>
      <c r="M581" s="22" t="n">
        <v>0</v>
      </c>
      <c r="N581" s="22" t="n">
        <v>0</v>
      </c>
      <c r="O581" s="22" t="n">
        <v>0</v>
      </c>
      <c r="P581" s="22" t="n">
        <v>0</v>
      </c>
      <c r="Q581" s="22" t="n">
        <v>0</v>
      </c>
      <c r="R581" s="22" t="n">
        <v>0</v>
      </c>
      <c r="S581" s="22" t="n">
        <v>0</v>
      </c>
      <c r="T581" s="22" t="n">
        <v>0</v>
      </c>
      <c r="U581" s="3">
        <f>IF(OR(N581=1,Q581=1),1,0)</f>
        <v/>
      </c>
      <c r="V581" s="3">
        <f>IF(OR(T581=1,P581=1),1,0)</f>
        <v/>
      </c>
      <c r="W581" s="3">
        <f>IF(OR(J581=1),1,0)</f>
        <v/>
      </c>
      <c r="X581" s="3">
        <f>IF(OR(I581=1,H581=1),1,0)</f>
        <v/>
      </c>
      <c r="Y581" s="3">
        <f>IF(OR(G581=1),1,0)</f>
        <v/>
      </c>
      <c r="Z581" s="3">
        <f>IF(OR(F581=1),1,0)</f>
        <v/>
      </c>
      <c r="AA581" s="3">
        <f>IF(OR(M581=1),1,0)</f>
        <v/>
      </c>
    </row>
    <row r="582">
      <c r="A582" s="22" t="inlineStr">
        <is>
          <t>6eb12c3629748f6b88d85c6533948ebb92e138f5</t>
        </is>
      </c>
      <c r="B582" s="22" t="inlineStr">
        <is>
          <t>2026-10</t>
        </is>
      </c>
      <c r="C582" s="22" t="inlineStr">
        <is>
          <t>X</t>
        </is>
      </c>
      <c r="D582" s="22" t="n">
        <v>1</v>
      </c>
      <c r="E582" s="22" t="inlineStr">
        <is>
          <t>X: X search: electronic transmission results</t>
        </is>
      </c>
      <c r="F582" s="22" t="inlineStr">
        <is>
          <t>x:X search: electronic transmission results</t>
        </is>
      </c>
      <c r="G582" s="22" t="n">
        <v>0.103</v>
      </c>
      <c r="H582" s="22" t="n">
        <v>0</v>
      </c>
      <c r="I582" s="22" t="n">
        <v>1</v>
      </c>
      <c r="J582" s="22" t="n">
        <v>0</v>
      </c>
      <c r="K582" s="22" t="n">
        <v>0</v>
      </c>
      <c r="L582" s="22" t="n">
        <v>0</v>
      </c>
      <c r="M582" s="22" t="n">
        <v>0</v>
      </c>
      <c r="N582" s="22" t="n">
        <v>0</v>
      </c>
      <c r="O582" s="22" t="n">
        <v>0</v>
      </c>
      <c r="P582" s="22" t="n">
        <v>0</v>
      </c>
      <c r="Q582" s="22" t="n">
        <v>0</v>
      </c>
      <c r="R582" s="22" t="n">
        <v>0</v>
      </c>
      <c r="S582" s="22" t="n">
        <v>0</v>
      </c>
      <c r="T582" s="22" t="n">
        <v>0</v>
      </c>
      <c r="U582" s="3">
        <f>IF(OR(N582=1,Q582=1),1,0)</f>
        <v/>
      </c>
      <c r="V582" s="3">
        <f>IF(OR(T582=1,P582=1),1,0)</f>
        <v/>
      </c>
      <c r="W582" s="3">
        <f>IF(OR(J582=1),1,0)</f>
        <v/>
      </c>
      <c r="X582" s="3">
        <f>IF(OR(I582=1,H582=1),1,0)</f>
        <v/>
      </c>
      <c r="Y582" s="3">
        <f>IF(OR(G582=1),1,0)</f>
        <v/>
      </c>
      <c r="Z582" s="3">
        <f>IF(OR(F582=1),1,0)</f>
        <v/>
      </c>
      <c r="AA582" s="3">
        <f>IF(OR(M582=1),1,0)</f>
        <v/>
      </c>
    </row>
    <row r="583">
      <c r="A583" s="22" t="inlineStr">
        <is>
          <t>c791766677b73f95a5499ac03ad10ae786c14354</t>
        </is>
      </c>
      <c r="B583" s="22" t="inlineStr">
        <is>
          <t>2026-10</t>
        </is>
      </c>
      <c r="C583" s="22" t="inlineStr">
        <is>
          <t>X</t>
        </is>
      </c>
      <c r="D583" s="22" t="n">
        <v>1</v>
      </c>
      <c r="E583" s="22" t="inlineStr">
        <is>
          <t>X: X search: electronic transmission results</t>
        </is>
      </c>
      <c r="F583" s="22" t="inlineStr">
        <is>
          <t>x:X search: electronic transmission results</t>
        </is>
      </c>
      <c r="G583" s="22" t="n">
        <v>0</v>
      </c>
      <c r="H583" s="22" t="n">
        <v>0</v>
      </c>
      <c r="I583" s="22" t="n">
        <v>1</v>
      </c>
      <c r="J583" s="22" t="n">
        <v>0</v>
      </c>
      <c r="K583" s="22" t="n">
        <v>0</v>
      </c>
      <c r="L583" s="22" t="n">
        <v>0</v>
      </c>
      <c r="M583" s="22" t="n">
        <v>0</v>
      </c>
      <c r="N583" s="22" t="n">
        <v>0</v>
      </c>
      <c r="O583" s="22" t="n">
        <v>0</v>
      </c>
      <c r="P583" s="22" t="n">
        <v>0</v>
      </c>
      <c r="Q583" s="22" t="n">
        <v>0</v>
      </c>
      <c r="R583" s="22" t="n">
        <v>0</v>
      </c>
      <c r="S583" s="22" t="n">
        <v>0</v>
      </c>
      <c r="T583" s="22" t="n">
        <v>0</v>
      </c>
      <c r="U583" s="3">
        <f>IF(OR(N583=1,Q583=1),1,0)</f>
        <v/>
      </c>
      <c r="V583" s="3">
        <f>IF(OR(T583=1,P583=1),1,0)</f>
        <v/>
      </c>
      <c r="W583" s="3">
        <f>IF(OR(J583=1),1,0)</f>
        <v/>
      </c>
      <c r="X583" s="3">
        <f>IF(OR(I583=1,H583=1),1,0)</f>
        <v/>
      </c>
      <c r="Y583" s="3">
        <f>IF(OR(G583=1),1,0)</f>
        <v/>
      </c>
      <c r="Z583" s="3">
        <f>IF(OR(F583=1),1,0)</f>
        <v/>
      </c>
      <c r="AA583" s="3">
        <f>IF(OR(M583=1),1,0)</f>
        <v/>
      </c>
    </row>
    <row r="584">
      <c r="A584" s="22" t="inlineStr">
        <is>
          <t>5085ab56d00aa3857af2116e16e418db711c2e66</t>
        </is>
      </c>
      <c r="B584" s="22" t="inlineStr">
        <is>
          <t>2026-10</t>
        </is>
      </c>
      <c r="C584" s="22" t="inlineStr">
        <is>
          <t>X</t>
        </is>
      </c>
      <c r="D584" s="22" t="n">
        <v>1</v>
      </c>
      <c r="E584" s="22" t="inlineStr">
        <is>
          <t>X: X search: electronic transmission results</t>
        </is>
      </c>
      <c r="F584" s="22" t="inlineStr">
        <is>
          <t>x:X search: electronic transmission results</t>
        </is>
      </c>
      <c r="G584" s="22" t="n">
        <v>0.967</v>
      </c>
      <c r="H584" s="22" t="n">
        <v>1</v>
      </c>
      <c r="I584" s="22" t="n">
        <v>1</v>
      </c>
      <c r="J584" s="22" t="n">
        <v>0</v>
      </c>
      <c r="K584" s="22" t="n">
        <v>0</v>
      </c>
      <c r="L584" s="22" t="n">
        <v>0</v>
      </c>
      <c r="M584" s="22" t="n">
        <v>0</v>
      </c>
      <c r="N584" s="22" t="n">
        <v>0</v>
      </c>
      <c r="O584" s="22" t="n">
        <v>0</v>
      </c>
      <c r="P584" s="22" t="n">
        <v>0</v>
      </c>
      <c r="Q584" s="22" t="n">
        <v>0</v>
      </c>
      <c r="R584" s="22" t="n">
        <v>0</v>
      </c>
      <c r="S584" s="22" t="n">
        <v>0</v>
      </c>
      <c r="T584" s="22" t="n">
        <v>0</v>
      </c>
      <c r="U584" s="3">
        <f>IF(OR(N584=1,Q584=1),1,0)</f>
        <v/>
      </c>
      <c r="V584" s="3">
        <f>IF(OR(T584=1,P584=1),1,0)</f>
        <v/>
      </c>
      <c r="W584" s="3">
        <f>IF(OR(J584=1),1,0)</f>
        <v/>
      </c>
      <c r="X584" s="3">
        <f>IF(OR(I584=1,H584=1),1,0)</f>
        <v/>
      </c>
      <c r="Y584" s="3">
        <f>IF(OR(G584=1),1,0)</f>
        <v/>
      </c>
      <c r="Z584" s="3">
        <f>IF(OR(F584=1),1,0)</f>
        <v/>
      </c>
      <c r="AA584" s="3">
        <f>IF(OR(M584=1),1,0)</f>
        <v/>
      </c>
    </row>
    <row r="585">
      <c r="A585" s="22" t="inlineStr">
        <is>
          <t>03f4670315facd62a70524a5768263b650d1ee18</t>
        </is>
      </c>
      <c r="B585" s="22" t="inlineStr">
        <is>
          <t>2026-10</t>
        </is>
      </c>
      <c r="C585" s="22" t="inlineStr">
        <is>
          <t>X</t>
        </is>
      </c>
      <c r="D585" s="22" t="n">
        <v>1</v>
      </c>
      <c r="E585" s="22" t="inlineStr">
        <is>
          <t>X: X search: electronic transmission results</t>
        </is>
      </c>
      <c r="F585" s="22" t="inlineStr">
        <is>
          <t>x:X search: electronic transmission results</t>
        </is>
      </c>
      <c r="G585" s="22" t="n">
        <v>-0.784</v>
      </c>
      <c r="H585" s="22" t="n">
        <v>1</v>
      </c>
      <c r="I585" s="22" t="n">
        <v>0</v>
      </c>
      <c r="J585" s="22" t="n">
        <v>0</v>
      </c>
      <c r="K585" s="22" t="n">
        <v>0</v>
      </c>
      <c r="L585" s="22" t="n">
        <v>1</v>
      </c>
      <c r="M585" s="22" t="n">
        <v>0</v>
      </c>
      <c r="N585" s="22" t="n">
        <v>0</v>
      </c>
      <c r="O585" s="22" t="n">
        <v>0</v>
      </c>
      <c r="P585" s="22" t="n">
        <v>0</v>
      </c>
      <c r="Q585" s="22" t="n">
        <v>0</v>
      </c>
      <c r="R585" s="22" t="n">
        <v>0</v>
      </c>
      <c r="S585" s="22" t="n">
        <v>0</v>
      </c>
      <c r="T585" s="22" t="n">
        <v>0</v>
      </c>
      <c r="U585" s="3">
        <f>IF(OR(N585=1,Q585=1),1,0)</f>
        <v/>
      </c>
      <c r="V585" s="3">
        <f>IF(OR(T585=1,P585=1),1,0)</f>
        <v/>
      </c>
      <c r="W585" s="3">
        <f>IF(OR(J585=1),1,0)</f>
        <v/>
      </c>
      <c r="X585" s="3">
        <f>IF(OR(I585=1,H585=1),1,0)</f>
        <v/>
      </c>
      <c r="Y585" s="3">
        <f>IF(OR(G585=1),1,0)</f>
        <v/>
      </c>
      <c r="Z585" s="3">
        <f>IF(OR(F585=1),1,0)</f>
        <v/>
      </c>
      <c r="AA585" s="3">
        <f>IF(OR(M585=1),1,0)</f>
        <v/>
      </c>
    </row>
    <row r="586">
      <c r="A586" s="22" t="inlineStr">
        <is>
          <t>108aa43a20905b1d52ce748b3003660b613dadd1</t>
        </is>
      </c>
      <c r="B586" s="22" t="inlineStr">
        <is>
          <t>2026-10</t>
        </is>
      </c>
      <c r="C586" s="22" t="inlineStr">
        <is>
          <t>X</t>
        </is>
      </c>
      <c r="D586" s="22" t="n">
        <v>1</v>
      </c>
      <c r="E586" s="22" t="inlineStr">
        <is>
          <t>X: X search: electronic transmission results</t>
        </is>
      </c>
      <c r="F586" s="22" t="inlineStr">
        <is>
          <t>x:X search: electronic transmission results</t>
        </is>
      </c>
      <c r="G586" s="22" t="n">
        <v>-0.542</v>
      </c>
      <c r="H586" s="22" t="n">
        <v>1</v>
      </c>
      <c r="I586" s="22" t="n">
        <v>1</v>
      </c>
      <c r="J586" s="22" t="n">
        <v>0</v>
      </c>
      <c r="K586" s="22" t="n">
        <v>0</v>
      </c>
      <c r="L586" s="22" t="n">
        <v>0</v>
      </c>
      <c r="M586" s="22" t="n">
        <v>0</v>
      </c>
      <c r="N586" s="22" t="n">
        <v>0</v>
      </c>
      <c r="O586" s="22" t="n">
        <v>0</v>
      </c>
      <c r="P586" s="22" t="n">
        <v>0</v>
      </c>
      <c r="Q586" s="22" t="n">
        <v>0</v>
      </c>
      <c r="R586" s="22" t="n">
        <v>0</v>
      </c>
      <c r="S586" s="22" t="n">
        <v>0</v>
      </c>
      <c r="T586" s="22" t="n">
        <v>0</v>
      </c>
      <c r="U586" s="3">
        <f>IF(OR(N586=1,Q586=1),1,0)</f>
        <v/>
      </c>
      <c r="V586" s="3">
        <f>IF(OR(T586=1,P586=1),1,0)</f>
        <v/>
      </c>
      <c r="W586" s="3">
        <f>IF(OR(J586=1),1,0)</f>
        <v/>
      </c>
      <c r="X586" s="3">
        <f>IF(OR(I586=1,H586=1),1,0)</f>
        <v/>
      </c>
      <c r="Y586" s="3">
        <f>IF(OR(G586=1),1,0)</f>
        <v/>
      </c>
      <c r="Z586" s="3">
        <f>IF(OR(F586=1),1,0)</f>
        <v/>
      </c>
      <c r="AA586" s="3">
        <f>IF(OR(M586=1),1,0)</f>
        <v/>
      </c>
    </row>
    <row r="587">
      <c r="A587" s="22" t="inlineStr">
        <is>
          <t>0df25bd02b8c36d2fe1404d9d5163f7877718fa6</t>
        </is>
      </c>
      <c r="B587" s="22" t="inlineStr">
        <is>
          <t>2026-10</t>
        </is>
      </c>
      <c r="C587" s="22" t="inlineStr">
        <is>
          <t>X</t>
        </is>
      </c>
      <c r="D587" s="22" t="n">
        <v>1</v>
      </c>
      <c r="E587" s="22" t="inlineStr">
        <is>
          <t>X: X search: electronic transmission results</t>
        </is>
      </c>
      <c r="F587" s="22" t="inlineStr">
        <is>
          <t>x:X search: electronic transmission results</t>
        </is>
      </c>
      <c r="G587" s="22" t="n">
        <v>-0.881</v>
      </c>
      <c r="H587" s="22" t="n">
        <v>0</v>
      </c>
      <c r="I587" s="22" t="n">
        <v>1</v>
      </c>
      <c r="J587" s="22" t="n">
        <v>0</v>
      </c>
      <c r="K587" s="22" t="n">
        <v>0</v>
      </c>
      <c r="L587" s="22" t="n">
        <v>0</v>
      </c>
      <c r="M587" s="22" t="n">
        <v>0</v>
      </c>
      <c r="N587" s="22" t="n">
        <v>0</v>
      </c>
      <c r="O587" s="22" t="n">
        <v>0</v>
      </c>
      <c r="P587" s="22" t="n">
        <v>0</v>
      </c>
      <c r="Q587" s="22" t="n">
        <v>0</v>
      </c>
      <c r="R587" s="22" t="n">
        <v>0</v>
      </c>
      <c r="S587" s="22" t="n">
        <v>0</v>
      </c>
      <c r="T587" s="22" t="n">
        <v>0</v>
      </c>
      <c r="U587" s="3">
        <f>IF(OR(N587=1,Q587=1),1,0)</f>
        <v/>
      </c>
      <c r="V587" s="3">
        <f>IF(OR(T587=1,P587=1),1,0)</f>
        <v/>
      </c>
      <c r="W587" s="3">
        <f>IF(OR(J587=1),1,0)</f>
        <v/>
      </c>
      <c r="X587" s="3">
        <f>IF(OR(I587=1,H587=1),1,0)</f>
        <v/>
      </c>
      <c r="Y587" s="3">
        <f>IF(OR(G587=1),1,0)</f>
        <v/>
      </c>
      <c r="Z587" s="3">
        <f>IF(OR(F587=1),1,0)</f>
        <v/>
      </c>
      <c r="AA587" s="3">
        <f>IF(OR(M587=1),1,0)</f>
        <v/>
      </c>
    </row>
    <row r="588">
      <c r="A588" s="22" t="inlineStr">
        <is>
          <t>d0bdca28fbbb43c822385fd600f72c348b568d53</t>
        </is>
      </c>
      <c r="B588" s="22" t="inlineStr">
        <is>
          <t>2026-10</t>
        </is>
      </c>
      <c r="C588" s="22" t="inlineStr">
        <is>
          <t>X</t>
        </is>
      </c>
      <c r="D588" s="22" t="n">
        <v>1</v>
      </c>
      <c r="E588" s="22" t="inlineStr">
        <is>
          <t>X: X search: electronic transmission results</t>
        </is>
      </c>
      <c r="F588" s="22" t="inlineStr">
        <is>
          <t>x:X search: electronic transmission results</t>
        </is>
      </c>
      <c r="G588" s="22" t="n">
        <v>0.648</v>
      </c>
      <c r="H588" s="22" t="n">
        <v>0</v>
      </c>
      <c r="I588" s="22" t="n">
        <v>1</v>
      </c>
      <c r="J588" s="22" t="n">
        <v>0</v>
      </c>
      <c r="K588" s="22" t="n">
        <v>0</v>
      </c>
      <c r="L588" s="22" t="n">
        <v>0</v>
      </c>
      <c r="M588" s="22" t="n">
        <v>0</v>
      </c>
      <c r="N588" s="22" t="n">
        <v>0</v>
      </c>
      <c r="O588" s="22" t="n">
        <v>0</v>
      </c>
      <c r="P588" s="22" t="n">
        <v>0</v>
      </c>
      <c r="Q588" s="22" t="n">
        <v>0</v>
      </c>
      <c r="R588" s="22" t="n">
        <v>0</v>
      </c>
      <c r="S588" s="22" t="n">
        <v>0</v>
      </c>
      <c r="T588" s="22" t="n">
        <v>0</v>
      </c>
      <c r="U588" s="3">
        <f>IF(OR(N588=1,Q588=1),1,0)</f>
        <v/>
      </c>
      <c r="V588" s="3">
        <f>IF(OR(T588=1,P588=1),1,0)</f>
        <v/>
      </c>
      <c r="W588" s="3">
        <f>IF(OR(J588=1),1,0)</f>
        <v/>
      </c>
      <c r="X588" s="3">
        <f>IF(OR(I588=1,H588=1),1,0)</f>
        <v/>
      </c>
      <c r="Y588" s="3">
        <f>IF(OR(G588=1),1,0)</f>
        <v/>
      </c>
      <c r="Z588" s="3">
        <f>IF(OR(F588=1),1,0)</f>
        <v/>
      </c>
      <c r="AA588" s="3">
        <f>IF(OR(M588=1),1,0)</f>
        <v/>
      </c>
    </row>
    <row r="589">
      <c r="A589" s="22" t="inlineStr">
        <is>
          <t>cc507d2e91aec0a2426abdf6c7da7fdd174e7912</t>
        </is>
      </c>
      <c r="B589" s="22" t="inlineStr">
        <is>
          <t>2026-10</t>
        </is>
      </c>
      <c r="C589" s="22" t="inlineStr">
        <is>
          <t>X</t>
        </is>
      </c>
      <c r="D589" s="22" t="n">
        <v>1</v>
      </c>
      <c r="E589" s="22" t="inlineStr">
        <is>
          <t>X: X search: electronic transmission results</t>
        </is>
      </c>
      <c r="F589" s="22" t="inlineStr">
        <is>
          <t>x:X search: electronic transmission results</t>
        </is>
      </c>
      <c r="G589" s="22" t="n">
        <v>-0.402</v>
      </c>
      <c r="H589" s="22" t="n">
        <v>0</v>
      </c>
      <c r="I589" s="22" t="n">
        <v>1</v>
      </c>
      <c r="J589" s="22" t="n">
        <v>0</v>
      </c>
      <c r="K589" s="22" t="n">
        <v>0</v>
      </c>
      <c r="L589" s="22" t="n">
        <v>0</v>
      </c>
      <c r="M589" s="22" t="n">
        <v>0</v>
      </c>
      <c r="N589" s="22" t="n">
        <v>0</v>
      </c>
      <c r="O589" s="22" t="n">
        <v>0</v>
      </c>
      <c r="P589" s="22" t="n">
        <v>1</v>
      </c>
      <c r="Q589" s="22" t="n">
        <v>0</v>
      </c>
      <c r="R589" s="22" t="n">
        <v>0</v>
      </c>
      <c r="S589" s="22" t="n">
        <v>0</v>
      </c>
      <c r="T589" s="22" t="n">
        <v>0</v>
      </c>
      <c r="U589" s="3">
        <f>IF(OR(N589=1,Q589=1),1,0)</f>
        <v/>
      </c>
      <c r="V589" s="3">
        <f>IF(OR(T589=1,P589=1),1,0)</f>
        <v/>
      </c>
      <c r="W589" s="3">
        <f>IF(OR(J589=1),1,0)</f>
        <v/>
      </c>
      <c r="X589" s="3">
        <f>IF(OR(I589=1,H589=1),1,0)</f>
        <v/>
      </c>
      <c r="Y589" s="3">
        <f>IF(OR(G589=1),1,0)</f>
        <v/>
      </c>
      <c r="Z589" s="3">
        <f>IF(OR(F589=1),1,0)</f>
        <v/>
      </c>
      <c r="AA589" s="3">
        <f>IF(OR(M589=1),1,0)</f>
        <v/>
      </c>
    </row>
    <row r="590">
      <c r="A590" s="22" t="inlineStr">
        <is>
          <t>991a724ec917bfee7f2d4f11986b3540861523d5</t>
        </is>
      </c>
      <c r="B590" s="22" t="inlineStr">
        <is>
          <t>2026-10</t>
        </is>
      </c>
      <c r="C590" s="22" t="inlineStr">
        <is>
          <t>X</t>
        </is>
      </c>
      <c r="D590" s="22" t="n">
        <v>1</v>
      </c>
      <c r="E590" s="22" t="inlineStr">
        <is>
          <t>X: X search: electronic transmission results</t>
        </is>
      </c>
      <c r="F590" s="22" t="inlineStr">
        <is>
          <t>x:X search: electronic transmission results</t>
        </is>
      </c>
      <c r="G590" s="22" t="n">
        <v>-0.883</v>
      </c>
      <c r="H590" s="22" t="n">
        <v>0</v>
      </c>
      <c r="I590" s="22" t="n">
        <v>1</v>
      </c>
      <c r="J590" s="22" t="n">
        <v>0</v>
      </c>
      <c r="K590" s="22" t="n">
        <v>0</v>
      </c>
      <c r="L590" s="22" t="n">
        <v>0</v>
      </c>
      <c r="M590" s="22" t="n">
        <v>0</v>
      </c>
      <c r="N590" s="22" t="n">
        <v>0</v>
      </c>
      <c r="O590" s="22" t="n">
        <v>0</v>
      </c>
      <c r="P590" s="22" t="n">
        <v>0</v>
      </c>
      <c r="Q590" s="22" t="n">
        <v>0</v>
      </c>
      <c r="R590" s="22" t="n">
        <v>0</v>
      </c>
      <c r="S590" s="22" t="n">
        <v>0</v>
      </c>
      <c r="T590" s="22" t="n">
        <v>0</v>
      </c>
      <c r="U590" s="3">
        <f>IF(OR(N590=1,Q590=1),1,0)</f>
        <v/>
      </c>
      <c r="V590" s="3">
        <f>IF(OR(T590=1,P590=1),1,0)</f>
        <v/>
      </c>
      <c r="W590" s="3">
        <f>IF(OR(J590=1),1,0)</f>
        <v/>
      </c>
      <c r="X590" s="3">
        <f>IF(OR(I590=1,H590=1),1,0)</f>
        <v/>
      </c>
      <c r="Y590" s="3">
        <f>IF(OR(G590=1),1,0)</f>
        <v/>
      </c>
      <c r="Z590" s="3">
        <f>IF(OR(F590=1),1,0)</f>
        <v/>
      </c>
      <c r="AA590" s="3">
        <f>IF(OR(M590=1),1,0)</f>
        <v/>
      </c>
    </row>
    <row r="591">
      <c r="A591" s="22" t="inlineStr">
        <is>
          <t>da5fa4e69eab61d539dee6211b39d276970545cc</t>
        </is>
      </c>
      <c r="B591" s="22" t="inlineStr">
        <is>
          <t>2026-10</t>
        </is>
      </c>
      <c r="C591" s="22" t="inlineStr">
        <is>
          <t>X</t>
        </is>
      </c>
      <c r="D591" s="22" t="n">
        <v>1</v>
      </c>
      <c r="E591" s="22" t="inlineStr">
        <is>
          <t>X: X search (Top): rig 2027 election</t>
        </is>
      </c>
      <c r="F591" s="22" t="inlineStr">
        <is>
          <t>x:X search (Top): rig 2027 election</t>
        </is>
      </c>
      <c r="G591" s="22" t="n">
        <v>-0.542</v>
      </c>
      <c r="H591" s="22" t="n">
        <v>1</v>
      </c>
      <c r="I591" s="22" t="n">
        <v>0</v>
      </c>
      <c r="J591" s="22" t="n">
        <v>0</v>
      </c>
      <c r="K591" s="22" t="n">
        <v>0</v>
      </c>
      <c r="L591" s="22" t="n">
        <v>0</v>
      </c>
      <c r="M591" s="22" t="n">
        <v>0</v>
      </c>
      <c r="N591" s="22" t="n">
        <v>0</v>
      </c>
      <c r="O591" s="22" t="n">
        <v>0</v>
      </c>
      <c r="P591" s="22" t="n">
        <v>0</v>
      </c>
      <c r="Q591" s="22" t="n">
        <v>0</v>
      </c>
      <c r="R591" s="22" t="n">
        <v>0</v>
      </c>
      <c r="S591" s="22" t="n">
        <v>0</v>
      </c>
      <c r="T591" s="22" t="n">
        <v>0</v>
      </c>
      <c r="U591" s="3">
        <f>IF(OR(N591=1,Q591=1),1,0)</f>
        <v/>
      </c>
      <c r="V591" s="3">
        <f>IF(OR(T591=1,P591=1),1,0)</f>
        <v/>
      </c>
      <c r="W591" s="3">
        <f>IF(OR(J591=1),1,0)</f>
        <v/>
      </c>
      <c r="X591" s="3">
        <f>IF(OR(I591=1,H591=1),1,0)</f>
        <v/>
      </c>
      <c r="Y591" s="3">
        <f>IF(OR(G591=1),1,0)</f>
        <v/>
      </c>
      <c r="Z591" s="3">
        <f>IF(OR(F591=1),1,0)</f>
        <v/>
      </c>
      <c r="AA591" s="3">
        <f>IF(OR(M591=1),1,0)</f>
        <v/>
      </c>
    </row>
    <row r="592">
      <c r="A592" s="22" t="inlineStr">
        <is>
          <t>4fe02ac5e52e7108b1f609970474f3a3cc1dc248</t>
        </is>
      </c>
      <c r="B592" s="22" t="inlineStr">
        <is>
          <t>2026-10</t>
        </is>
      </c>
      <c r="C592" s="22" t="inlineStr">
        <is>
          <t>X</t>
        </is>
      </c>
      <c r="D592" s="22" t="n">
        <v>1</v>
      </c>
      <c r="E592" s="22" t="inlineStr">
        <is>
          <t>X: X search (Top): rig 2027 election</t>
        </is>
      </c>
      <c r="F592" s="22" t="inlineStr">
        <is>
          <t>x:X search (Top): rig 2027 election</t>
        </is>
      </c>
      <c r="G592" s="22" t="n">
        <v>-0.8070000000000001</v>
      </c>
      <c r="H592" s="22" t="n">
        <v>1</v>
      </c>
      <c r="I592" s="22" t="n">
        <v>0</v>
      </c>
      <c r="J592" s="22" t="n">
        <v>0</v>
      </c>
      <c r="K592" s="22" t="n">
        <v>0</v>
      </c>
      <c r="L592" s="22" t="n">
        <v>0</v>
      </c>
      <c r="M592" s="22" t="n">
        <v>1</v>
      </c>
      <c r="N592" s="22" t="n">
        <v>0</v>
      </c>
      <c r="O592" s="22" t="n">
        <v>0</v>
      </c>
      <c r="P592" s="22" t="n">
        <v>0</v>
      </c>
      <c r="Q592" s="22" t="n">
        <v>0</v>
      </c>
      <c r="R592" s="22" t="n">
        <v>0</v>
      </c>
      <c r="S592" s="22" t="n">
        <v>0</v>
      </c>
      <c r="T592" s="22" t="n">
        <v>0</v>
      </c>
      <c r="U592" s="3">
        <f>IF(OR(N592=1,Q592=1),1,0)</f>
        <v/>
      </c>
      <c r="V592" s="3">
        <f>IF(OR(T592=1,P592=1),1,0)</f>
        <v/>
      </c>
      <c r="W592" s="3">
        <f>IF(OR(J592=1),1,0)</f>
        <v/>
      </c>
      <c r="X592" s="3">
        <f>IF(OR(I592=1,H592=1),1,0)</f>
        <v/>
      </c>
      <c r="Y592" s="3">
        <f>IF(OR(G592=1),1,0)</f>
        <v/>
      </c>
      <c r="Z592" s="3">
        <f>IF(OR(F592=1),1,0)</f>
        <v/>
      </c>
      <c r="AA592" s="3">
        <f>IF(OR(M592=1),1,0)</f>
        <v/>
      </c>
    </row>
    <row r="593">
      <c r="A593" s="22" t="inlineStr">
        <is>
          <t>4ef5d241288df84457b04c715be3b16dd3631d16</t>
        </is>
      </c>
      <c r="B593" s="22" t="inlineStr">
        <is>
          <t>2026-10</t>
        </is>
      </c>
      <c r="C593" s="22" t="inlineStr">
        <is>
          <t>X</t>
        </is>
      </c>
      <c r="D593" s="22" t="n">
        <v>1</v>
      </c>
      <c r="E593" s="22" t="inlineStr">
        <is>
          <t>X: X search (Top): rig 2027 election</t>
        </is>
      </c>
      <c r="F593" s="22" t="inlineStr">
        <is>
          <t>x:X search (Top): rig 2027 election</t>
        </is>
      </c>
      <c r="G593" s="22" t="n">
        <v>-0.625</v>
      </c>
      <c r="H593" s="22" t="n">
        <v>1</v>
      </c>
      <c r="I593" s="22" t="n">
        <v>0</v>
      </c>
      <c r="J593" s="22" t="n">
        <v>0</v>
      </c>
      <c r="K593" s="22" t="n">
        <v>0</v>
      </c>
      <c r="L593" s="22" t="n">
        <v>0</v>
      </c>
      <c r="M593" s="22" t="n">
        <v>0</v>
      </c>
      <c r="N593" s="22" t="n">
        <v>0</v>
      </c>
      <c r="O593" s="22" t="n">
        <v>0</v>
      </c>
      <c r="P593" s="22" t="n">
        <v>0</v>
      </c>
      <c r="Q593" s="22" t="n">
        <v>0</v>
      </c>
      <c r="R593" s="22" t="n">
        <v>0</v>
      </c>
      <c r="S593" s="22" t="n">
        <v>0</v>
      </c>
      <c r="T593" s="22" t="n">
        <v>0</v>
      </c>
      <c r="U593" s="3">
        <f>IF(OR(N593=1,Q593=1),1,0)</f>
        <v/>
      </c>
      <c r="V593" s="3">
        <f>IF(OR(T593=1,P593=1),1,0)</f>
        <v/>
      </c>
      <c r="W593" s="3">
        <f>IF(OR(J593=1),1,0)</f>
        <v/>
      </c>
      <c r="X593" s="3">
        <f>IF(OR(I593=1,H593=1),1,0)</f>
        <v/>
      </c>
      <c r="Y593" s="3">
        <f>IF(OR(G593=1),1,0)</f>
        <v/>
      </c>
      <c r="Z593" s="3">
        <f>IF(OR(F593=1),1,0)</f>
        <v/>
      </c>
      <c r="AA593" s="3">
        <f>IF(OR(M593=1),1,0)</f>
        <v/>
      </c>
    </row>
    <row r="594">
      <c r="A594" s="22" t="inlineStr">
        <is>
          <t>5888a724c1e9505f91249c341b8d777ec86c9e32</t>
        </is>
      </c>
      <c r="B594" s="22" t="inlineStr">
        <is>
          <t>2026-10</t>
        </is>
      </c>
      <c r="C594" s="22" t="inlineStr">
        <is>
          <t>X</t>
        </is>
      </c>
      <c r="D594" s="22" t="n">
        <v>1</v>
      </c>
      <c r="E594" s="22" t="inlineStr">
        <is>
          <t>X: X search (Top): rig 2027 election</t>
        </is>
      </c>
      <c r="F594" s="22" t="inlineStr">
        <is>
          <t>x:X search (Top): rig 2027 election</t>
        </is>
      </c>
      <c r="G594" s="22" t="n">
        <v>-0.912</v>
      </c>
      <c r="H594" s="22" t="n">
        <v>1</v>
      </c>
      <c r="I594" s="22" t="n">
        <v>0</v>
      </c>
      <c r="J594" s="22" t="n">
        <v>0</v>
      </c>
      <c r="K594" s="22" t="n">
        <v>0</v>
      </c>
      <c r="L594" s="22" t="n">
        <v>0</v>
      </c>
      <c r="M594" s="22" t="n">
        <v>0</v>
      </c>
      <c r="N594" s="22" t="n">
        <v>0</v>
      </c>
      <c r="O594" s="22" t="n">
        <v>0</v>
      </c>
      <c r="P594" s="22" t="n">
        <v>0</v>
      </c>
      <c r="Q594" s="22" t="n">
        <v>0</v>
      </c>
      <c r="R594" s="22" t="n">
        <v>0</v>
      </c>
      <c r="S594" s="22" t="n">
        <v>0</v>
      </c>
      <c r="T594" s="22" t="n">
        <v>0</v>
      </c>
      <c r="U594" s="3">
        <f>IF(OR(N594=1,Q594=1),1,0)</f>
        <v/>
      </c>
      <c r="V594" s="3">
        <f>IF(OR(T594=1,P594=1),1,0)</f>
        <v/>
      </c>
      <c r="W594" s="3">
        <f>IF(OR(J594=1),1,0)</f>
        <v/>
      </c>
      <c r="X594" s="3">
        <f>IF(OR(I594=1,H594=1),1,0)</f>
        <v/>
      </c>
      <c r="Y594" s="3">
        <f>IF(OR(G594=1),1,0)</f>
        <v/>
      </c>
      <c r="Z594" s="3">
        <f>IF(OR(F594=1),1,0)</f>
        <v/>
      </c>
      <c r="AA594" s="3">
        <f>IF(OR(M594=1),1,0)</f>
        <v/>
      </c>
    </row>
    <row r="595">
      <c r="A595" s="22" t="inlineStr">
        <is>
          <t>890ffa5faba5e03bf7f898029c094ebe8e93af2a</t>
        </is>
      </c>
      <c r="B595" s="22" t="inlineStr">
        <is>
          <t>2026-10</t>
        </is>
      </c>
      <c r="C595" s="22" t="inlineStr">
        <is>
          <t>X</t>
        </is>
      </c>
      <c r="D595" s="22" t="n">
        <v>1</v>
      </c>
      <c r="E595" s="22" t="inlineStr">
        <is>
          <t>X: X search (Top): rig 2027 election</t>
        </is>
      </c>
      <c r="F595" s="22" t="inlineStr">
        <is>
          <t>x:X search (Top): rig 2027 election</t>
        </is>
      </c>
      <c r="G595" s="22" t="n">
        <v>-0.91</v>
      </c>
      <c r="H595" s="22" t="n">
        <v>1</v>
      </c>
      <c r="I595" s="22" t="n">
        <v>0</v>
      </c>
      <c r="J595" s="22" t="n">
        <v>0</v>
      </c>
      <c r="K595" s="22" t="n">
        <v>0</v>
      </c>
      <c r="L595" s="22" t="n">
        <v>0</v>
      </c>
      <c r="M595" s="22" t="n">
        <v>0</v>
      </c>
      <c r="N595" s="22" t="n">
        <v>0</v>
      </c>
      <c r="O595" s="22" t="n">
        <v>0</v>
      </c>
      <c r="P595" s="22" t="n">
        <v>0</v>
      </c>
      <c r="Q595" s="22" t="n">
        <v>0</v>
      </c>
      <c r="R595" s="22" t="n">
        <v>0</v>
      </c>
      <c r="S595" s="22" t="n">
        <v>0</v>
      </c>
      <c r="T595" s="22" t="n">
        <v>0</v>
      </c>
      <c r="U595" s="3">
        <f>IF(OR(N595=1,Q595=1),1,0)</f>
        <v/>
      </c>
      <c r="V595" s="3">
        <f>IF(OR(T595=1,P595=1),1,0)</f>
        <v/>
      </c>
      <c r="W595" s="3">
        <f>IF(OR(J595=1),1,0)</f>
        <v/>
      </c>
      <c r="X595" s="3">
        <f>IF(OR(I595=1,H595=1),1,0)</f>
        <v/>
      </c>
      <c r="Y595" s="3">
        <f>IF(OR(G595=1),1,0)</f>
        <v/>
      </c>
      <c r="Z595" s="3">
        <f>IF(OR(F595=1),1,0)</f>
        <v/>
      </c>
      <c r="AA595" s="3">
        <f>IF(OR(M595=1),1,0)</f>
        <v/>
      </c>
    </row>
    <row r="596">
      <c r="A596" s="22" t="inlineStr">
        <is>
          <t>93b865aa90ea34cf63cddab158b645e19c1710bb</t>
        </is>
      </c>
      <c r="B596" s="22" t="inlineStr">
        <is>
          <t>2026-10</t>
        </is>
      </c>
      <c r="C596" s="22" t="inlineStr">
        <is>
          <t>X</t>
        </is>
      </c>
      <c r="D596" s="22" t="n">
        <v>1</v>
      </c>
      <c r="E596" s="22" t="inlineStr">
        <is>
          <t>X: X search (Top): rig 2027 election</t>
        </is>
      </c>
      <c r="F596" s="22" t="inlineStr">
        <is>
          <t>x:X search (Top): rig 2027 election</t>
        </is>
      </c>
      <c r="G596" s="22" t="n">
        <v>-0.71</v>
      </c>
      <c r="H596" s="22" t="n">
        <v>1</v>
      </c>
      <c r="I596" s="22" t="n">
        <v>0</v>
      </c>
      <c r="J596" s="22" t="n">
        <v>0</v>
      </c>
      <c r="K596" s="22" t="n">
        <v>0</v>
      </c>
      <c r="L596" s="22" t="n">
        <v>0</v>
      </c>
      <c r="M596" s="22" t="n">
        <v>0</v>
      </c>
      <c r="N596" s="22" t="n">
        <v>0</v>
      </c>
      <c r="O596" s="22" t="n">
        <v>0</v>
      </c>
      <c r="P596" s="22" t="n">
        <v>0</v>
      </c>
      <c r="Q596" s="22" t="n">
        <v>0</v>
      </c>
      <c r="R596" s="22" t="n">
        <v>0</v>
      </c>
      <c r="S596" s="22" t="n">
        <v>0</v>
      </c>
      <c r="T596" s="22" t="n">
        <v>0</v>
      </c>
      <c r="U596" s="3">
        <f>IF(OR(N596=1,Q596=1),1,0)</f>
        <v/>
      </c>
      <c r="V596" s="3">
        <f>IF(OR(T596=1,P596=1),1,0)</f>
        <v/>
      </c>
      <c r="W596" s="3">
        <f>IF(OR(J596=1),1,0)</f>
        <v/>
      </c>
      <c r="X596" s="3">
        <f>IF(OR(I596=1,H596=1),1,0)</f>
        <v/>
      </c>
      <c r="Y596" s="3">
        <f>IF(OR(G596=1),1,0)</f>
        <v/>
      </c>
      <c r="Z596" s="3">
        <f>IF(OR(F596=1),1,0)</f>
        <v/>
      </c>
      <c r="AA596" s="3">
        <f>IF(OR(M596=1),1,0)</f>
        <v/>
      </c>
    </row>
    <row r="597">
      <c r="A597" s="22" t="inlineStr">
        <is>
          <t>1446d4b9542d872ffa37a67f9d18f10745f7ad98</t>
        </is>
      </c>
      <c r="B597" s="22" t="inlineStr">
        <is>
          <t>2026-10</t>
        </is>
      </c>
      <c r="C597" s="22" t="inlineStr">
        <is>
          <t>X</t>
        </is>
      </c>
      <c r="D597" s="22" t="n">
        <v>1</v>
      </c>
      <c r="E597" s="22" t="inlineStr">
        <is>
          <t>X: X search (Top): rig 2027 election</t>
        </is>
      </c>
      <c r="F597" s="22" t="inlineStr">
        <is>
          <t>x:X search (Top): rig 2027 election</t>
        </is>
      </c>
      <c r="G597" s="22" t="n">
        <v>-0.963</v>
      </c>
      <c r="H597" s="22" t="n">
        <v>1</v>
      </c>
      <c r="I597" s="22" t="n">
        <v>0</v>
      </c>
      <c r="J597" s="22" t="n">
        <v>0</v>
      </c>
      <c r="K597" s="22" t="n">
        <v>0</v>
      </c>
      <c r="L597" s="22" t="n">
        <v>0</v>
      </c>
      <c r="M597" s="22" t="n">
        <v>0</v>
      </c>
      <c r="N597" s="22" t="n">
        <v>0</v>
      </c>
      <c r="O597" s="22" t="n">
        <v>0</v>
      </c>
      <c r="P597" s="22" t="n">
        <v>0</v>
      </c>
      <c r="Q597" s="22" t="n">
        <v>0</v>
      </c>
      <c r="R597" s="22" t="n">
        <v>0</v>
      </c>
      <c r="S597" s="22" t="n">
        <v>0</v>
      </c>
      <c r="T597" s="22" t="n">
        <v>0</v>
      </c>
      <c r="U597" s="3">
        <f>IF(OR(N597=1,Q597=1),1,0)</f>
        <v/>
      </c>
      <c r="V597" s="3">
        <f>IF(OR(T597=1,P597=1),1,0)</f>
        <v/>
      </c>
      <c r="W597" s="3">
        <f>IF(OR(J597=1),1,0)</f>
        <v/>
      </c>
      <c r="X597" s="3">
        <f>IF(OR(I597=1,H597=1),1,0)</f>
        <v/>
      </c>
      <c r="Y597" s="3">
        <f>IF(OR(G597=1),1,0)</f>
        <v/>
      </c>
      <c r="Z597" s="3">
        <f>IF(OR(F597=1),1,0)</f>
        <v/>
      </c>
      <c r="AA597" s="3">
        <f>IF(OR(M597=1),1,0)</f>
        <v/>
      </c>
    </row>
    <row r="598">
      <c r="A598" s="22" t="inlineStr">
        <is>
          <t>bc76b26ef5c98977ef48691610265ad4ccfef4ea</t>
        </is>
      </c>
      <c r="B598" s="22" t="inlineStr">
        <is>
          <t>2026-10</t>
        </is>
      </c>
      <c r="C598" s="22" t="inlineStr">
        <is>
          <t>X</t>
        </is>
      </c>
      <c r="D598" s="22" t="n">
        <v>1</v>
      </c>
      <c r="E598" s="22" t="inlineStr">
        <is>
          <t>X: X search (Top): rig 2027 election</t>
        </is>
      </c>
      <c r="F598" s="22" t="inlineStr">
        <is>
          <t>x:X search (Top): rig 2027 election</t>
        </is>
      </c>
      <c r="G598" s="22" t="n">
        <v>-0.226</v>
      </c>
      <c r="H598" s="22" t="n">
        <v>1</v>
      </c>
      <c r="I598" s="22" t="n">
        <v>0</v>
      </c>
      <c r="J598" s="22" t="n">
        <v>0</v>
      </c>
      <c r="K598" s="22" t="n">
        <v>0</v>
      </c>
      <c r="L598" s="22" t="n">
        <v>0</v>
      </c>
      <c r="M598" s="22" t="n">
        <v>0</v>
      </c>
      <c r="N598" s="22" t="n">
        <v>0</v>
      </c>
      <c r="O598" s="22" t="n">
        <v>0</v>
      </c>
      <c r="P598" s="22" t="n">
        <v>0</v>
      </c>
      <c r="Q598" s="22" t="n">
        <v>0</v>
      </c>
      <c r="R598" s="22" t="n">
        <v>0</v>
      </c>
      <c r="S598" s="22" t="n">
        <v>0</v>
      </c>
      <c r="T598" s="22" t="n">
        <v>0</v>
      </c>
      <c r="U598" s="3">
        <f>IF(OR(N598=1,Q598=1),1,0)</f>
        <v/>
      </c>
      <c r="V598" s="3">
        <f>IF(OR(T598=1,P598=1),1,0)</f>
        <v/>
      </c>
      <c r="W598" s="3">
        <f>IF(OR(J598=1),1,0)</f>
        <v/>
      </c>
      <c r="X598" s="3">
        <f>IF(OR(I598=1,H598=1),1,0)</f>
        <v/>
      </c>
      <c r="Y598" s="3">
        <f>IF(OR(G598=1),1,0)</f>
        <v/>
      </c>
      <c r="Z598" s="3">
        <f>IF(OR(F598=1),1,0)</f>
        <v/>
      </c>
      <c r="AA598" s="3">
        <f>IF(OR(M598=1),1,0)</f>
        <v/>
      </c>
    </row>
    <row r="599">
      <c r="A599" s="22" t="inlineStr">
        <is>
          <t>7d93fd63d1f1415b468e0817bd5d8d7a7da518ba</t>
        </is>
      </c>
      <c r="B599" s="22" t="inlineStr">
        <is>
          <t>2026-10</t>
        </is>
      </c>
      <c r="C599" s="22" t="inlineStr">
        <is>
          <t>X</t>
        </is>
      </c>
      <c r="D599" s="22" t="n">
        <v>1</v>
      </c>
      <c r="E599" s="22" t="inlineStr">
        <is>
          <t>X: X search (Top): rig 2027 election</t>
        </is>
      </c>
      <c r="F599" s="22" t="inlineStr">
        <is>
          <t>x:X search (Top): rig 2027 election</t>
        </is>
      </c>
      <c r="G599" s="22" t="n">
        <v>0.846</v>
      </c>
      <c r="H599" s="22" t="n">
        <v>1</v>
      </c>
      <c r="I599" s="22" t="n">
        <v>0</v>
      </c>
      <c r="J599" s="22" t="n">
        <v>0</v>
      </c>
      <c r="K599" s="22" t="n">
        <v>0</v>
      </c>
      <c r="L599" s="22" t="n">
        <v>0</v>
      </c>
      <c r="M599" s="22" t="n">
        <v>0</v>
      </c>
      <c r="N599" s="22" t="n">
        <v>0</v>
      </c>
      <c r="O599" s="22" t="n">
        <v>0</v>
      </c>
      <c r="P599" s="22" t="n">
        <v>0</v>
      </c>
      <c r="Q599" s="22" t="n">
        <v>0</v>
      </c>
      <c r="R599" s="22" t="n">
        <v>0</v>
      </c>
      <c r="S599" s="22" t="n">
        <v>0</v>
      </c>
      <c r="T599" s="22" t="n">
        <v>0</v>
      </c>
      <c r="U599" s="3">
        <f>IF(OR(N599=1,Q599=1),1,0)</f>
        <v/>
      </c>
      <c r="V599" s="3">
        <f>IF(OR(T599=1,P599=1),1,0)</f>
        <v/>
      </c>
      <c r="W599" s="3">
        <f>IF(OR(J599=1),1,0)</f>
        <v/>
      </c>
      <c r="X599" s="3">
        <f>IF(OR(I599=1,H599=1),1,0)</f>
        <v/>
      </c>
      <c r="Y599" s="3">
        <f>IF(OR(G599=1),1,0)</f>
        <v/>
      </c>
      <c r="Z599" s="3">
        <f>IF(OR(F599=1),1,0)</f>
        <v/>
      </c>
      <c r="AA599" s="3">
        <f>IF(OR(M599=1),1,0)</f>
        <v/>
      </c>
    </row>
    <row r="600">
      <c r="A600" s="22" t="inlineStr">
        <is>
          <t>6ff531dc121cb8fdf4c0d37daaf11d2a13cf3967</t>
        </is>
      </c>
      <c r="B600" s="22" t="inlineStr">
        <is>
          <t>2026-10</t>
        </is>
      </c>
      <c r="C600" s="22" t="inlineStr">
        <is>
          <t>X</t>
        </is>
      </c>
      <c r="D600" s="22" t="n">
        <v>1</v>
      </c>
      <c r="E600" s="22" t="inlineStr">
        <is>
          <t>X: X search (Top): rig 2027 election</t>
        </is>
      </c>
      <c r="F600" s="22" t="inlineStr">
        <is>
          <t>x:X search (Top): rig 2027 election</t>
        </is>
      </c>
      <c r="G600" s="22" t="n">
        <v>-0.915</v>
      </c>
      <c r="H600" s="22" t="n">
        <v>1</v>
      </c>
      <c r="I600" s="22" t="n">
        <v>0</v>
      </c>
      <c r="J600" s="22" t="n">
        <v>0</v>
      </c>
      <c r="K600" s="22" t="n">
        <v>0</v>
      </c>
      <c r="L600" s="22" t="n">
        <v>0</v>
      </c>
      <c r="M600" s="22" t="n">
        <v>0</v>
      </c>
      <c r="N600" s="22" t="n">
        <v>0</v>
      </c>
      <c r="O600" s="22" t="n">
        <v>0</v>
      </c>
      <c r="P600" s="22" t="n">
        <v>0</v>
      </c>
      <c r="Q600" s="22" t="n">
        <v>0</v>
      </c>
      <c r="R600" s="22" t="n">
        <v>0</v>
      </c>
      <c r="S600" s="22" t="n">
        <v>0</v>
      </c>
      <c r="T600" s="22" t="n">
        <v>0</v>
      </c>
      <c r="U600" s="3">
        <f>IF(OR(N600=1,Q600=1),1,0)</f>
        <v/>
      </c>
      <c r="V600" s="3">
        <f>IF(OR(T600=1,P600=1),1,0)</f>
        <v/>
      </c>
      <c r="W600" s="3">
        <f>IF(OR(J600=1),1,0)</f>
        <v/>
      </c>
      <c r="X600" s="3">
        <f>IF(OR(I600=1,H600=1),1,0)</f>
        <v/>
      </c>
      <c r="Y600" s="3">
        <f>IF(OR(G600=1),1,0)</f>
        <v/>
      </c>
      <c r="Z600" s="3">
        <f>IF(OR(F600=1),1,0)</f>
        <v/>
      </c>
      <c r="AA600" s="3">
        <f>IF(OR(M600=1),1,0)</f>
        <v/>
      </c>
    </row>
    <row r="601">
      <c r="A601" s="22" t="inlineStr">
        <is>
          <t>bbd9344a4bd9db9d77cd3bc8e1860a1e6f865e2b</t>
        </is>
      </c>
      <c r="B601" s="22" t="inlineStr">
        <is>
          <t>2026-10</t>
        </is>
      </c>
      <c r="C601" s="22" t="inlineStr">
        <is>
          <t>X</t>
        </is>
      </c>
      <c r="D601" s="22" t="n">
        <v>1</v>
      </c>
      <c r="E601" s="22" t="inlineStr">
        <is>
          <t>X: X search (Top): rig 2027 election</t>
        </is>
      </c>
      <c r="F601" s="22" t="inlineStr">
        <is>
          <t>x:X search (Top): rig 2027 election</t>
        </is>
      </c>
      <c r="G601" s="22" t="n">
        <v>-0.758</v>
      </c>
      <c r="H601" s="22" t="n">
        <v>1</v>
      </c>
      <c r="I601" s="22" t="n">
        <v>0</v>
      </c>
      <c r="J601" s="22" t="n">
        <v>0</v>
      </c>
      <c r="K601" s="22" t="n">
        <v>0</v>
      </c>
      <c r="L601" s="22" t="n">
        <v>0</v>
      </c>
      <c r="M601" s="22" t="n">
        <v>0</v>
      </c>
      <c r="N601" s="22" t="n">
        <v>0</v>
      </c>
      <c r="O601" s="22" t="n">
        <v>0</v>
      </c>
      <c r="P601" s="22" t="n">
        <v>0</v>
      </c>
      <c r="Q601" s="22" t="n">
        <v>0</v>
      </c>
      <c r="R601" s="22" t="n">
        <v>0</v>
      </c>
      <c r="S601" s="22" t="n">
        <v>0</v>
      </c>
      <c r="T601" s="22" t="n">
        <v>0</v>
      </c>
      <c r="U601" s="3">
        <f>IF(OR(N601=1,Q601=1),1,0)</f>
        <v/>
      </c>
      <c r="V601" s="3">
        <f>IF(OR(T601=1,P601=1),1,0)</f>
        <v/>
      </c>
      <c r="W601" s="3">
        <f>IF(OR(J601=1),1,0)</f>
        <v/>
      </c>
      <c r="X601" s="3">
        <f>IF(OR(I601=1,H601=1),1,0)</f>
        <v/>
      </c>
      <c r="Y601" s="3">
        <f>IF(OR(G601=1),1,0)</f>
        <v/>
      </c>
      <c r="Z601" s="3">
        <f>IF(OR(F601=1),1,0)</f>
        <v/>
      </c>
      <c r="AA601" s="3">
        <f>IF(OR(M601=1),1,0)</f>
        <v/>
      </c>
    </row>
    <row r="602">
      <c r="A602" s="22" t="inlineStr">
        <is>
          <t>7de12f36202a9f4a99a03d60aae81b8b4d9b060b</t>
        </is>
      </c>
      <c r="B602" s="22" t="inlineStr">
        <is>
          <t>2026-10</t>
        </is>
      </c>
      <c r="C602" s="22" t="inlineStr">
        <is>
          <t>X</t>
        </is>
      </c>
      <c r="D602" s="22" t="n">
        <v>1</v>
      </c>
      <c r="E602" s="22" t="inlineStr">
        <is>
          <t>X: X search (Top): rig 2027 election</t>
        </is>
      </c>
      <c r="F602" s="22" t="inlineStr">
        <is>
          <t>x:X search (Top): rig 2027 election</t>
        </is>
      </c>
      <c r="G602" s="22" t="n">
        <v>-0.625</v>
      </c>
      <c r="H602" s="22" t="n">
        <v>1</v>
      </c>
      <c r="I602" s="22" t="n">
        <v>0</v>
      </c>
      <c r="J602" s="22" t="n">
        <v>0</v>
      </c>
      <c r="K602" s="22" t="n">
        <v>0</v>
      </c>
      <c r="L602" s="22" t="n">
        <v>0</v>
      </c>
      <c r="M602" s="22" t="n">
        <v>0</v>
      </c>
      <c r="N602" s="22" t="n">
        <v>0</v>
      </c>
      <c r="O602" s="22" t="n">
        <v>0</v>
      </c>
      <c r="P602" s="22" t="n">
        <v>0</v>
      </c>
      <c r="Q602" s="22" t="n">
        <v>0</v>
      </c>
      <c r="R602" s="22" t="n">
        <v>0</v>
      </c>
      <c r="S602" s="22" t="n">
        <v>0</v>
      </c>
      <c r="T602" s="22" t="n">
        <v>0</v>
      </c>
      <c r="U602" s="3">
        <f>IF(OR(N602=1,Q602=1),1,0)</f>
        <v/>
      </c>
      <c r="V602" s="3">
        <f>IF(OR(T602=1,P602=1),1,0)</f>
        <v/>
      </c>
      <c r="W602" s="3">
        <f>IF(OR(J602=1),1,0)</f>
        <v/>
      </c>
      <c r="X602" s="3">
        <f>IF(OR(I602=1,H602=1),1,0)</f>
        <v/>
      </c>
      <c r="Y602" s="3">
        <f>IF(OR(G602=1),1,0)</f>
        <v/>
      </c>
      <c r="Z602" s="3">
        <f>IF(OR(F602=1),1,0)</f>
        <v/>
      </c>
      <c r="AA602" s="3">
        <f>IF(OR(M602=1),1,0)</f>
        <v/>
      </c>
    </row>
    <row r="603">
      <c r="A603" s="22" t="inlineStr">
        <is>
          <t>2248fb2ea01c8c536db58a21ec306387dc27eccb</t>
        </is>
      </c>
      <c r="B603" s="22" t="inlineStr">
        <is>
          <t>2026-10</t>
        </is>
      </c>
      <c r="C603" s="22" t="inlineStr">
        <is>
          <t>X</t>
        </is>
      </c>
      <c r="D603" s="22" t="n">
        <v>1</v>
      </c>
      <c r="E603" s="22" t="inlineStr">
        <is>
          <t>X: X search (Top): rig 2027 election</t>
        </is>
      </c>
      <c r="F603" s="22" t="inlineStr">
        <is>
          <t>x:X search (Top): rig 2027 election</t>
        </is>
      </c>
      <c r="G603" s="22" t="n">
        <v>-0.796</v>
      </c>
      <c r="H603" s="22" t="n">
        <v>1</v>
      </c>
      <c r="I603" s="22" t="n">
        <v>0</v>
      </c>
      <c r="J603" s="22" t="n">
        <v>0</v>
      </c>
      <c r="K603" s="22" t="n">
        <v>0</v>
      </c>
      <c r="L603" s="22" t="n">
        <v>0</v>
      </c>
      <c r="M603" s="22" t="n">
        <v>0</v>
      </c>
      <c r="N603" s="22" t="n">
        <v>0</v>
      </c>
      <c r="O603" s="22" t="n">
        <v>0</v>
      </c>
      <c r="P603" s="22" t="n">
        <v>0</v>
      </c>
      <c r="Q603" s="22" t="n">
        <v>0</v>
      </c>
      <c r="R603" s="22" t="n">
        <v>0</v>
      </c>
      <c r="S603" s="22" t="n">
        <v>0</v>
      </c>
      <c r="T603" s="22" t="n">
        <v>0</v>
      </c>
      <c r="U603" s="3">
        <f>IF(OR(N603=1,Q603=1),1,0)</f>
        <v/>
      </c>
      <c r="V603" s="3">
        <f>IF(OR(T603=1,P603=1),1,0)</f>
        <v/>
      </c>
      <c r="W603" s="3">
        <f>IF(OR(J603=1),1,0)</f>
        <v/>
      </c>
      <c r="X603" s="3">
        <f>IF(OR(I603=1,H603=1),1,0)</f>
        <v/>
      </c>
      <c r="Y603" s="3">
        <f>IF(OR(G603=1),1,0)</f>
        <v/>
      </c>
      <c r="Z603" s="3">
        <f>IF(OR(F603=1),1,0)</f>
        <v/>
      </c>
      <c r="AA603" s="3">
        <f>IF(OR(M603=1),1,0)</f>
        <v/>
      </c>
    </row>
    <row r="604">
      <c r="A604" s="22" t="inlineStr">
        <is>
          <t>9fbbd65cb720864d4a8641423c19eba6b0c74ec8</t>
        </is>
      </c>
      <c r="B604" s="22" t="inlineStr">
        <is>
          <t>2026-07</t>
        </is>
      </c>
      <c r="C604" s="22" t="inlineStr">
        <is>
          <t>X</t>
        </is>
      </c>
      <c r="D604" s="22" t="n">
        <v>1</v>
      </c>
      <c r="E604" s="22" t="inlineStr">
        <is>
          <t>X: X search (Top): rig 2027 election</t>
        </is>
      </c>
      <c r="F604" s="22" t="inlineStr">
        <is>
          <t>x:X search (Top): rig 2027 election</t>
        </is>
      </c>
      <c r="G604" s="22" t="n">
        <v>-0.926</v>
      </c>
      <c r="H604" s="22" t="n">
        <v>1</v>
      </c>
      <c r="I604" s="22" t="n">
        <v>0</v>
      </c>
      <c r="J604" s="22" t="n">
        <v>0</v>
      </c>
      <c r="K604" s="22" t="n">
        <v>0</v>
      </c>
      <c r="L604" s="22" t="n">
        <v>0</v>
      </c>
      <c r="M604" s="22" t="n">
        <v>0</v>
      </c>
      <c r="N604" s="22" t="n">
        <v>0</v>
      </c>
      <c r="O604" s="22" t="n">
        <v>0</v>
      </c>
      <c r="P604" s="22" t="n">
        <v>0</v>
      </c>
      <c r="Q604" s="22" t="n">
        <v>0</v>
      </c>
      <c r="R604" s="22" t="n">
        <v>0</v>
      </c>
      <c r="S604" s="22" t="n">
        <v>0</v>
      </c>
      <c r="T604" s="22" t="n">
        <v>0</v>
      </c>
      <c r="U604" s="3">
        <f>IF(OR(N604=1,Q604=1),1,0)</f>
        <v/>
      </c>
      <c r="V604" s="3">
        <f>IF(OR(T604=1,P604=1),1,0)</f>
        <v/>
      </c>
      <c r="W604" s="3">
        <f>IF(OR(J604=1),1,0)</f>
        <v/>
      </c>
      <c r="X604" s="3">
        <f>IF(OR(I604=1,H604=1),1,0)</f>
        <v/>
      </c>
      <c r="Y604" s="3">
        <f>IF(OR(G604=1),1,0)</f>
        <v/>
      </c>
      <c r="Z604" s="3">
        <f>IF(OR(F604=1),1,0)</f>
        <v/>
      </c>
      <c r="AA604" s="3">
        <f>IF(OR(M604=1),1,0)</f>
        <v/>
      </c>
    </row>
    <row r="605">
      <c r="A605" s="22" t="inlineStr">
        <is>
          <t>5e5919cbb4462986db374f265d9dbd854825cc19</t>
        </is>
      </c>
      <c r="B605" s="22" t="inlineStr">
        <is>
          <t>2026-10</t>
        </is>
      </c>
      <c r="C605" s="22" t="inlineStr">
        <is>
          <t>X</t>
        </is>
      </c>
      <c r="D605" s="22" t="n">
        <v>1</v>
      </c>
      <c r="E605" s="22" t="inlineStr">
        <is>
          <t>X: X search (Top): rig 2027 election</t>
        </is>
      </c>
      <c r="F605" s="22" t="inlineStr">
        <is>
          <t>x:X search (Top): rig 2027 election</t>
        </is>
      </c>
      <c r="G605" s="22" t="n">
        <v>-0.8070000000000001</v>
      </c>
      <c r="H605" s="22" t="n">
        <v>1</v>
      </c>
      <c r="I605" s="22" t="n">
        <v>0</v>
      </c>
      <c r="J605" s="22" t="n">
        <v>0</v>
      </c>
      <c r="K605" s="22" t="n">
        <v>0</v>
      </c>
      <c r="L605" s="22" t="n">
        <v>0</v>
      </c>
      <c r="M605" s="22" t="n">
        <v>0</v>
      </c>
      <c r="N605" s="22" t="n">
        <v>0</v>
      </c>
      <c r="O605" s="22" t="n">
        <v>0</v>
      </c>
      <c r="P605" s="22" t="n">
        <v>0</v>
      </c>
      <c r="Q605" s="22" t="n">
        <v>0</v>
      </c>
      <c r="R605" s="22" t="n">
        <v>0</v>
      </c>
      <c r="S605" s="22" t="n">
        <v>0</v>
      </c>
      <c r="T605" s="22" t="n">
        <v>0</v>
      </c>
      <c r="U605" s="3">
        <f>IF(OR(N605=1,Q605=1),1,0)</f>
        <v/>
      </c>
      <c r="V605" s="3">
        <f>IF(OR(T605=1,P605=1),1,0)</f>
        <v/>
      </c>
      <c r="W605" s="3">
        <f>IF(OR(J605=1),1,0)</f>
        <v/>
      </c>
      <c r="X605" s="3">
        <f>IF(OR(I605=1,H605=1),1,0)</f>
        <v/>
      </c>
      <c r="Y605" s="3">
        <f>IF(OR(G605=1),1,0)</f>
        <v/>
      </c>
      <c r="Z605" s="3">
        <f>IF(OR(F605=1),1,0)</f>
        <v/>
      </c>
      <c r="AA605" s="3">
        <f>IF(OR(M605=1),1,0)</f>
        <v/>
      </c>
    </row>
    <row r="606">
      <c r="A606" s="22" t="inlineStr">
        <is>
          <t>cd68631d32f4e6e771277783d85551d8b57513c8</t>
        </is>
      </c>
      <c r="B606" s="22" t="inlineStr">
        <is>
          <t>2026-10</t>
        </is>
      </c>
      <c r="C606" s="22" t="inlineStr">
        <is>
          <t>X</t>
        </is>
      </c>
      <c r="D606" s="22" t="n">
        <v>1</v>
      </c>
      <c r="E606" s="22" t="inlineStr">
        <is>
          <t>X: X search (Top): rig 2027 election</t>
        </is>
      </c>
      <c r="F606" s="22" t="inlineStr">
        <is>
          <t>x:X search (Top): rig 2027 election</t>
        </is>
      </c>
      <c r="G606" s="22" t="n">
        <v>-0.318</v>
      </c>
      <c r="H606" s="22" t="n">
        <v>0</v>
      </c>
      <c r="I606" s="22" t="n">
        <v>0</v>
      </c>
      <c r="J606" s="22" t="n">
        <v>0</v>
      </c>
      <c r="K606" s="22" t="n">
        <v>1</v>
      </c>
      <c r="L606" s="22" t="n">
        <v>0</v>
      </c>
      <c r="M606" s="22" t="n">
        <v>0</v>
      </c>
      <c r="N606" s="22" t="n">
        <v>0</v>
      </c>
      <c r="O606" s="22" t="n">
        <v>0</v>
      </c>
      <c r="P606" s="22" t="n">
        <v>0</v>
      </c>
      <c r="Q606" s="22" t="n">
        <v>0</v>
      </c>
      <c r="R606" s="22" t="n">
        <v>0</v>
      </c>
      <c r="S606" s="22" t="n">
        <v>0</v>
      </c>
      <c r="T606" s="22" t="n">
        <v>0</v>
      </c>
      <c r="U606" s="3">
        <f>IF(OR(N606=1,Q606=1),1,0)</f>
        <v/>
      </c>
      <c r="V606" s="3">
        <f>IF(OR(T606=1,P606=1),1,0)</f>
        <v/>
      </c>
      <c r="W606" s="3">
        <f>IF(OR(J606=1),1,0)</f>
        <v/>
      </c>
      <c r="X606" s="3">
        <f>IF(OR(I606=1,H606=1),1,0)</f>
        <v/>
      </c>
      <c r="Y606" s="3">
        <f>IF(OR(G606=1),1,0)</f>
        <v/>
      </c>
      <c r="Z606" s="3">
        <f>IF(OR(F606=1),1,0)</f>
        <v/>
      </c>
      <c r="AA606" s="3">
        <f>IF(OR(M606=1),1,0)</f>
        <v/>
      </c>
    </row>
    <row r="607">
      <c r="A607" s="22" t="inlineStr">
        <is>
          <t>fac74fd0154919f1eaa65e598222e5abac4d01d0</t>
        </is>
      </c>
      <c r="B607" s="22" t="inlineStr">
        <is>
          <t>2026-10</t>
        </is>
      </c>
      <c r="C607" s="22" t="inlineStr">
        <is>
          <t>X</t>
        </is>
      </c>
      <c r="D607" s="22" t="n">
        <v>1</v>
      </c>
      <c r="E607" s="22" t="inlineStr">
        <is>
          <t>X: X search (Top): rig 2027 election</t>
        </is>
      </c>
      <c r="F607" s="22" t="inlineStr">
        <is>
          <t>x:X search (Top): rig 2027 election</t>
        </is>
      </c>
      <c r="G607" s="22" t="n">
        <v>0.202</v>
      </c>
      <c r="H607" s="22" t="n">
        <v>1</v>
      </c>
      <c r="I607" s="22" t="n">
        <v>0</v>
      </c>
      <c r="J607" s="22" t="n">
        <v>0</v>
      </c>
      <c r="K607" s="22" t="n">
        <v>0</v>
      </c>
      <c r="L607" s="22" t="n">
        <v>0</v>
      </c>
      <c r="M607" s="22" t="n">
        <v>0</v>
      </c>
      <c r="N607" s="22" t="n">
        <v>0</v>
      </c>
      <c r="O607" s="22" t="n">
        <v>0</v>
      </c>
      <c r="P607" s="22" t="n">
        <v>0</v>
      </c>
      <c r="Q607" s="22" t="n">
        <v>0</v>
      </c>
      <c r="R607" s="22" t="n">
        <v>0</v>
      </c>
      <c r="S607" s="22" t="n">
        <v>0</v>
      </c>
      <c r="T607" s="22" t="n">
        <v>0</v>
      </c>
      <c r="U607" s="3">
        <f>IF(OR(N607=1,Q607=1),1,0)</f>
        <v/>
      </c>
      <c r="V607" s="3">
        <f>IF(OR(T607=1,P607=1),1,0)</f>
        <v/>
      </c>
      <c r="W607" s="3">
        <f>IF(OR(J607=1),1,0)</f>
        <v/>
      </c>
      <c r="X607" s="3">
        <f>IF(OR(I607=1,H607=1),1,0)</f>
        <v/>
      </c>
      <c r="Y607" s="3">
        <f>IF(OR(G607=1),1,0)</f>
        <v/>
      </c>
      <c r="Z607" s="3">
        <f>IF(OR(F607=1),1,0)</f>
        <v/>
      </c>
      <c r="AA607" s="3">
        <f>IF(OR(M607=1),1,0)</f>
        <v/>
      </c>
    </row>
    <row r="608">
      <c r="A608" s="22" t="inlineStr">
        <is>
          <t>220ed4d60422f351bb954a00dc3154c231cae5ca</t>
        </is>
      </c>
      <c r="B608" s="22" t="inlineStr">
        <is>
          <t>2026-10</t>
        </is>
      </c>
      <c r="C608" s="22" t="inlineStr">
        <is>
          <t>X</t>
        </is>
      </c>
      <c r="D608" s="22" t="n">
        <v>1</v>
      </c>
      <c r="E608" s="22" t="inlineStr">
        <is>
          <t>X: X search (Top): rig 2027 election</t>
        </is>
      </c>
      <c r="F608" s="22" t="inlineStr">
        <is>
          <t>x:X search (Top): rig 2027 election</t>
        </is>
      </c>
      <c r="G608" s="22" t="n">
        <v>-0.296</v>
      </c>
      <c r="H608" s="22" t="n">
        <v>1</v>
      </c>
      <c r="I608" s="22" t="n">
        <v>0</v>
      </c>
      <c r="J608" s="22" t="n">
        <v>0</v>
      </c>
      <c r="K608" s="22" t="n">
        <v>0</v>
      </c>
      <c r="L608" s="22" t="n">
        <v>0</v>
      </c>
      <c r="M608" s="22" t="n">
        <v>0</v>
      </c>
      <c r="N608" s="22" t="n">
        <v>0</v>
      </c>
      <c r="O608" s="22" t="n">
        <v>0</v>
      </c>
      <c r="P608" s="22" t="n">
        <v>0</v>
      </c>
      <c r="Q608" s="22" t="n">
        <v>0</v>
      </c>
      <c r="R608" s="22" t="n">
        <v>0</v>
      </c>
      <c r="S608" s="22" t="n">
        <v>0</v>
      </c>
      <c r="T608" s="22" t="n">
        <v>0</v>
      </c>
      <c r="U608" s="3">
        <f>IF(OR(N608=1,Q608=1),1,0)</f>
        <v/>
      </c>
      <c r="V608" s="3">
        <f>IF(OR(T608=1,P608=1),1,0)</f>
        <v/>
      </c>
      <c r="W608" s="3">
        <f>IF(OR(J608=1),1,0)</f>
        <v/>
      </c>
      <c r="X608" s="3">
        <f>IF(OR(I608=1,H608=1),1,0)</f>
        <v/>
      </c>
      <c r="Y608" s="3">
        <f>IF(OR(G608=1),1,0)</f>
        <v/>
      </c>
      <c r="Z608" s="3">
        <f>IF(OR(F608=1),1,0)</f>
        <v/>
      </c>
      <c r="AA608" s="3">
        <f>IF(OR(M608=1),1,0)</f>
        <v/>
      </c>
    </row>
    <row r="609">
      <c r="A609" s="22" t="inlineStr">
        <is>
          <t>0cdc34539baac85df76d6ca3f4b3b0407aeeddc2</t>
        </is>
      </c>
      <c r="B609" s="22" t="inlineStr">
        <is>
          <t>2026-10</t>
        </is>
      </c>
      <c r="C609" s="22" t="inlineStr">
        <is>
          <t>X</t>
        </is>
      </c>
      <c r="D609" s="22" t="n">
        <v>1</v>
      </c>
      <c r="E609" s="22" t="inlineStr">
        <is>
          <t>X: X search (Top): rig 2027 election</t>
        </is>
      </c>
      <c r="F609" s="22" t="inlineStr">
        <is>
          <t>x:X search (Top): rig 2027 election</t>
        </is>
      </c>
      <c r="G609" s="22" t="n">
        <v>0.334</v>
      </c>
      <c r="H609" s="22" t="n">
        <v>1</v>
      </c>
      <c r="I609" s="22" t="n">
        <v>0</v>
      </c>
      <c r="J609" s="22" t="n">
        <v>0</v>
      </c>
      <c r="K609" s="22" t="n">
        <v>0</v>
      </c>
      <c r="L609" s="22" t="n">
        <v>0</v>
      </c>
      <c r="M609" s="22" t="n">
        <v>0</v>
      </c>
      <c r="N609" s="22" t="n">
        <v>0</v>
      </c>
      <c r="O609" s="22" t="n">
        <v>0</v>
      </c>
      <c r="P609" s="22" t="n">
        <v>0</v>
      </c>
      <c r="Q609" s="22" t="n">
        <v>0</v>
      </c>
      <c r="R609" s="22" t="n">
        <v>0</v>
      </c>
      <c r="S609" s="22" t="n">
        <v>0</v>
      </c>
      <c r="T609" s="22" t="n">
        <v>0</v>
      </c>
      <c r="U609" s="3">
        <f>IF(OR(N609=1,Q609=1),1,0)</f>
        <v/>
      </c>
      <c r="V609" s="3">
        <f>IF(OR(T609=1,P609=1),1,0)</f>
        <v/>
      </c>
      <c r="W609" s="3">
        <f>IF(OR(J609=1),1,0)</f>
        <v/>
      </c>
      <c r="X609" s="3">
        <f>IF(OR(I609=1,H609=1),1,0)</f>
        <v/>
      </c>
      <c r="Y609" s="3">
        <f>IF(OR(G609=1),1,0)</f>
        <v/>
      </c>
      <c r="Z609" s="3">
        <f>IF(OR(F609=1),1,0)</f>
        <v/>
      </c>
      <c r="AA609" s="3">
        <f>IF(OR(M609=1),1,0)</f>
        <v/>
      </c>
    </row>
    <row r="610">
      <c r="A610" s="22" t="inlineStr">
        <is>
          <t>d8e185d050825515bc835346a657b7846fc72e1b</t>
        </is>
      </c>
      <c r="B610" s="22" t="inlineStr">
        <is>
          <t>2026-10</t>
        </is>
      </c>
      <c r="C610" s="22" t="inlineStr">
        <is>
          <t>X</t>
        </is>
      </c>
      <c r="D610" s="22" t="n">
        <v>1</v>
      </c>
      <c r="E610" s="22" t="inlineStr">
        <is>
          <t>X: X search (Top): rig 2027 election</t>
        </is>
      </c>
      <c r="F610" s="22" t="inlineStr">
        <is>
          <t>x:X search (Top): rig 2027 election</t>
        </is>
      </c>
      <c r="G610" s="22" t="n">
        <v>0.44</v>
      </c>
      <c r="H610" s="22" t="n">
        <v>1</v>
      </c>
      <c r="I610" s="22" t="n">
        <v>0</v>
      </c>
      <c r="J610" s="22" t="n">
        <v>0</v>
      </c>
      <c r="K610" s="22" t="n">
        <v>0</v>
      </c>
      <c r="L610" s="22" t="n">
        <v>0</v>
      </c>
      <c r="M610" s="22" t="n">
        <v>0</v>
      </c>
      <c r="N610" s="22" t="n">
        <v>0</v>
      </c>
      <c r="O610" s="22" t="n">
        <v>0</v>
      </c>
      <c r="P610" s="22" t="n">
        <v>0</v>
      </c>
      <c r="Q610" s="22" t="n">
        <v>0</v>
      </c>
      <c r="R610" s="22" t="n">
        <v>0</v>
      </c>
      <c r="S610" s="22" t="n">
        <v>0</v>
      </c>
      <c r="T610" s="22" t="n">
        <v>0</v>
      </c>
      <c r="U610" s="3">
        <f>IF(OR(N610=1,Q610=1),1,0)</f>
        <v/>
      </c>
      <c r="V610" s="3">
        <f>IF(OR(T610=1,P610=1),1,0)</f>
        <v/>
      </c>
      <c r="W610" s="3">
        <f>IF(OR(J610=1),1,0)</f>
        <v/>
      </c>
      <c r="X610" s="3">
        <f>IF(OR(I610=1,H610=1),1,0)</f>
        <v/>
      </c>
      <c r="Y610" s="3">
        <f>IF(OR(G610=1),1,0)</f>
        <v/>
      </c>
      <c r="Z610" s="3">
        <f>IF(OR(F610=1),1,0)</f>
        <v/>
      </c>
      <c r="AA610" s="3">
        <f>IF(OR(M610=1),1,0)</f>
        <v/>
      </c>
    </row>
    <row r="611">
      <c r="A611" s="22" t="inlineStr">
        <is>
          <t>dd18b943696ce516eb10c047233a3a84c69cc6a4</t>
        </is>
      </c>
      <c r="B611" s="22" t="inlineStr">
        <is>
          <t>2026-10</t>
        </is>
      </c>
      <c r="C611" s="22" t="inlineStr">
        <is>
          <t>X</t>
        </is>
      </c>
      <c r="D611" s="22" t="n">
        <v>1</v>
      </c>
      <c r="E611" s="22" t="inlineStr">
        <is>
          <t>X: X search (Top): rig 2027 election</t>
        </is>
      </c>
      <c r="F611" s="22" t="inlineStr">
        <is>
          <t>x:X search (Top): rig 2027 election</t>
        </is>
      </c>
      <c r="G611" s="22" t="n">
        <v>-0.8129999999999999</v>
      </c>
      <c r="H611" s="22" t="n">
        <v>1</v>
      </c>
      <c r="I611" s="22" t="n">
        <v>0</v>
      </c>
      <c r="J611" s="22" t="n">
        <v>0</v>
      </c>
      <c r="K611" s="22" t="n">
        <v>0</v>
      </c>
      <c r="L611" s="22" t="n">
        <v>0</v>
      </c>
      <c r="M611" s="22" t="n">
        <v>0</v>
      </c>
      <c r="N611" s="22" t="n">
        <v>0</v>
      </c>
      <c r="O611" s="22" t="n">
        <v>0</v>
      </c>
      <c r="P611" s="22" t="n">
        <v>0</v>
      </c>
      <c r="Q611" s="22" t="n">
        <v>0</v>
      </c>
      <c r="R611" s="22" t="n">
        <v>0</v>
      </c>
      <c r="S611" s="22" t="n">
        <v>0</v>
      </c>
      <c r="T611" s="22" t="n">
        <v>0</v>
      </c>
      <c r="U611" s="3">
        <f>IF(OR(N611=1,Q611=1),1,0)</f>
        <v/>
      </c>
      <c r="V611" s="3">
        <f>IF(OR(T611=1,P611=1),1,0)</f>
        <v/>
      </c>
      <c r="W611" s="3">
        <f>IF(OR(J611=1),1,0)</f>
        <v/>
      </c>
      <c r="X611" s="3">
        <f>IF(OR(I611=1,H611=1),1,0)</f>
        <v/>
      </c>
      <c r="Y611" s="3">
        <f>IF(OR(G611=1),1,0)</f>
        <v/>
      </c>
      <c r="Z611" s="3">
        <f>IF(OR(F611=1),1,0)</f>
        <v/>
      </c>
      <c r="AA611" s="3">
        <f>IF(OR(M611=1),1,0)</f>
        <v/>
      </c>
    </row>
    <row r="612">
      <c r="A612" s="22" t="inlineStr">
        <is>
          <t>29c7e47fdbfd09a87d344dc8ba0e9c59671d9843</t>
        </is>
      </c>
      <c r="B612" s="22" t="inlineStr">
        <is>
          <t>2026-10</t>
        </is>
      </c>
      <c r="C612" s="22" t="inlineStr">
        <is>
          <t>X</t>
        </is>
      </c>
      <c r="D612" s="22" t="n">
        <v>1</v>
      </c>
      <c r="E612" s="22" t="inlineStr">
        <is>
          <t>X: X search (Top): rig 2027 election</t>
        </is>
      </c>
      <c r="F612" s="22" t="inlineStr">
        <is>
          <t>x:X search (Top): rig 2027 election</t>
        </is>
      </c>
      <c r="G612" s="22" t="n">
        <v>-0.673</v>
      </c>
      <c r="H612" s="22" t="n">
        <v>1</v>
      </c>
      <c r="I612" s="22" t="n">
        <v>0</v>
      </c>
      <c r="J612" s="22" t="n">
        <v>0</v>
      </c>
      <c r="K612" s="22" t="n">
        <v>0</v>
      </c>
      <c r="L612" s="22" t="n">
        <v>0</v>
      </c>
      <c r="M612" s="22" t="n">
        <v>0</v>
      </c>
      <c r="N612" s="22" t="n">
        <v>0</v>
      </c>
      <c r="O612" s="22" t="n">
        <v>0</v>
      </c>
      <c r="P612" s="22" t="n">
        <v>0</v>
      </c>
      <c r="Q612" s="22" t="n">
        <v>0</v>
      </c>
      <c r="R612" s="22" t="n">
        <v>0</v>
      </c>
      <c r="S612" s="22" t="n">
        <v>0</v>
      </c>
      <c r="T612" s="22" t="n">
        <v>1</v>
      </c>
      <c r="U612" s="3">
        <f>IF(OR(N612=1,Q612=1),1,0)</f>
        <v/>
      </c>
      <c r="V612" s="3">
        <f>IF(OR(T612=1,P612=1),1,0)</f>
        <v/>
      </c>
      <c r="W612" s="3">
        <f>IF(OR(J612=1),1,0)</f>
        <v/>
      </c>
      <c r="X612" s="3">
        <f>IF(OR(I612=1,H612=1),1,0)</f>
        <v/>
      </c>
      <c r="Y612" s="3">
        <f>IF(OR(G612=1),1,0)</f>
        <v/>
      </c>
      <c r="Z612" s="3">
        <f>IF(OR(F612=1),1,0)</f>
        <v/>
      </c>
      <c r="AA612" s="3">
        <f>IF(OR(M612=1),1,0)</f>
        <v/>
      </c>
    </row>
    <row r="613">
      <c r="A613" s="22" t="inlineStr">
        <is>
          <t>0c021dd5fa8784b122a33ae72afd4e255fa17332</t>
        </is>
      </c>
      <c r="B613" s="22" t="inlineStr">
        <is>
          <t>2026-10</t>
        </is>
      </c>
      <c r="C613" s="22" t="inlineStr">
        <is>
          <t>X</t>
        </is>
      </c>
      <c r="D613" s="22" t="n">
        <v>1</v>
      </c>
      <c r="E613" s="22" t="inlineStr">
        <is>
          <t>X: X search (Top): rig 2027 election</t>
        </is>
      </c>
      <c r="F613" s="22" t="inlineStr">
        <is>
          <t>x:X search (Top): rig 2027 election</t>
        </is>
      </c>
      <c r="G613" s="22" t="n">
        <v>-0.8129999999999999</v>
      </c>
      <c r="H613" s="22" t="n">
        <v>1</v>
      </c>
      <c r="I613" s="22" t="n">
        <v>0</v>
      </c>
      <c r="J613" s="22" t="n">
        <v>0</v>
      </c>
      <c r="K613" s="22" t="n">
        <v>0</v>
      </c>
      <c r="L613" s="22" t="n">
        <v>0</v>
      </c>
      <c r="M613" s="22" t="n">
        <v>0</v>
      </c>
      <c r="N613" s="22" t="n">
        <v>0</v>
      </c>
      <c r="O613" s="22" t="n">
        <v>0</v>
      </c>
      <c r="P613" s="22" t="n">
        <v>0</v>
      </c>
      <c r="Q613" s="22" t="n">
        <v>0</v>
      </c>
      <c r="R613" s="22" t="n">
        <v>0</v>
      </c>
      <c r="S613" s="22" t="n">
        <v>0</v>
      </c>
      <c r="T613" s="22" t="n">
        <v>0</v>
      </c>
      <c r="U613" s="3">
        <f>IF(OR(N613=1,Q613=1),1,0)</f>
        <v/>
      </c>
      <c r="V613" s="3">
        <f>IF(OR(T613=1,P613=1),1,0)</f>
        <v/>
      </c>
      <c r="W613" s="3">
        <f>IF(OR(J613=1),1,0)</f>
        <v/>
      </c>
      <c r="X613" s="3">
        <f>IF(OR(I613=1,H613=1),1,0)</f>
        <v/>
      </c>
      <c r="Y613" s="3">
        <f>IF(OR(G613=1),1,0)</f>
        <v/>
      </c>
      <c r="Z613" s="3">
        <f>IF(OR(F613=1),1,0)</f>
        <v/>
      </c>
      <c r="AA613" s="3">
        <f>IF(OR(M613=1),1,0)</f>
        <v/>
      </c>
    </row>
    <row r="614">
      <c r="A614" s="22" t="inlineStr">
        <is>
          <t>912cd0e5fdeba88f9d7b3899cdad16d6289a49ba</t>
        </is>
      </c>
      <c r="B614" s="22" t="inlineStr">
        <is>
          <t>2026-10</t>
        </is>
      </c>
      <c r="C614" s="22" t="inlineStr">
        <is>
          <t>X</t>
        </is>
      </c>
      <c r="D614" s="22" t="n">
        <v>1</v>
      </c>
      <c r="E614" s="22" t="inlineStr">
        <is>
          <t>X: X search (Top): rig 2027 election</t>
        </is>
      </c>
      <c r="F614" s="22" t="inlineStr">
        <is>
          <t>x:X search (Top): rig 2027 election</t>
        </is>
      </c>
      <c r="G614" s="22" t="n">
        <v>0.477</v>
      </c>
      <c r="H614" s="22" t="n">
        <v>1</v>
      </c>
      <c r="I614" s="22" t="n">
        <v>0</v>
      </c>
      <c r="J614" s="22" t="n">
        <v>0</v>
      </c>
      <c r="K614" s="22" t="n">
        <v>0</v>
      </c>
      <c r="L614" s="22" t="n">
        <v>0</v>
      </c>
      <c r="M614" s="22" t="n">
        <v>0</v>
      </c>
      <c r="N614" s="22" t="n">
        <v>0</v>
      </c>
      <c r="O614" s="22" t="n">
        <v>0</v>
      </c>
      <c r="P614" s="22" t="n">
        <v>0</v>
      </c>
      <c r="Q614" s="22" t="n">
        <v>0</v>
      </c>
      <c r="R614" s="22" t="n">
        <v>0</v>
      </c>
      <c r="S614" s="22" t="n">
        <v>0</v>
      </c>
      <c r="T614" s="22" t="n">
        <v>0</v>
      </c>
      <c r="U614" s="3">
        <f>IF(OR(N614=1,Q614=1),1,0)</f>
        <v/>
      </c>
      <c r="V614" s="3">
        <f>IF(OR(T614=1,P614=1),1,0)</f>
        <v/>
      </c>
      <c r="W614" s="3">
        <f>IF(OR(J614=1),1,0)</f>
        <v/>
      </c>
      <c r="X614" s="3">
        <f>IF(OR(I614=1,H614=1),1,0)</f>
        <v/>
      </c>
      <c r="Y614" s="3">
        <f>IF(OR(G614=1),1,0)</f>
        <v/>
      </c>
      <c r="Z614" s="3">
        <f>IF(OR(F614=1),1,0)</f>
        <v/>
      </c>
      <c r="AA614" s="3">
        <f>IF(OR(M614=1),1,0)</f>
        <v/>
      </c>
    </row>
    <row r="615">
      <c r="A615" s="22" t="inlineStr">
        <is>
          <t>6ac16552d1328c2f93f3b5f6ee8ab3bf6a05703c</t>
        </is>
      </c>
      <c r="B615" s="22" t="inlineStr">
        <is>
          <t>2026-10</t>
        </is>
      </c>
      <c r="C615" s="22" t="inlineStr">
        <is>
          <t>X</t>
        </is>
      </c>
      <c r="D615" s="22" t="n">
        <v>1</v>
      </c>
      <c r="E615" s="22" t="inlineStr">
        <is>
          <t>X: X search (Top): rig 2027 election</t>
        </is>
      </c>
      <c r="F615" s="22" t="inlineStr">
        <is>
          <t>x:X search (Top): rig 2027 election</t>
        </is>
      </c>
      <c r="G615" s="22" t="n">
        <v>-0.65</v>
      </c>
      <c r="H615" s="22" t="n">
        <v>1</v>
      </c>
      <c r="I615" s="22" t="n">
        <v>0</v>
      </c>
      <c r="J615" s="22" t="n">
        <v>0</v>
      </c>
      <c r="K615" s="22" t="n">
        <v>0</v>
      </c>
      <c r="L615" s="22" t="n">
        <v>0</v>
      </c>
      <c r="M615" s="22" t="n">
        <v>0</v>
      </c>
      <c r="N615" s="22" t="n">
        <v>0</v>
      </c>
      <c r="O615" s="22" t="n">
        <v>0</v>
      </c>
      <c r="P615" s="22" t="n">
        <v>0</v>
      </c>
      <c r="Q615" s="22" t="n">
        <v>0</v>
      </c>
      <c r="R615" s="22" t="n">
        <v>0</v>
      </c>
      <c r="S615" s="22" t="n">
        <v>0</v>
      </c>
      <c r="T615" s="22" t="n">
        <v>0</v>
      </c>
      <c r="U615" s="3">
        <f>IF(OR(N615=1,Q615=1),1,0)</f>
        <v/>
      </c>
      <c r="V615" s="3">
        <f>IF(OR(T615=1,P615=1),1,0)</f>
        <v/>
      </c>
      <c r="W615" s="3">
        <f>IF(OR(J615=1),1,0)</f>
        <v/>
      </c>
      <c r="X615" s="3">
        <f>IF(OR(I615=1,H615=1),1,0)</f>
        <v/>
      </c>
      <c r="Y615" s="3">
        <f>IF(OR(G615=1),1,0)</f>
        <v/>
      </c>
      <c r="Z615" s="3">
        <f>IF(OR(F615=1),1,0)</f>
        <v/>
      </c>
      <c r="AA615" s="3">
        <f>IF(OR(M615=1),1,0)</f>
        <v/>
      </c>
    </row>
    <row r="616">
      <c r="A616" s="22" t="inlineStr">
        <is>
          <t>924d8e599e08c0f9b01e1fabb8ee5b5ed034605e</t>
        </is>
      </c>
      <c r="B616" s="22" t="inlineStr">
        <is>
          <t>2026-10</t>
        </is>
      </c>
      <c r="C616" s="22" t="inlineStr">
        <is>
          <t>X</t>
        </is>
      </c>
      <c r="D616" s="22" t="n">
        <v>1</v>
      </c>
      <c r="E616" s="22" t="inlineStr">
        <is>
          <t>X: X search (Top): rig 2027 election</t>
        </is>
      </c>
      <c r="F616" s="22" t="inlineStr">
        <is>
          <t>x:X search (Top): rig 2027 election</t>
        </is>
      </c>
      <c r="G616" s="22" t="n">
        <v>-0.758</v>
      </c>
      <c r="H616" s="22" t="n">
        <v>1</v>
      </c>
      <c r="I616" s="22" t="n">
        <v>0</v>
      </c>
      <c r="J616" s="22" t="n">
        <v>0</v>
      </c>
      <c r="K616" s="22" t="n">
        <v>0</v>
      </c>
      <c r="L616" s="22" t="n">
        <v>0</v>
      </c>
      <c r="M616" s="22" t="n">
        <v>0</v>
      </c>
      <c r="N616" s="22" t="n">
        <v>0</v>
      </c>
      <c r="O616" s="22" t="n">
        <v>0</v>
      </c>
      <c r="P616" s="22" t="n">
        <v>0</v>
      </c>
      <c r="Q616" s="22" t="n">
        <v>0</v>
      </c>
      <c r="R616" s="22" t="n">
        <v>0</v>
      </c>
      <c r="S616" s="22" t="n">
        <v>0</v>
      </c>
      <c r="T616" s="22" t="n">
        <v>0</v>
      </c>
      <c r="U616" s="3">
        <f>IF(OR(N616=1,Q616=1),1,0)</f>
        <v/>
      </c>
      <c r="V616" s="3">
        <f>IF(OR(T616=1,P616=1),1,0)</f>
        <v/>
      </c>
      <c r="W616" s="3">
        <f>IF(OR(J616=1),1,0)</f>
        <v/>
      </c>
      <c r="X616" s="3">
        <f>IF(OR(I616=1,H616=1),1,0)</f>
        <v/>
      </c>
      <c r="Y616" s="3">
        <f>IF(OR(G616=1),1,0)</f>
        <v/>
      </c>
      <c r="Z616" s="3">
        <f>IF(OR(F616=1),1,0)</f>
        <v/>
      </c>
      <c r="AA616" s="3">
        <f>IF(OR(M616=1),1,0)</f>
        <v/>
      </c>
    </row>
    <row r="617">
      <c r="A617" s="22" t="inlineStr">
        <is>
          <t>51846de82b9ad95cd83e9e7a248aa348c309e846</t>
        </is>
      </c>
      <c r="B617" s="22" t="inlineStr">
        <is>
          <t>2025-10</t>
        </is>
      </c>
      <c r="C617" s="22" t="inlineStr">
        <is>
          <t>X</t>
        </is>
      </c>
      <c r="D617" s="22" t="n">
        <v>1</v>
      </c>
      <c r="E617" s="22" t="inlineStr">
        <is>
          <t>X: X search (Top): rig 2027 election</t>
        </is>
      </c>
      <c r="F617" s="22" t="inlineStr">
        <is>
          <t>x:X search (Top): rig 2027 election</t>
        </is>
      </c>
      <c r="G617" s="22" t="n">
        <v>-0.611</v>
      </c>
      <c r="H617" s="22" t="n">
        <v>1</v>
      </c>
      <c r="I617" s="22" t="n">
        <v>0</v>
      </c>
      <c r="J617" s="22" t="n">
        <v>0</v>
      </c>
      <c r="K617" s="22" t="n">
        <v>0</v>
      </c>
      <c r="L617" s="22" t="n">
        <v>0</v>
      </c>
      <c r="M617" s="22" t="n">
        <v>0</v>
      </c>
      <c r="N617" s="22" t="n">
        <v>0</v>
      </c>
      <c r="O617" s="22" t="n">
        <v>0</v>
      </c>
      <c r="P617" s="22" t="n">
        <v>0</v>
      </c>
      <c r="Q617" s="22" t="n">
        <v>0</v>
      </c>
      <c r="R617" s="22" t="n">
        <v>0</v>
      </c>
      <c r="S617" s="22" t="n">
        <v>0</v>
      </c>
      <c r="T617" s="22" t="n">
        <v>0</v>
      </c>
      <c r="U617" s="3">
        <f>IF(OR(N617=1,Q617=1),1,0)</f>
        <v/>
      </c>
      <c r="V617" s="3">
        <f>IF(OR(T617=1,P617=1),1,0)</f>
        <v/>
      </c>
      <c r="W617" s="3">
        <f>IF(OR(J617=1),1,0)</f>
        <v/>
      </c>
      <c r="X617" s="3">
        <f>IF(OR(I617=1,H617=1),1,0)</f>
        <v/>
      </c>
      <c r="Y617" s="3">
        <f>IF(OR(G617=1),1,0)</f>
        <v/>
      </c>
      <c r="Z617" s="3">
        <f>IF(OR(F617=1),1,0)</f>
        <v/>
      </c>
      <c r="AA617" s="3">
        <f>IF(OR(M617=1),1,0)</f>
        <v/>
      </c>
    </row>
    <row r="618">
      <c r="A618" s="22" t="inlineStr">
        <is>
          <t>453d97c07f46450ca22d8489694fec0111c79a49</t>
        </is>
      </c>
      <c r="B618" s="22" t="inlineStr">
        <is>
          <t>2026-09</t>
        </is>
      </c>
      <c r="C618" s="22" t="inlineStr">
        <is>
          <t>Nairaland</t>
        </is>
      </c>
      <c r="D618" s="22" t="n">
        <v>0</v>
      </c>
      <c r="E618" s="22" t="inlineStr">
        <is>
          <t>Nairaland: Nairaland</t>
        </is>
      </c>
      <c r="F618" s="22" t="inlineStr">
        <is>
          <t>nairaland:Nairaland</t>
        </is>
      </c>
      <c r="G618" s="22" t="n">
        <v>-0.897</v>
      </c>
      <c r="H618" s="22" t="n">
        <v>1</v>
      </c>
      <c r="I618" s="22" t="n">
        <v>0</v>
      </c>
      <c r="J618" s="22" t="n">
        <v>0</v>
      </c>
      <c r="K618" s="22" t="n">
        <v>0</v>
      </c>
      <c r="L618" s="22" t="n">
        <v>0</v>
      </c>
      <c r="M618" s="22" t="n">
        <v>0</v>
      </c>
      <c r="N618" s="22" t="n">
        <v>0</v>
      </c>
      <c r="O618" s="22" t="n">
        <v>0</v>
      </c>
      <c r="P618" s="22" t="n">
        <v>0</v>
      </c>
      <c r="Q618" s="22" t="n">
        <v>0</v>
      </c>
      <c r="R618" s="22" t="n">
        <v>0</v>
      </c>
      <c r="S618" s="22" t="n">
        <v>0</v>
      </c>
      <c r="T618" s="22" t="n">
        <v>0</v>
      </c>
      <c r="U618" s="3">
        <f>IF(OR(N618=1,Q618=1),1,0)</f>
        <v/>
      </c>
      <c r="V618" s="3">
        <f>IF(OR(T618=1,P618=1),1,0)</f>
        <v/>
      </c>
      <c r="W618" s="3">
        <f>IF(OR(J618=1),1,0)</f>
        <v/>
      </c>
      <c r="X618" s="3">
        <f>IF(OR(I618=1,H618=1),1,0)</f>
        <v/>
      </c>
      <c r="Y618" s="3">
        <f>IF(OR(G618=1),1,0)</f>
        <v/>
      </c>
      <c r="Z618" s="3">
        <f>IF(OR(F618=1),1,0)</f>
        <v/>
      </c>
      <c r="AA618" s="3">
        <f>IF(OR(M618=1),1,0)</f>
        <v/>
      </c>
    </row>
    <row r="619">
      <c r="A619" s="22" t="inlineStr">
        <is>
          <t>dff35153e025800c8542131117dda602dee77432</t>
        </is>
      </c>
      <c r="B619" s="22" t="inlineStr">
        <is>
          <t>2026-09</t>
        </is>
      </c>
      <c r="C619" s="22" t="inlineStr">
        <is>
          <t>Nairaland</t>
        </is>
      </c>
      <c r="D619" s="22" t="n">
        <v>0</v>
      </c>
      <c r="E619" s="22" t="inlineStr">
        <is>
          <t>Nairaland: Nairaland</t>
        </is>
      </c>
      <c r="F619" s="22" t="inlineStr">
        <is>
          <t>nairaland:Nairaland</t>
        </is>
      </c>
      <c r="G619" s="22" t="n">
        <v>0.7</v>
      </c>
      <c r="H619" s="22" t="n">
        <v>0</v>
      </c>
      <c r="I619" s="22" t="n">
        <v>0</v>
      </c>
      <c r="J619" s="22" t="n">
        <v>0</v>
      </c>
      <c r="K619" s="22" t="n">
        <v>0</v>
      </c>
      <c r="L619" s="22" t="n">
        <v>0</v>
      </c>
      <c r="M619" s="22" t="n">
        <v>0</v>
      </c>
      <c r="N619" s="22" t="n">
        <v>0</v>
      </c>
      <c r="O619" s="22" t="n">
        <v>1</v>
      </c>
      <c r="P619" s="22" t="n">
        <v>0</v>
      </c>
      <c r="Q619" s="22" t="n">
        <v>0</v>
      </c>
      <c r="R619" s="22" t="n">
        <v>0</v>
      </c>
      <c r="S619" s="22" t="n">
        <v>0</v>
      </c>
      <c r="T619" s="22" t="n">
        <v>0</v>
      </c>
      <c r="U619" s="3">
        <f>IF(OR(N619=1,Q619=1),1,0)</f>
        <v/>
      </c>
      <c r="V619" s="3">
        <f>IF(OR(T619=1,P619=1),1,0)</f>
        <v/>
      </c>
      <c r="W619" s="3">
        <f>IF(OR(J619=1),1,0)</f>
        <v/>
      </c>
      <c r="X619" s="3">
        <f>IF(OR(I619=1,H619=1),1,0)</f>
        <v/>
      </c>
      <c r="Y619" s="3">
        <f>IF(OR(G619=1),1,0)</f>
        <v/>
      </c>
      <c r="Z619" s="3">
        <f>IF(OR(F619=1),1,0)</f>
        <v/>
      </c>
      <c r="AA619" s="3">
        <f>IF(OR(M619=1),1,0)</f>
        <v/>
      </c>
    </row>
    <row r="620">
      <c r="A620" s="22" t="inlineStr">
        <is>
          <t>467d617b2ed70afd950f257bb98e6b7361168978</t>
        </is>
      </c>
      <c r="B620" s="22" t="inlineStr">
        <is>
          <t>2026-09</t>
        </is>
      </c>
      <c r="C620" s="22" t="inlineStr">
        <is>
          <t>Nairaland</t>
        </is>
      </c>
      <c r="D620" s="22" t="n">
        <v>0</v>
      </c>
      <c r="E620" s="22" t="inlineStr">
        <is>
          <t>Nairaland: Nairaland</t>
        </is>
      </c>
      <c r="F620" s="22" t="inlineStr">
        <is>
          <t>nairaland:Nairaland</t>
        </is>
      </c>
      <c r="G620" s="22" t="n">
        <v>-0.783</v>
      </c>
      <c r="H620" s="22" t="n">
        <v>1</v>
      </c>
      <c r="I620" s="22" t="n">
        <v>0</v>
      </c>
      <c r="J620" s="22" t="n">
        <v>0</v>
      </c>
      <c r="K620" s="22" t="n">
        <v>0</v>
      </c>
      <c r="L620" s="22" t="n">
        <v>0</v>
      </c>
      <c r="M620" s="22" t="n">
        <v>0</v>
      </c>
      <c r="N620" s="22" t="n">
        <v>0</v>
      </c>
      <c r="O620" s="22" t="n">
        <v>0</v>
      </c>
      <c r="P620" s="22" t="n">
        <v>0</v>
      </c>
      <c r="Q620" s="22" t="n">
        <v>0</v>
      </c>
      <c r="R620" s="22" t="n">
        <v>0</v>
      </c>
      <c r="S620" s="22" t="n">
        <v>0</v>
      </c>
      <c r="T620" s="22" t="n">
        <v>0</v>
      </c>
      <c r="U620" s="3">
        <f>IF(OR(N620=1,Q620=1),1,0)</f>
        <v/>
      </c>
      <c r="V620" s="3">
        <f>IF(OR(T620=1,P620=1),1,0)</f>
        <v/>
      </c>
      <c r="W620" s="3">
        <f>IF(OR(J620=1),1,0)</f>
        <v/>
      </c>
      <c r="X620" s="3">
        <f>IF(OR(I620=1,H620=1),1,0)</f>
        <v/>
      </c>
      <c r="Y620" s="3">
        <f>IF(OR(G620=1),1,0)</f>
        <v/>
      </c>
      <c r="Z620" s="3">
        <f>IF(OR(F620=1),1,0)</f>
        <v/>
      </c>
      <c r="AA620" s="3">
        <f>IF(OR(M620=1),1,0)</f>
        <v/>
      </c>
    </row>
    <row r="621">
      <c r="A621" s="22" t="inlineStr">
        <is>
          <t>131ab53d30d24d639894c51aa7ccd6dc029ad3ac</t>
        </is>
      </c>
      <c r="B621" s="22" t="inlineStr">
        <is>
          <t>2026-09</t>
        </is>
      </c>
      <c r="C621" s="22" t="inlineStr">
        <is>
          <t>Nairaland</t>
        </is>
      </c>
      <c r="D621" s="22" t="n">
        <v>0</v>
      </c>
      <c r="E621" s="22" t="inlineStr">
        <is>
          <t>Nairaland: Nairaland</t>
        </is>
      </c>
      <c r="F621" s="22" t="inlineStr">
        <is>
          <t>nairaland:Nairaland</t>
        </is>
      </c>
      <c r="G621" s="22" t="n">
        <v>-0.586</v>
      </c>
      <c r="H621" s="22" t="n">
        <v>1</v>
      </c>
      <c r="I621" s="22" t="n">
        <v>0</v>
      </c>
      <c r="J621" s="22" t="n">
        <v>0</v>
      </c>
      <c r="K621" s="22" t="n">
        <v>0</v>
      </c>
      <c r="L621" s="22" t="n">
        <v>0</v>
      </c>
      <c r="M621" s="22" t="n">
        <v>0</v>
      </c>
      <c r="N621" s="22" t="n">
        <v>0</v>
      </c>
      <c r="O621" s="22" t="n">
        <v>0</v>
      </c>
      <c r="P621" s="22" t="n">
        <v>0</v>
      </c>
      <c r="Q621" s="22" t="n">
        <v>0</v>
      </c>
      <c r="R621" s="22" t="n">
        <v>0</v>
      </c>
      <c r="S621" s="22" t="n">
        <v>0</v>
      </c>
      <c r="T621" s="22" t="n">
        <v>0</v>
      </c>
      <c r="U621" s="3">
        <f>IF(OR(N621=1,Q621=1),1,0)</f>
        <v/>
      </c>
      <c r="V621" s="3">
        <f>IF(OR(T621=1,P621=1),1,0)</f>
        <v/>
      </c>
      <c r="W621" s="3">
        <f>IF(OR(J621=1),1,0)</f>
        <v/>
      </c>
      <c r="X621" s="3">
        <f>IF(OR(I621=1,H621=1),1,0)</f>
        <v/>
      </c>
      <c r="Y621" s="3">
        <f>IF(OR(G621=1),1,0)</f>
        <v/>
      </c>
      <c r="Z621" s="3">
        <f>IF(OR(F621=1),1,0)</f>
        <v/>
      </c>
      <c r="AA621" s="3">
        <f>IF(OR(M621=1),1,0)</f>
        <v/>
      </c>
    </row>
    <row r="622">
      <c r="A622" s="22" t="inlineStr">
        <is>
          <t>43e39961bdea7dfe1e23e9f80892fff3a2661408</t>
        </is>
      </c>
      <c r="B622" s="22" t="inlineStr">
        <is>
          <t>2026-09</t>
        </is>
      </c>
      <c r="C622" s="22" t="inlineStr">
        <is>
          <t>Nairaland</t>
        </is>
      </c>
      <c r="D622" s="22" t="n">
        <v>0</v>
      </c>
      <c r="E622" s="22" t="inlineStr">
        <is>
          <t>Nairaland: Nairaland</t>
        </is>
      </c>
      <c r="F622" s="22" t="inlineStr">
        <is>
          <t>nairaland:Nairaland</t>
        </is>
      </c>
      <c r="G622" s="22" t="n">
        <v>-0.133</v>
      </c>
      <c r="H622" s="22" t="n">
        <v>0</v>
      </c>
      <c r="I622" s="22" t="n">
        <v>1</v>
      </c>
      <c r="J622" s="22" t="n">
        <v>0</v>
      </c>
      <c r="K622" s="22" t="n">
        <v>0</v>
      </c>
      <c r="L622" s="22" t="n">
        <v>0</v>
      </c>
      <c r="M622" s="22" t="n">
        <v>0</v>
      </c>
      <c r="N622" s="22" t="n">
        <v>0</v>
      </c>
      <c r="O622" s="22" t="n">
        <v>0</v>
      </c>
      <c r="P622" s="22" t="n">
        <v>0</v>
      </c>
      <c r="Q622" s="22" t="n">
        <v>0</v>
      </c>
      <c r="R622" s="22" t="n">
        <v>0</v>
      </c>
      <c r="S622" s="22" t="n">
        <v>0</v>
      </c>
      <c r="T622" s="22" t="n">
        <v>0</v>
      </c>
      <c r="U622" s="3">
        <f>IF(OR(N622=1,Q622=1),1,0)</f>
        <v/>
      </c>
      <c r="V622" s="3">
        <f>IF(OR(T622=1,P622=1),1,0)</f>
        <v/>
      </c>
      <c r="W622" s="3">
        <f>IF(OR(J622=1),1,0)</f>
        <v/>
      </c>
      <c r="X622" s="3">
        <f>IF(OR(I622=1,H622=1),1,0)</f>
        <v/>
      </c>
      <c r="Y622" s="3">
        <f>IF(OR(G622=1),1,0)</f>
        <v/>
      </c>
      <c r="Z622" s="3">
        <f>IF(OR(F622=1),1,0)</f>
        <v/>
      </c>
      <c r="AA622" s="3">
        <f>IF(OR(M622=1),1,0)</f>
        <v/>
      </c>
    </row>
    <row r="623">
      <c r="A623" s="22" t="inlineStr">
        <is>
          <t>81ae387ee4f9eeb68e596c879cb36122412b36b9</t>
        </is>
      </c>
      <c r="B623" s="22" t="inlineStr">
        <is>
          <t>2026-09</t>
        </is>
      </c>
      <c r="C623" s="22" t="inlineStr">
        <is>
          <t>Nairaland</t>
        </is>
      </c>
      <c r="D623" s="22" t="n">
        <v>0</v>
      </c>
      <c r="E623" s="22" t="inlineStr">
        <is>
          <t>Nairaland: Nairaland</t>
        </is>
      </c>
      <c r="F623" s="22" t="inlineStr">
        <is>
          <t>nairaland:Nairaland</t>
        </is>
      </c>
      <c r="G623" s="22" t="n">
        <v>0.382</v>
      </c>
      <c r="H623" s="22" t="n">
        <v>0</v>
      </c>
      <c r="I623" s="22" t="n">
        <v>0</v>
      </c>
      <c r="J623" s="22" t="n">
        <v>0</v>
      </c>
      <c r="K623" s="22" t="n">
        <v>0</v>
      </c>
      <c r="L623" s="22" t="n">
        <v>0</v>
      </c>
      <c r="M623" s="22" t="n">
        <v>0</v>
      </c>
      <c r="N623" s="22" t="n">
        <v>0</v>
      </c>
      <c r="O623" s="22" t="n">
        <v>0</v>
      </c>
      <c r="P623" s="22" t="n">
        <v>0</v>
      </c>
      <c r="Q623" s="22" t="n">
        <v>0</v>
      </c>
      <c r="R623" s="22" t="n">
        <v>0</v>
      </c>
      <c r="S623" s="22" t="n">
        <v>0</v>
      </c>
      <c r="T623" s="22" t="n">
        <v>1</v>
      </c>
      <c r="U623" s="3">
        <f>IF(OR(N623=1,Q623=1),1,0)</f>
        <v/>
      </c>
      <c r="V623" s="3">
        <f>IF(OR(T623=1,P623=1),1,0)</f>
        <v/>
      </c>
      <c r="W623" s="3">
        <f>IF(OR(J623=1),1,0)</f>
        <v/>
      </c>
      <c r="X623" s="3">
        <f>IF(OR(I623=1,H623=1),1,0)</f>
        <v/>
      </c>
      <c r="Y623" s="3">
        <f>IF(OR(G623=1),1,0)</f>
        <v/>
      </c>
      <c r="Z623" s="3">
        <f>IF(OR(F623=1),1,0)</f>
        <v/>
      </c>
      <c r="AA623" s="3">
        <f>IF(OR(M623=1),1,0)</f>
        <v/>
      </c>
    </row>
    <row r="624">
      <c r="A624" s="22" t="inlineStr">
        <is>
          <t>bc3c570d07e2dec7fde4cff0fada08eb1f6334c4</t>
        </is>
      </c>
      <c r="B624" s="22" t="inlineStr">
        <is>
          <t>2026-09</t>
        </is>
      </c>
      <c r="C624" s="22" t="inlineStr">
        <is>
          <t>Nairaland</t>
        </is>
      </c>
      <c r="D624" s="22" t="n">
        <v>0</v>
      </c>
      <c r="E624" s="22" t="inlineStr">
        <is>
          <t>Nairaland: Nairaland</t>
        </is>
      </c>
      <c r="F624" s="22" t="inlineStr">
        <is>
          <t>nairaland:Nairaland</t>
        </is>
      </c>
      <c r="G624" s="22" t="n">
        <v>-0.697</v>
      </c>
      <c r="H624" s="22" t="n">
        <v>1</v>
      </c>
      <c r="I624" s="22" t="n">
        <v>0</v>
      </c>
      <c r="J624" s="22" t="n">
        <v>0</v>
      </c>
      <c r="K624" s="22" t="n">
        <v>0</v>
      </c>
      <c r="L624" s="22" t="n">
        <v>0</v>
      </c>
      <c r="M624" s="22" t="n">
        <v>0</v>
      </c>
      <c r="N624" s="22" t="n">
        <v>0</v>
      </c>
      <c r="O624" s="22" t="n">
        <v>0</v>
      </c>
      <c r="P624" s="22" t="n">
        <v>0</v>
      </c>
      <c r="Q624" s="22" t="n">
        <v>0</v>
      </c>
      <c r="R624" s="22" t="n">
        <v>0</v>
      </c>
      <c r="S624" s="22" t="n">
        <v>0</v>
      </c>
      <c r="T624" s="22" t="n">
        <v>0</v>
      </c>
      <c r="U624" s="3">
        <f>IF(OR(N624=1,Q624=1),1,0)</f>
        <v/>
      </c>
      <c r="V624" s="3">
        <f>IF(OR(T624=1,P624=1),1,0)</f>
        <v/>
      </c>
      <c r="W624" s="3">
        <f>IF(OR(J624=1),1,0)</f>
        <v/>
      </c>
      <c r="X624" s="3">
        <f>IF(OR(I624=1,H624=1),1,0)</f>
        <v/>
      </c>
      <c r="Y624" s="3">
        <f>IF(OR(G624=1),1,0)</f>
        <v/>
      </c>
      <c r="Z624" s="3">
        <f>IF(OR(F624=1),1,0)</f>
        <v/>
      </c>
      <c r="AA624" s="3">
        <f>IF(OR(M624=1),1,0)</f>
        <v/>
      </c>
    </row>
    <row r="625">
      <c r="A625" s="22" t="inlineStr">
        <is>
          <t>22611f2c3bd45d68d0dcf755110cf8585239324f</t>
        </is>
      </c>
      <c r="B625" s="22" t="inlineStr">
        <is>
          <t>2026-10</t>
        </is>
      </c>
      <c r="C625" s="22" t="inlineStr">
        <is>
          <t>Nairaland</t>
        </is>
      </c>
      <c r="D625" s="22" t="n">
        <v>0</v>
      </c>
      <c r="E625" s="22" t="inlineStr">
        <is>
          <t>Nairaland: Nairaland</t>
        </is>
      </c>
      <c r="F625" s="22" t="inlineStr">
        <is>
          <t>nairaland:Nairaland</t>
        </is>
      </c>
      <c r="G625" s="22" t="n">
        <v>0.769</v>
      </c>
      <c r="H625" s="22" t="n">
        <v>0</v>
      </c>
      <c r="I625" s="22" t="n">
        <v>1</v>
      </c>
      <c r="J625" s="22" t="n">
        <v>0</v>
      </c>
      <c r="K625" s="22" t="n">
        <v>0</v>
      </c>
      <c r="L625" s="22" t="n">
        <v>0</v>
      </c>
      <c r="M625" s="22" t="n">
        <v>0</v>
      </c>
      <c r="N625" s="22" t="n">
        <v>0</v>
      </c>
      <c r="O625" s="22" t="n">
        <v>0</v>
      </c>
      <c r="P625" s="22" t="n">
        <v>0</v>
      </c>
      <c r="Q625" s="22" t="n">
        <v>0</v>
      </c>
      <c r="R625" s="22" t="n">
        <v>0</v>
      </c>
      <c r="S625" s="22" t="n">
        <v>0</v>
      </c>
      <c r="T625" s="22" t="n">
        <v>0</v>
      </c>
      <c r="U625" s="3">
        <f>IF(OR(N625=1,Q625=1),1,0)</f>
        <v/>
      </c>
      <c r="V625" s="3">
        <f>IF(OR(T625=1,P625=1),1,0)</f>
        <v/>
      </c>
      <c r="W625" s="3">
        <f>IF(OR(J625=1),1,0)</f>
        <v/>
      </c>
      <c r="X625" s="3">
        <f>IF(OR(I625=1,H625=1),1,0)</f>
        <v/>
      </c>
      <c r="Y625" s="3">
        <f>IF(OR(G625=1),1,0)</f>
        <v/>
      </c>
      <c r="Z625" s="3">
        <f>IF(OR(F625=1),1,0)</f>
        <v/>
      </c>
      <c r="AA625" s="3">
        <f>IF(OR(M625=1),1,0)</f>
        <v/>
      </c>
    </row>
    <row r="626">
      <c r="A626" s="22" t="inlineStr">
        <is>
          <t>b4ef80364e4091fb84b9e44c1bfb33c52f02b4ed</t>
        </is>
      </c>
      <c r="B626" s="22" t="inlineStr">
        <is>
          <t>2026-10</t>
        </is>
      </c>
      <c r="C626" s="22" t="inlineStr">
        <is>
          <t>Nairaland</t>
        </is>
      </c>
      <c r="D626" s="22" t="n">
        <v>0</v>
      </c>
      <c r="E626" s="22" t="inlineStr">
        <is>
          <t>Nairaland: Nairaland</t>
        </is>
      </c>
      <c r="F626" s="22" t="inlineStr">
        <is>
          <t>nairaland:Nairaland</t>
        </is>
      </c>
      <c r="G626" s="22" t="n">
        <v>-0.409</v>
      </c>
      <c r="H626" s="22" t="n">
        <v>0</v>
      </c>
      <c r="I626" s="22" t="n">
        <v>1</v>
      </c>
      <c r="J626" s="22" t="n">
        <v>0</v>
      </c>
      <c r="K626" s="22" t="n">
        <v>0</v>
      </c>
      <c r="L626" s="22" t="n">
        <v>0</v>
      </c>
      <c r="M626" s="22" t="n">
        <v>0</v>
      </c>
      <c r="N626" s="22" t="n">
        <v>0</v>
      </c>
      <c r="O626" s="22" t="n">
        <v>0</v>
      </c>
      <c r="P626" s="22" t="n">
        <v>0</v>
      </c>
      <c r="Q626" s="22" t="n">
        <v>0</v>
      </c>
      <c r="R626" s="22" t="n">
        <v>0</v>
      </c>
      <c r="S626" s="22" t="n">
        <v>0</v>
      </c>
      <c r="T626" s="22" t="n">
        <v>0</v>
      </c>
      <c r="U626" s="3">
        <f>IF(OR(N626=1,Q626=1),1,0)</f>
        <v/>
      </c>
      <c r="V626" s="3">
        <f>IF(OR(T626=1,P626=1),1,0)</f>
        <v/>
      </c>
      <c r="W626" s="3">
        <f>IF(OR(J626=1),1,0)</f>
        <v/>
      </c>
      <c r="X626" s="3">
        <f>IF(OR(I626=1,H626=1),1,0)</f>
        <v/>
      </c>
      <c r="Y626" s="3">
        <f>IF(OR(G626=1),1,0)</f>
        <v/>
      </c>
      <c r="Z626" s="3">
        <f>IF(OR(F626=1),1,0)</f>
        <v/>
      </c>
      <c r="AA626" s="3">
        <f>IF(OR(M626=1),1,0)</f>
        <v/>
      </c>
    </row>
    <row r="627">
      <c r="A627" s="22" t="inlineStr">
        <is>
          <t>b673855770f3b8335f39be9886a3b72a6d71002d</t>
        </is>
      </c>
      <c r="B627" s="22" t="inlineStr">
        <is>
          <t>2026-10</t>
        </is>
      </c>
      <c r="C627" s="22" t="inlineStr">
        <is>
          <t>Nairaland</t>
        </is>
      </c>
      <c r="D627" s="22" t="n">
        <v>0</v>
      </c>
      <c r="E627" s="22" t="inlineStr">
        <is>
          <t>Nairaland: Nairaland</t>
        </is>
      </c>
      <c r="F627" s="22" t="inlineStr">
        <is>
          <t>nairaland:Nairaland</t>
        </is>
      </c>
      <c r="G627" s="22" t="n">
        <v>-0.494</v>
      </c>
      <c r="H627" s="22" t="n">
        <v>1</v>
      </c>
      <c r="I627" s="22" t="n">
        <v>0</v>
      </c>
      <c r="J627" s="22" t="n">
        <v>0</v>
      </c>
      <c r="K627" s="22" t="n">
        <v>0</v>
      </c>
      <c r="L627" s="22" t="n">
        <v>0</v>
      </c>
      <c r="M627" s="22" t="n">
        <v>1</v>
      </c>
      <c r="N627" s="22" t="n">
        <v>0</v>
      </c>
      <c r="O627" s="22" t="n">
        <v>0</v>
      </c>
      <c r="P627" s="22" t="n">
        <v>0</v>
      </c>
      <c r="Q627" s="22" t="n">
        <v>0</v>
      </c>
      <c r="R627" s="22" t="n">
        <v>0</v>
      </c>
      <c r="S627" s="22" t="n">
        <v>0</v>
      </c>
      <c r="T627" s="22" t="n">
        <v>0</v>
      </c>
      <c r="U627" s="3">
        <f>IF(OR(N627=1,Q627=1),1,0)</f>
        <v/>
      </c>
      <c r="V627" s="3">
        <f>IF(OR(T627=1,P627=1),1,0)</f>
        <v/>
      </c>
      <c r="W627" s="3">
        <f>IF(OR(J627=1),1,0)</f>
        <v/>
      </c>
      <c r="X627" s="3">
        <f>IF(OR(I627=1,H627=1),1,0)</f>
        <v/>
      </c>
      <c r="Y627" s="3">
        <f>IF(OR(G627=1),1,0)</f>
        <v/>
      </c>
      <c r="Z627" s="3">
        <f>IF(OR(F627=1),1,0)</f>
        <v/>
      </c>
      <c r="AA627" s="3">
        <f>IF(OR(M627=1),1,0)</f>
        <v/>
      </c>
    </row>
    <row r="628">
      <c r="A628" s="22" t="inlineStr">
        <is>
          <t>77fd2dd1176a621c113554ddb09cde2f7c8897e1</t>
        </is>
      </c>
      <c r="B628" s="22" t="inlineStr">
        <is>
          <t>2026-10</t>
        </is>
      </c>
      <c r="C628" s="22" t="inlineStr">
        <is>
          <t>Nairaland</t>
        </is>
      </c>
      <c r="D628" s="22" t="n">
        <v>0</v>
      </c>
      <c r="E628" s="22" t="inlineStr">
        <is>
          <t>Nairaland: Nairaland</t>
        </is>
      </c>
      <c r="F628" s="22" t="inlineStr">
        <is>
          <t>nairaland:Nairaland</t>
        </is>
      </c>
      <c r="G628" s="22" t="n">
        <v>0.128</v>
      </c>
      <c r="H628" s="22" t="n">
        <v>0</v>
      </c>
      <c r="I628" s="22" t="n">
        <v>0</v>
      </c>
      <c r="J628" s="22" t="n">
        <v>0</v>
      </c>
      <c r="K628" s="22" t="n">
        <v>0</v>
      </c>
      <c r="L628" s="22" t="n">
        <v>0</v>
      </c>
      <c r="M628" s="22" t="n">
        <v>0</v>
      </c>
      <c r="N628" s="22" t="n">
        <v>0</v>
      </c>
      <c r="O628" s="22" t="n">
        <v>0</v>
      </c>
      <c r="P628" s="22" t="n">
        <v>1</v>
      </c>
      <c r="Q628" s="22" t="n">
        <v>0</v>
      </c>
      <c r="R628" s="22" t="n">
        <v>0</v>
      </c>
      <c r="S628" s="22" t="n">
        <v>0</v>
      </c>
      <c r="T628" s="22" t="n">
        <v>0</v>
      </c>
      <c r="U628" s="3">
        <f>IF(OR(N628=1,Q628=1),1,0)</f>
        <v/>
      </c>
      <c r="V628" s="3">
        <f>IF(OR(T628=1,P628=1),1,0)</f>
        <v/>
      </c>
      <c r="W628" s="3">
        <f>IF(OR(J628=1),1,0)</f>
        <v/>
      </c>
      <c r="X628" s="3">
        <f>IF(OR(I628=1,H628=1),1,0)</f>
        <v/>
      </c>
      <c r="Y628" s="3">
        <f>IF(OR(G628=1),1,0)</f>
        <v/>
      </c>
      <c r="Z628" s="3">
        <f>IF(OR(F628=1),1,0)</f>
        <v/>
      </c>
      <c r="AA628" s="3">
        <f>IF(OR(M628=1),1,0)</f>
        <v/>
      </c>
    </row>
    <row r="629">
      <c r="A629" s="22" t="inlineStr">
        <is>
          <t>39e91735a4a381339bf66d7f99c39757b1c89402</t>
        </is>
      </c>
      <c r="B629" s="22" t="inlineStr">
        <is>
          <t>2026-10</t>
        </is>
      </c>
      <c r="C629" s="22" t="inlineStr">
        <is>
          <t>Nairaland</t>
        </is>
      </c>
      <c r="D629" s="22" t="n">
        <v>0</v>
      </c>
      <c r="E629" s="22" t="inlineStr">
        <is>
          <t>Nairaland: Nairaland</t>
        </is>
      </c>
      <c r="F629" s="22" t="inlineStr">
        <is>
          <t>nairaland:Nairaland</t>
        </is>
      </c>
      <c r="G629" s="22" t="n">
        <v>-0.586</v>
      </c>
      <c r="H629" s="22" t="n">
        <v>1</v>
      </c>
      <c r="I629" s="22" t="n">
        <v>0</v>
      </c>
      <c r="J629" s="22" t="n">
        <v>0</v>
      </c>
      <c r="K629" s="22" t="n">
        <v>0</v>
      </c>
      <c r="L629" s="22" t="n">
        <v>0</v>
      </c>
      <c r="M629" s="22" t="n">
        <v>0</v>
      </c>
      <c r="N629" s="22" t="n">
        <v>0</v>
      </c>
      <c r="O629" s="22" t="n">
        <v>0</v>
      </c>
      <c r="P629" s="22" t="n">
        <v>0</v>
      </c>
      <c r="Q629" s="22" t="n">
        <v>0</v>
      </c>
      <c r="R629" s="22" t="n">
        <v>0</v>
      </c>
      <c r="S629" s="22" t="n">
        <v>0</v>
      </c>
      <c r="T629" s="22" t="n">
        <v>0</v>
      </c>
      <c r="U629" s="3">
        <f>IF(OR(N629=1,Q629=1),1,0)</f>
        <v/>
      </c>
      <c r="V629" s="3">
        <f>IF(OR(T629=1,P629=1),1,0)</f>
        <v/>
      </c>
      <c r="W629" s="3">
        <f>IF(OR(J629=1),1,0)</f>
        <v/>
      </c>
      <c r="X629" s="3">
        <f>IF(OR(I629=1,H629=1),1,0)</f>
        <v/>
      </c>
      <c r="Y629" s="3">
        <f>IF(OR(G629=1),1,0)</f>
        <v/>
      </c>
      <c r="Z629" s="3">
        <f>IF(OR(F629=1),1,0)</f>
        <v/>
      </c>
      <c r="AA629" s="3">
        <f>IF(OR(M629=1),1,0)</f>
        <v/>
      </c>
    </row>
    <row r="630">
      <c r="A630" s="22" t="inlineStr">
        <is>
          <t>1fdc98682237c678f28f68d6ccb59bb36b36b836</t>
        </is>
      </c>
      <c r="B630" s="22" t="inlineStr">
        <is>
          <t>2026-10</t>
        </is>
      </c>
      <c r="C630" s="22" t="inlineStr">
        <is>
          <t>Nairaland</t>
        </is>
      </c>
      <c r="D630" s="22" t="n">
        <v>0</v>
      </c>
      <c r="E630" s="22" t="inlineStr">
        <is>
          <t>Nairaland: Nairaland</t>
        </is>
      </c>
      <c r="F630" s="22" t="inlineStr">
        <is>
          <t>nairaland:Nairaland</t>
        </is>
      </c>
      <c r="G630" s="22" t="n">
        <v>0.44</v>
      </c>
      <c r="H630" s="22" t="n">
        <v>0</v>
      </c>
      <c r="I630" s="22" t="n">
        <v>0</v>
      </c>
      <c r="J630" s="22" t="n">
        <v>0</v>
      </c>
      <c r="K630" s="22" t="n">
        <v>0</v>
      </c>
      <c r="L630" s="22" t="n">
        <v>0</v>
      </c>
      <c r="M630" s="22" t="n">
        <v>0</v>
      </c>
      <c r="N630" s="22" t="n">
        <v>0</v>
      </c>
      <c r="O630" s="22" t="n">
        <v>1</v>
      </c>
      <c r="P630" s="22" t="n">
        <v>0</v>
      </c>
      <c r="Q630" s="22" t="n">
        <v>0</v>
      </c>
      <c r="R630" s="22" t="n">
        <v>0</v>
      </c>
      <c r="S630" s="22" t="n">
        <v>0</v>
      </c>
      <c r="T630" s="22" t="n">
        <v>0</v>
      </c>
      <c r="U630" s="3">
        <f>IF(OR(N630=1,Q630=1),1,0)</f>
        <v/>
      </c>
      <c r="V630" s="3">
        <f>IF(OR(T630=1,P630=1),1,0)</f>
        <v/>
      </c>
      <c r="W630" s="3">
        <f>IF(OR(J630=1),1,0)</f>
        <v/>
      </c>
      <c r="X630" s="3">
        <f>IF(OR(I630=1,H630=1),1,0)</f>
        <v/>
      </c>
      <c r="Y630" s="3">
        <f>IF(OR(G630=1),1,0)</f>
        <v/>
      </c>
      <c r="Z630" s="3">
        <f>IF(OR(F630=1),1,0)</f>
        <v/>
      </c>
      <c r="AA630" s="3">
        <f>IF(OR(M630=1),1,0)</f>
        <v/>
      </c>
    </row>
    <row r="631">
      <c r="A631" s="22" t="inlineStr">
        <is>
          <t>a19e0a96c64cc1d3b48d29d6c5cf3a5f9b73d993</t>
        </is>
      </c>
      <c r="B631" s="22" t="inlineStr">
        <is>
          <t>2026-10</t>
        </is>
      </c>
      <c r="C631" s="22" t="inlineStr">
        <is>
          <t>Nairaland</t>
        </is>
      </c>
      <c r="D631" s="22" t="n">
        <v>0</v>
      </c>
      <c r="E631" s="22" t="inlineStr">
        <is>
          <t>Nairaland: Nairaland</t>
        </is>
      </c>
      <c r="F631" s="22" t="inlineStr">
        <is>
          <t>nairaland:Nairaland</t>
        </is>
      </c>
      <c r="G631" s="22" t="n">
        <v>0.673</v>
      </c>
      <c r="H631" s="22" t="n">
        <v>0</v>
      </c>
      <c r="I631" s="22" t="n">
        <v>0</v>
      </c>
      <c r="J631" s="22" t="n">
        <v>0</v>
      </c>
      <c r="K631" s="22" t="n">
        <v>0</v>
      </c>
      <c r="L631" s="22" t="n">
        <v>0</v>
      </c>
      <c r="M631" s="22" t="n">
        <v>0</v>
      </c>
      <c r="N631" s="22" t="n">
        <v>0</v>
      </c>
      <c r="O631" s="22" t="n">
        <v>0</v>
      </c>
      <c r="P631" s="22" t="n">
        <v>1</v>
      </c>
      <c r="Q631" s="22" t="n">
        <v>0</v>
      </c>
      <c r="R631" s="22" t="n">
        <v>0</v>
      </c>
      <c r="S631" s="22" t="n">
        <v>0</v>
      </c>
      <c r="T631" s="22" t="n">
        <v>0</v>
      </c>
      <c r="U631" s="3">
        <f>IF(OR(N631=1,Q631=1),1,0)</f>
        <v/>
      </c>
      <c r="V631" s="3">
        <f>IF(OR(T631=1,P631=1),1,0)</f>
        <v/>
      </c>
      <c r="W631" s="3">
        <f>IF(OR(J631=1),1,0)</f>
        <v/>
      </c>
      <c r="X631" s="3">
        <f>IF(OR(I631=1,H631=1),1,0)</f>
        <v/>
      </c>
      <c r="Y631" s="3">
        <f>IF(OR(G631=1),1,0)</f>
        <v/>
      </c>
      <c r="Z631" s="3">
        <f>IF(OR(F631=1),1,0)</f>
        <v/>
      </c>
      <c r="AA631" s="3">
        <f>IF(OR(M631=1),1,0)</f>
        <v/>
      </c>
    </row>
    <row r="632">
      <c r="A632" s="22" t="inlineStr">
        <is>
          <t>e19a52b1f08cf1976dd5b2450158d58e24be0ea8</t>
        </is>
      </c>
      <c r="B632" s="22" t="inlineStr">
        <is>
          <t>2026-10</t>
        </is>
      </c>
      <c r="C632" s="22" t="inlineStr">
        <is>
          <t>Nairaland</t>
        </is>
      </c>
      <c r="D632" s="22" t="n">
        <v>0</v>
      </c>
      <c r="E632" s="22" t="inlineStr">
        <is>
          <t>Nairaland: Nairaland</t>
        </is>
      </c>
      <c r="F632" s="22" t="inlineStr">
        <is>
          <t>nairaland:Nairaland</t>
        </is>
      </c>
      <c r="G632" s="22" t="n">
        <v>-0.586</v>
      </c>
      <c r="H632" s="22" t="n">
        <v>1</v>
      </c>
      <c r="I632" s="22" t="n">
        <v>0</v>
      </c>
      <c r="J632" s="22" t="n">
        <v>0</v>
      </c>
      <c r="K632" s="22" t="n">
        <v>0</v>
      </c>
      <c r="L632" s="22" t="n">
        <v>0</v>
      </c>
      <c r="M632" s="22" t="n">
        <v>0</v>
      </c>
      <c r="N632" s="22" t="n">
        <v>0</v>
      </c>
      <c r="O632" s="22" t="n">
        <v>0</v>
      </c>
      <c r="P632" s="22" t="n">
        <v>0</v>
      </c>
      <c r="Q632" s="22" t="n">
        <v>0</v>
      </c>
      <c r="R632" s="22" t="n">
        <v>0</v>
      </c>
      <c r="S632" s="22" t="n">
        <v>0</v>
      </c>
      <c r="T632" s="22" t="n">
        <v>0</v>
      </c>
      <c r="U632" s="3">
        <f>IF(OR(N632=1,Q632=1),1,0)</f>
        <v/>
      </c>
      <c r="V632" s="3">
        <f>IF(OR(T632=1,P632=1),1,0)</f>
        <v/>
      </c>
      <c r="W632" s="3">
        <f>IF(OR(J632=1),1,0)</f>
        <v/>
      </c>
      <c r="X632" s="3">
        <f>IF(OR(I632=1,H632=1),1,0)</f>
        <v/>
      </c>
      <c r="Y632" s="3">
        <f>IF(OR(G632=1),1,0)</f>
        <v/>
      </c>
      <c r="Z632" s="3">
        <f>IF(OR(F632=1),1,0)</f>
        <v/>
      </c>
      <c r="AA632" s="3">
        <f>IF(OR(M632=1),1,0)</f>
        <v/>
      </c>
    </row>
    <row r="633">
      <c r="A633" s="22" t="inlineStr">
        <is>
          <t>0b337a7af424e59aee2ad35305c1add01fd07e2b</t>
        </is>
      </c>
      <c r="B633" s="22" t="inlineStr">
        <is>
          <t>2026-10</t>
        </is>
      </c>
      <c r="C633" s="22" t="inlineStr">
        <is>
          <t>Nairaland</t>
        </is>
      </c>
      <c r="D633" s="22" t="n">
        <v>0</v>
      </c>
      <c r="E633" s="22" t="inlineStr">
        <is>
          <t>Nairaland: Nairaland</t>
        </is>
      </c>
      <c r="F633" s="22" t="inlineStr">
        <is>
          <t>nairaland:Nairaland</t>
        </is>
      </c>
      <c r="G633" s="22" t="n">
        <v>-0.801</v>
      </c>
      <c r="H633" s="22" t="n">
        <v>1</v>
      </c>
      <c r="I633" s="22" t="n">
        <v>0</v>
      </c>
      <c r="J633" s="22" t="n">
        <v>1</v>
      </c>
      <c r="K633" s="22" t="n">
        <v>0</v>
      </c>
      <c r="L633" s="22" t="n">
        <v>0</v>
      </c>
      <c r="M633" s="22" t="n">
        <v>0</v>
      </c>
      <c r="N633" s="22" t="n">
        <v>0</v>
      </c>
      <c r="O633" s="22" t="n">
        <v>0</v>
      </c>
      <c r="P633" s="22" t="n">
        <v>0</v>
      </c>
      <c r="Q633" s="22" t="n">
        <v>0</v>
      </c>
      <c r="R633" s="22" t="n">
        <v>0</v>
      </c>
      <c r="S633" s="22" t="n">
        <v>0</v>
      </c>
      <c r="T633" s="22" t="n">
        <v>0</v>
      </c>
      <c r="U633" s="3">
        <f>IF(OR(N633=1,Q633=1),1,0)</f>
        <v/>
      </c>
      <c r="V633" s="3">
        <f>IF(OR(T633=1,P633=1),1,0)</f>
        <v/>
      </c>
      <c r="W633" s="3">
        <f>IF(OR(J633=1),1,0)</f>
        <v/>
      </c>
      <c r="X633" s="3">
        <f>IF(OR(I633=1,H633=1),1,0)</f>
        <v/>
      </c>
      <c r="Y633" s="3">
        <f>IF(OR(G633=1),1,0)</f>
        <v/>
      </c>
      <c r="Z633" s="3">
        <f>IF(OR(F633=1),1,0)</f>
        <v/>
      </c>
      <c r="AA633" s="3">
        <f>IF(OR(M633=1),1,0)</f>
        <v/>
      </c>
    </row>
    <row r="634">
      <c r="A634" s="22" t="inlineStr">
        <is>
          <t>1a479ec917d8bb58f1fcefa1dffc16b71dc69b1c</t>
        </is>
      </c>
      <c r="B634" s="22" t="inlineStr">
        <is>
          <t>2026-10</t>
        </is>
      </c>
      <c r="C634" s="22" t="inlineStr">
        <is>
          <t>Nairaland</t>
        </is>
      </c>
      <c r="D634" s="22" t="n">
        <v>0</v>
      </c>
      <c r="E634" s="22" t="inlineStr">
        <is>
          <t>Nairaland: Nairaland</t>
        </is>
      </c>
      <c r="F634" s="22" t="inlineStr">
        <is>
          <t>nairaland:Nairaland</t>
        </is>
      </c>
      <c r="G634" s="22" t="n">
        <v>0.382</v>
      </c>
      <c r="H634" s="22" t="n">
        <v>1</v>
      </c>
      <c r="I634" s="22" t="n">
        <v>1</v>
      </c>
      <c r="J634" s="22" t="n">
        <v>0</v>
      </c>
      <c r="K634" s="22" t="n">
        <v>0</v>
      </c>
      <c r="L634" s="22" t="n">
        <v>0</v>
      </c>
      <c r="M634" s="22" t="n">
        <v>0</v>
      </c>
      <c r="N634" s="22" t="n">
        <v>0</v>
      </c>
      <c r="O634" s="22" t="n">
        <v>0</v>
      </c>
      <c r="P634" s="22" t="n">
        <v>0</v>
      </c>
      <c r="Q634" s="22" t="n">
        <v>0</v>
      </c>
      <c r="R634" s="22" t="n">
        <v>0</v>
      </c>
      <c r="S634" s="22" t="n">
        <v>0</v>
      </c>
      <c r="T634" s="22" t="n">
        <v>0</v>
      </c>
      <c r="U634" s="3">
        <f>IF(OR(N634=1,Q634=1),1,0)</f>
        <v/>
      </c>
      <c r="V634" s="3">
        <f>IF(OR(T634=1,P634=1),1,0)</f>
        <v/>
      </c>
      <c r="W634" s="3">
        <f>IF(OR(J634=1),1,0)</f>
        <v/>
      </c>
      <c r="X634" s="3">
        <f>IF(OR(I634=1,H634=1),1,0)</f>
        <v/>
      </c>
      <c r="Y634" s="3">
        <f>IF(OR(G634=1),1,0)</f>
        <v/>
      </c>
      <c r="Z634" s="3">
        <f>IF(OR(F634=1),1,0)</f>
        <v/>
      </c>
      <c r="AA634" s="3">
        <f>IF(OR(M634=1),1,0)</f>
        <v/>
      </c>
    </row>
    <row r="635">
      <c r="A635" s="22" t="inlineStr">
        <is>
          <t>bc657cac275a20c115839124997fe234046c74d8</t>
        </is>
      </c>
      <c r="B635" s="22" t="inlineStr">
        <is>
          <t>2026-10</t>
        </is>
      </c>
      <c r="C635" s="22" t="inlineStr">
        <is>
          <t>Nairaland</t>
        </is>
      </c>
      <c r="D635" s="22" t="n">
        <v>0</v>
      </c>
      <c r="E635" s="22" t="inlineStr">
        <is>
          <t>Nairaland: Nairaland</t>
        </is>
      </c>
      <c r="F635" s="22" t="inlineStr">
        <is>
          <t>nairaland:Nairaland</t>
        </is>
      </c>
      <c r="G635" s="22" t="n">
        <v>-0.824</v>
      </c>
      <c r="H635" s="22" t="n">
        <v>1</v>
      </c>
      <c r="I635" s="22" t="n">
        <v>0</v>
      </c>
      <c r="J635" s="22" t="n">
        <v>0</v>
      </c>
      <c r="K635" s="22" t="n">
        <v>0</v>
      </c>
      <c r="L635" s="22" t="n">
        <v>0</v>
      </c>
      <c r="M635" s="22" t="n">
        <v>0</v>
      </c>
      <c r="N635" s="22" t="n">
        <v>0</v>
      </c>
      <c r="O635" s="22" t="n">
        <v>0</v>
      </c>
      <c r="P635" s="22" t="n">
        <v>1</v>
      </c>
      <c r="Q635" s="22" t="n">
        <v>0</v>
      </c>
      <c r="R635" s="22" t="n">
        <v>0</v>
      </c>
      <c r="S635" s="22" t="n">
        <v>0</v>
      </c>
      <c r="T635" s="22" t="n">
        <v>0</v>
      </c>
      <c r="U635" s="3">
        <f>IF(OR(N635=1,Q635=1),1,0)</f>
        <v/>
      </c>
      <c r="V635" s="3">
        <f>IF(OR(T635=1,P635=1),1,0)</f>
        <v/>
      </c>
      <c r="W635" s="3">
        <f>IF(OR(J635=1),1,0)</f>
        <v/>
      </c>
      <c r="X635" s="3">
        <f>IF(OR(I635=1,H635=1),1,0)</f>
        <v/>
      </c>
      <c r="Y635" s="3">
        <f>IF(OR(G635=1),1,0)</f>
        <v/>
      </c>
      <c r="Z635" s="3">
        <f>IF(OR(F635=1),1,0)</f>
        <v/>
      </c>
      <c r="AA635" s="3">
        <f>IF(OR(M635=1),1,0)</f>
        <v/>
      </c>
    </row>
    <row r="636">
      <c r="A636" s="22" t="inlineStr">
        <is>
          <t>223cbd3ba534dab5b3539d17c8163da9bc83d6b7</t>
        </is>
      </c>
      <c r="B636" s="22" t="inlineStr">
        <is>
          <t>2026-10</t>
        </is>
      </c>
      <c r="C636" s="22" t="inlineStr">
        <is>
          <t>Nairaland</t>
        </is>
      </c>
      <c r="D636" s="22" t="n">
        <v>0</v>
      </c>
      <c r="E636" s="22" t="inlineStr">
        <is>
          <t>Nairaland: Nairaland</t>
        </is>
      </c>
      <c r="F636" s="22" t="inlineStr">
        <is>
          <t>nairaland:Nairaland</t>
        </is>
      </c>
      <c r="G636" s="22" t="n">
        <v>-0.586</v>
      </c>
      <c r="H636" s="22" t="n">
        <v>1</v>
      </c>
      <c r="I636" s="22" t="n">
        <v>0</v>
      </c>
      <c r="J636" s="22" t="n">
        <v>0</v>
      </c>
      <c r="K636" s="22" t="n">
        <v>0</v>
      </c>
      <c r="L636" s="22" t="n">
        <v>0</v>
      </c>
      <c r="M636" s="22" t="n">
        <v>0</v>
      </c>
      <c r="N636" s="22" t="n">
        <v>0</v>
      </c>
      <c r="O636" s="22" t="n">
        <v>0</v>
      </c>
      <c r="P636" s="22" t="n">
        <v>0</v>
      </c>
      <c r="Q636" s="22" t="n">
        <v>0</v>
      </c>
      <c r="R636" s="22" t="n">
        <v>0</v>
      </c>
      <c r="S636" s="22" t="n">
        <v>0</v>
      </c>
      <c r="T636" s="22" t="n">
        <v>0</v>
      </c>
      <c r="U636" s="3">
        <f>IF(OR(N636=1,Q636=1),1,0)</f>
        <v/>
      </c>
      <c r="V636" s="3">
        <f>IF(OR(T636=1,P636=1),1,0)</f>
        <v/>
      </c>
      <c r="W636" s="3">
        <f>IF(OR(J636=1),1,0)</f>
        <v/>
      </c>
      <c r="X636" s="3">
        <f>IF(OR(I636=1,H636=1),1,0)</f>
        <v/>
      </c>
      <c r="Y636" s="3">
        <f>IF(OR(G636=1),1,0)</f>
        <v/>
      </c>
      <c r="Z636" s="3">
        <f>IF(OR(F636=1),1,0)</f>
        <v/>
      </c>
      <c r="AA636" s="3">
        <f>IF(OR(M636=1),1,0)</f>
        <v/>
      </c>
    </row>
    <row r="637">
      <c r="A637" s="22" t="inlineStr">
        <is>
          <t>8bc3a6c08a6a88b54cac70b27a52ad1d7e47cd59</t>
        </is>
      </c>
      <c r="B637" s="22" t="inlineStr">
        <is>
          <t>2026-10</t>
        </is>
      </c>
      <c r="C637" s="22" t="inlineStr">
        <is>
          <t>Nairaland</t>
        </is>
      </c>
      <c r="D637" s="22" t="n">
        <v>0</v>
      </c>
      <c r="E637" s="22" t="inlineStr">
        <is>
          <t>Nairaland: Nairaland</t>
        </is>
      </c>
      <c r="F637" s="22" t="inlineStr">
        <is>
          <t>nairaland:Nairaland</t>
        </is>
      </c>
      <c r="G637" s="22" t="n">
        <v>0.796</v>
      </c>
      <c r="H637" s="22" t="n">
        <v>0</v>
      </c>
      <c r="I637" s="22" t="n">
        <v>0</v>
      </c>
      <c r="J637" s="22" t="n">
        <v>0</v>
      </c>
      <c r="K637" s="22" t="n">
        <v>0</v>
      </c>
      <c r="L637" s="22" t="n">
        <v>0</v>
      </c>
      <c r="M637" s="22" t="n">
        <v>1</v>
      </c>
      <c r="N637" s="22" t="n">
        <v>0</v>
      </c>
      <c r="O637" s="22" t="n">
        <v>0</v>
      </c>
      <c r="P637" s="22" t="n">
        <v>0</v>
      </c>
      <c r="Q637" s="22" t="n">
        <v>0</v>
      </c>
      <c r="R637" s="22" t="n">
        <v>0</v>
      </c>
      <c r="S637" s="22" t="n">
        <v>0</v>
      </c>
      <c r="T637" s="22" t="n">
        <v>0</v>
      </c>
      <c r="U637" s="3">
        <f>IF(OR(N637=1,Q637=1),1,0)</f>
        <v/>
      </c>
      <c r="V637" s="3">
        <f>IF(OR(T637=1,P637=1),1,0)</f>
        <v/>
      </c>
      <c r="W637" s="3">
        <f>IF(OR(J637=1),1,0)</f>
        <v/>
      </c>
      <c r="X637" s="3">
        <f>IF(OR(I637=1,H637=1),1,0)</f>
        <v/>
      </c>
      <c r="Y637" s="3">
        <f>IF(OR(G637=1),1,0)</f>
        <v/>
      </c>
      <c r="Z637" s="3">
        <f>IF(OR(F637=1),1,0)</f>
        <v/>
      </c>
      <c r="AA637" s="3">
        <f>IF(OR(M637=1),1,0)</f>
        <v/>
      </c>
    </row>
    <row r="638">
      <c r="A638" s="22" t="inlineStr">
        <is>
          <t>3497e75e6c7631accf86b250f0e00944cdede51f</t>
        </is>
      </c>
      <c r="B638" s="22" t="inlineStr">
        <is>
          <t>2026-10</t>
        </is>
      </c>
      <c r="C638" s="22" t="inlineStr">
        <is>
          <t>Nairaland</t>
        </is>
      </c>
      <c r="D638" s="22" t="n">
        <v>0</v>
      </c>
      <c r="E638" s="22" t="inlineStr">
        <is>
          <t>Nairaland: Nairaland</t>
        </is>
      </c>
      <c r="F638" s="22" t="inlineStr">
        <is>
          <t>nairaland:Nairaland</t>
        </is>
      </c>
      <c r="G638" s="22" t="n">
        <v>-0.34</v>
      </c>
      <c r="H638" s="22" t="n">
        <v>0</v>
      </c>
      <c r="I638" s="22" t="n">
        <v>0</v>
      </c>
      <c r="J638" s="22" t="n">
        <v>0</v>
      </c>
      <c r="K638" s="22" t="n">
        <v>0</v>
      </c>
      <c r="L638" s="22" t="n">
        <v>0</v>
      </c>
      <c r="M638" s="22" t="n">
        <v>0</v>
      </c>
      <c r="N638" s="22" t="n">
        <v>0</v>
      </c>
      <c r="O638" s="22" t="n">
        <v>0</v>
      </c>
      <c r="P638" s="22" t="n">
        <v>1</v>
      </c>
      <c r="Q638" s="22" t="n">
        <v>0</v>
      </c>
      <c r="R638" s="22" t="n">
        <v>0</v>
      </c>
      <c r="S638" s="22" t="n">
        <v>0</v>
      </c>
      <c r="T638" s="22" t="n">
        <v>0</v>
      </c>
      <c r="U638" s="3">
        <f>IF(OR(N638=1,Q638=1),1,0)</f>
        <v/>
      </c>
      <c r="V638" s="3">
        <f>IF(OR(T638=1,P638=1),1,0)</f>
        <v/>
      </c>
      <c r="W638" s="3">
        <f>IF(OR(J638=1),1,0)</f>
        <v/>
      </c>
      <c r="X638" s="3">
        <f>IF(OR(I638=1,H638=1),1,0)</f>
        <v/>
      </c>
      <c r="Y638" s="3">
        <f>IF(OR(G638=1),1,0)</f>
        <v/>
      </c>
      <c r="Z638" s="3">
        <f>IF(OR(F638=1),1,0)</f>
        <v/>
      </c>
      <c r="AA638" s="3">
        <f>IF(OR(M638=1),1,0)</f>
        <v/>
      </c>
    </row>
    <row r="639">
      <c r="A639" s="22" t="inlineStr">
        <is>
          <t>c2e26ef574baca4e593f3b1e41fe5cc7d8c26160</t>
        </is>
      </c>
      <c r="B639" s="22" t="inlineStr">
        <is>
          <t>2026-09</t>
        </is>
      </c>
      <c r="C639" s="22" t="inlineStr">
        <is>
          <t>Nairaland</t>
        </is>
      </c>
      <c r="D639" s="22" t="n">
        <v>0</v>
      </c>
      <c r="E639" s="22" t="inlineStr">
        <is>
          <t>Nairaland: Nairaland</t>
        </is>
      </c>
      <c r="F639" s="22" t="inlineStr">
        <is>
          <t>nairaland:Nairaland</t>
        </is>
      </c>
      <c r="G639" s="22" t="n">
        <v>-0.585</v>
      </c>
      <c r="H639" s="22" t="n">
        <v>1</v>
      </c>
      <c r="I639" s="22" t="n">
        <v>1</v>
      </c>
      <c r="J639" s="22" t="n">
        <v>0</v>
      </c>
      <c r="K639" s="22" t="n">
        <v>0</v>
      </c>
      <c r="L639" s="22" t="n">
        <v>0</v>
      </c>
      <c r="M639" s="22" t="n">
        <v>1</v>
      </c>
      <c r="N639" s="22" t="n">
        <v>0</v>
      </c>
      <c r="O639" s="22" t="n">
        <v>0</v>
      </c>
      <c r="P639" s="22" t="n">
        <v>0</v>
      </c>
      <c r="Q639" s="22" t="n">
        <v>0</v>
      </c>
      <c r="R639" s="22" t="n">
        <v>0</v>
      </c>
      <c r="S639" s="22" t="n">
        <v>0</v>
      </c>
      <c r="T639" s="22" t="n">
        <v>0</v>
      </c>
      <c r="U639" s="3">
        <f>IF(OR(N639=1,Q639=1),1,0)</f>
        <v/>
      </c>
      <c r="V639" s="3">
        <f>IF(OR(T639=1,P639=1),1,0)</f>
        <v/>
      </c>
      <c r="W639" s="3">
        <f>IF(OR(J639=1),1,0)</f>
        <v/>
      </c>
      <c r="X639" s="3">
        <f>IF(OR(I639=1,H639=1),1,0)</f>
        <v/>
      </c>
      <c r="Y639" s="3">
        <f>IF(OR(G639=1),1,0)</f>
        <v/>
      </c>
      <c r="Z639" s="3">
        <f>IF(OR(F639=1),1,0)</f>
        <v/>
      </c>
      <c r="AA639" s="3">
        <f>IF(OR(M639=1),1,0)</f>
        <v/>
      </c>
    </row>
    <row r="640">
      <c r="A640" s="22" t="inlineStr">
        <is>
          <t>71938db137c02c2f115814665b20c547197f9404</t>
        </is>
      </c>
      <c r="B640" s="22" t="inlineStr">
        <is>
          <t>2026-09</t>
        </is>
      </c>
      <c r="C640" s="22" t="inlineStr">
        <is>
          <t>Nairaland</t>
        </is>
      </c>
      <c r="D640" s="22" t="n">
        <v>0</v>
      </c>
      <c r="E640" s="22" t="inlineStr">
        <is>
          <t>Nairaland: Nairaland</t>
        </is>
      </c>
      <c r="F640" s="22" t="inlineStr">
        <is>
          <t>nairaland:Nairaland</t>
        </is>
      </c>
      <c r="G640" s="22" t="n">
        <v>0</v>
      </c>
      <c r="H640" s="22" t="n">
        <v>0</v>
      </c>
      <c r="I640" s="22" t="n">
        <v>1</v>
      </c>
      <c r="J640" s="22" t="n">
        <v>0</v>
      </c>
      <c r="K640" s="22" t="n">
        <v>0</v>
      </c>
      <c r="L640" s="22" t="n">
        <v>0</v>
      </c>
      <c r="M640" s="22" t="n">
        <v>0</v>
      </c>
      <c r="N640" s="22" t="n">
        <v>0</v>
      </c>
      <c r="O640" s="22" t="n">
        <v>0</v>
      </c>
      <c r="P640" s="22" t="n">
        <v>0</v>
      </c>
      <c r="Q640" s="22" t="n">
        <v>0</v>
      </c>
      <c r="R640" s="22" t="n">
        <v>0</v>
      </c>
      <c r="S640" s="22" t="n">
        <v>0</v>
      </c>
      <c r="T640" s="22" t="n">
        <v>0</v>
      </c>
      <c r="U640" s="3">
        <f>IF(OR(N640=1,Q640=1),1,0)</f>
        <v/>
      </c>
      <c r="V640" s="3">
        <f>IF(OR(T640=1,P640=1),1,0)</f>
        <v/>
      </c>
      <c r="W640" s="3">
        <f>IF(OR(J640=1),1,0)</f>
        <v/>
      </c>
      <c r="X640" s="3">
        <f>IF(OR(I640=1,H640=1),1,0)</f>
        <v/>
      </c>
      <c r="Y640" s="3">
        <f>IF(OR(G640=1),1,0)</f>
        <v/>
      </c>
      <c r="Z640" s="3">
        <f>IF(OR(F640=1),1,0)</f>
        <v/>
      </c>
      <c r="AA640" s="3">
        <f>IF(OR(M640=1),1,0)</f>
        <v/>
      </c>
    </row>
    <row r="641">
      <c r="A641" s="22" t="inlineStr">
        <is>
          <t>3b8147464964d6fd8e6a8ba139398ec0bbad64b5</t>
        </is>
      </c>
      <c r="B641" s="22" t="inlineStr">
        <is>
          <t>2026-09</t>
        </is>
      </c>
      <c r="C641" s="22" t="inlineStr">
        <is>
          <t>Nairaland</t>
        </is>
      </c>
      <c r="D641" s="22" t="n">
        <v>0</v>
      </c>
      <c r="E641" s="22" t="inlineStr">
        <is>
          <t>Nairaland: Nairaland</t>
        </is>
      </c>
      <c r="F641" s="22" t="inlineStr">
        <is>
          <t>nairaland:Nairaland</t>
        </is>
      </c>
      <c r="G641" s="22" t="n">
        <v>-0.103</v>
      </c>
      <c r="H641" s="22" t="n">
        <v>1</v>
      </c>
      <c r="I641" s="22" t="n">
        <v>0</v>
      </c>
      <c r="J641" s="22" t="n">
        <v>0</v>
      </c>
      <c r="K641" s="22" t="n">
        <v>0</v>
      </c>
      <c r="L641" s="22" t="n">
        <v>0</v>
      </c>
      <c r="M641" s="22" t="n">
        <v>0</v>
      </c>
      <c r="N641" s="22" t="n">
        <v>0</v>
      </c>
      <c r="O641" s="22" t="n">
        <v>0</v>
      </c>
      <c r="P641" s="22" t="n">
        <v>0</v>
      </c>
      <c r="Q641" s="22" t="n">
        <v>0</v>
      </c>
      <c r="R641" s="22" t="n">
        <v>0</v>
      </c>
      <c r="S641" s="22" t="n">
        <v>0</v>
      </c>
      <c r="T641" s="22" t="n">
        <v>0</v>
      </c>
      <c r="U641" s="3">
        <f>IF(OR(N641=1,Q641=1),1,0)</f>
        <v/>
      </c>
      <c r="V641" s="3">
        <f>IF(OR(T641=1,P641=1),1,0)</f>
        <v/>
      </c>
      <c r="W641" s="3">
        <f>IF(OR(J641=1),1,0)</f>
        <v/>
      </c>
      <c r="X641" s="3">
        <f>IF(OR(I641=1,H641=1),1,0)</f>
        <v/>
      </c>
      <c r="Y641" s="3">
        <f>IF(OR(G641=1),1,0)</f>
        <v/>
      </c>
      <c r="Z641" s="3">
        <f>IF(OR(F641=1),1,0)</f>
        <v/>
      </c>
      <c r="AA641" s="3">
        <f>IF(OR(M641=1),1,0)</f>
        <v/>
      </c>
    </row>
    <row r="642">
      <c r="A642" s="22" t="inlineStr">
        <is>
          <t>174e3a8b98b27957171473d65ef5a53e79f8a859</t>
        </is>
      </c>
      <c r="B642" s="22" t="inlineStr">
        <is>
          <t>2026-09</t>
        </is>
      </c>
      <c r="C642" s="22" t="inlineStr">
        <is>
          <t>Nairaland</t>
        </is>
      </c>
      <c r="D642" s="22" t="n">
        <v>0</v>
      </c>
      <c r="E642" s="22" t="inlineStr">
        <is>
          <t>Nairaland: Nairaland</t>
        </is>
      </c>
      <c r="F642" s="22" t="inlineStr">
        <is>
          <t>nairaland:Nairaland</t>
        </is>
      </c>
      <c r="G642" s="22" t="n">
        <v>0.67</v>
      </c>
      <c r="H642" s="22" t="n">
        <v>1</v>
      </c>
      <c r="I642" s="22" t="n">
        <v>0</v>
      </c>
      <c r="J642" s="22" t="n">
        <v>0</v>
      </c>
      <c r="K642" s="22" t="n">
        <v>0</v>
      </c>
      <c r="L642" s="22" t="n">
        <v>0</v>
      </c>
      <c r="M642" s="22" t="n">
        <v>0</v>
      </c>
      <c r="N642" s="22" t="n">
        <v>0</v>
      </c>
      <c r="O642" s="22" t="n">
        <v>0</v>
      </c>
      <c r="P642" s="22" t="n">
        <v>0</v>
      </c>
      <c r="Q642" s="22" t="n">
        <v>0</v>
      </c>
      <c r="R642" s="22" t="n">
        <v>0</v>
      </c>
      <c r="S642" s="22" t="n">
        <v>0</v>
      </c>
      <c r="T642" s="22" t="n">
        <v>0</v>
      </c>
      <c r="U642" s="3">
        <f>IF(OR(N642=1,Q642=1),1,0)</f>
        <v/>
      </c>
      <c r="V642" s="3">
        <f>IF(OR(T642=1,P642=1),1,0)</f>
        <v/>
      </c>
      <c r="W642" s="3">
        <f>IF(OR(J642=1),1,0)</f>
        <v/>
      </c>
      <c r="X642" s="3">
        <f>IF(OR(I642=1,H642=1),1,0)</f>
        <v/>
      </c>
      <c r="Y642" s="3">
        <f>IF(OR(G642=1),1,0)</f>
        <v/>
      </c>
      <c r="Z642" s="3">
        <f>IF(OR(F642=1),1,0)</f>
        <v/>
      </c>
      <c r="AA642" s="3">
        <f>IF(OR(M642=1),1,0)</f>
        <v/>
      </c>
    </row>
    <row r="643">
      <c r="A643" s="22" t="inlineStr">
        <is>
          <t>f1fb83b5f2b45907d83e15b1dc33b58d1b3e743b</t>
        </is>
      </c>
      <c r="B643" s="22" t="inlineStr">
        <is>
          <t>2026-09</t>
        </is>
      </c>
      <c r="C643" s="22" t="inlineStr">
        <is>
          <t>Nairaland</t>
        </is>
      </c>
      <c r="D643" s="22" t="n">
        <v>0</v>
      </c>
      <c r="E643" s="22" t="inlineStr">
        <is>
          <t>Nairaland: Nairaland</t>
        </is>
      </c>
      <c r="F643" s="22" t="inlineStr">
        <is>
          <t>nairaland:Nairaland</t>
        </is>
      </c>
      <c r="G643" s="22" t="n">
        <v>-0.494</v>
      </c>
      <c r="H643" s="22" t="n">
        <v>1</v>
      </c>
      <c r="I643" s="22" t="n">
        <v>0</v>
      </c>
      <c r="J643" s="22" t="n">
        <v>0</v>
      </c>
      <c r="K643" s="22" t="n">
        <v>0</v>
      </c>
      <c r="L643" s="22" t="n">
        <v>0</v>
      </c>
      <c r="M643" s="22" t="n">
        <v>1</v>
      </c>
      <c r="N643" s="22" t="n">
        <v>0</v>
      </c>
      <c r="O643" s="22" t="n">
        <v>0</v>
      </c>
      <c r="P643" s="22" t="n">
        <v>0</v>
      </c>
      <c r="Q643" s="22" t="n">
        <v>0</v>
      </c>
      <c r="R643" s="22" t="n">
        <v>0</v>
      </c>
      <c r="S643" s="22" t="n">
        <v>0</v>
      </c>
      <c r="T643" s="22" t="n">
        <v>0</v>
      </c>
      <c r="U643" s="3">
        <f>IF(OR(N643=1,Q643=1),1,0)</f>
        <v/>
      </c>
      <c r="V643" s="3">
        <f>IF(OR(T643=1,P643=1),1,0)</f>
        <v/>
      </c>
      <c r="W643" s="3">
        <f>IF(OR(J643=1),1,0)</f>
        <v/>
      </c>
      <c r="X643" s="3">
        <f>IF(OR(I643=1,H643=1),1,0)</f>
        <v/>
      </c>
      <c r="Y643" s="3">
        <f>IF(OR(G643=1),1,0)</f>
        <v/>
      </c>
      <c r="Z643" s="3">
        <f>IF(OR(F643=1),1,0)</f>
        <v/>
      </c>
      <c r="AA643" s="3">
        <f>IF(OR(M643=1),1,0)</f>
        <v/>
      </c>
    </row>
    <row r="644">
      <c r="A644" s="22" t="inlineStr">
        <is>
          <t>dff27b36e271525d0c759aa2e7219bde8e200e3b</t>
        </is>
      </c>
      <c r="B644" s="22" t="inlineStr">
        <is>
          <t>2026-09</t>
        </is>
      </c>
      <c r="C644" s="22" t="inlineStr">
        <is>
          <t>Nairaland</t>
        </is>
      </c>
      <c r="D644" s="22" t="n">
        <v>0</v>
      </c>
      <c r="E644" s="22" t="inlineStr">
        <is>
          <t>Nairaland: Nairaland</t>
        </is>
      </c>
      <c r="F644" s="22" t="inlineStr">
        <is>
          <t>nairaland:Nairaland</t>
        </is>
      </c>
      <c r="G644" s="22" t="n">
        <v>-0.893</v>
      </c>
      <c r="H644" s="22" t="n">
        <v>1</v>
      </c>
      <c r="I644" s="22" t="n">
        <v>1</v>
      </c>
      <c r="J644" s="22" t="n">
        <v>0</v>
      </c>
      <c r="K644" s="22" t="n">
        <v>0</v>
      </c>
      <c r="L644" s="22" t="n">
        <v>0</v>
      </c>
      <c r="M644" s="22" t="n">
        <v>1</v>
      </c>
      <c r="N644" s="22" t="n">
        <v>0</v>
      </c>
      <c r="O644" s="22" t="n">
        <v>0</v>
      </c>
      <c r="P644" s="22" t="n">
        <v>0</v>
      </c>
      <c r="Q644" s="22" t="n">
        <v>0</v>
      </c>
      <c r="R644" s="22" t="n">
        <v>0</v>
      </c>
      <c r="S644" s="22" t="n">
        <v>0</v>
      </c>
      <c r="T644" s="22" t="n">
        <v>0</v>
      </c>
      <c r="U644" s="3">
        <f>IF(OR(N644=1,Q644=1),1,0)</f>
        <v/>
      </c>
      <c r="V644" s="3">
        <f>IF(OR(T644=1,P644=1),1,0)</f>
        <v/>
      </c>
      <c r="W644" s="3">
        <f>IF(OR(J644=1),1,0)</f>
        <v/>
      </c>
      <c r="X644" s="3">
        <f>IF(OR(I644=1,H644=1),1,0)</f>
        <v/>
      </c>
      <c r="Y644" s="3">
        <f>IF(OR(G644=1),1,0)</f>
        <v/>
      </c>
      <c r="Z644" s="3">
        <f>IF(OR(F644=1),1,0)</f>
        <v/>
      </c>
      <c r="AA644" s="3">
        <f>IF(OR(M644=1),1,0)</f>
        <v/>
      </c>
    </row>
    <row r="645">
      <c r="A645" s="22" t="inlineStr">
        <is>
          <t>32ffd0b2e8bd06524c1fbc4f9cfecf61c9465c23</t>
        </is>
      </c>
      <c r="B645" s="22" t="inlineStr">
        <is>
          <t>2026-09</t>
        </is>
      </c>
      <c r="C645" s="22" t="inlineStr">
        <is>
          <t>Nairaland</t>
        </is>
      </c>
      <c r="D645" s="22" t="n">
        <v>0</v>
      </c>
      <c r="E645" s="22" t="inlineStr">
        <is>
          <t>Nairaland: Nairaland</t>
        </is>
      </c>
      <c r="F645" s="22" t="inlineStr">
        <is>
          <t>nairaland:Nairaland</t>
        </is>
      </c>
      <c r="G645" s="22" t="n">
        <v>-0.494</v>
      </c>
      <c r="H645" s="22" t="n">
        <v>1</v>
      </c>
      <c r="I645" s="22" t="n">
        <v>0</v>
      </c>
      <c r="J645" s="22" t="n">
        <v>0</v>
      </c>
      <c r="K645" s="22" t="n">
        <v>0</v>
      </c>
      <c r="L645" s="22" t="n">
        <v>0</v>
      </c>
      <c r="M645" s="22" t="n">
        <v>0</v>
      </c>
      <c r="N645" s="22" t="n">
        <v>0</v>
      </c>
      <c r="O645" s="22" t="n">
        <v>0</v>
      </c>
      <c r="P645" s="22" t="n">
        <v>0</v>
      </c>
      <c r="Q645" s="22" t="n">
        <v>0</v>
      </c>
      <c r="R645" s="22" t="n">
        <v>0</v>
      </c>
      <c r="S645" s="22" t="n">
        <v>0</v>
      </c>
      <c r="T645" s="22" t="n">
        <v>0</v>
      </c>
      <c r="U645" s="3">
        <f>IF(OR(N645=1,Q645=1),1,0)</f>
        <v/>
      </c>
      <c r="V645" s="3">
        <f>IF(OR(T645=1,P645=1),1,0)</f>
        <v/>
      </c>
      <c r="W645" s="3">
        <f>IF(OR(J645=1),1,0)</f>
        <v/>
      </c>
      <c r="X645" s="3">
        <f>IF(OR(I645=1,H645=1),1,0)</f>
        <v/>
      </c>
      <c r="Y645" s="3">
        <f>IF(OR(G645=1),1,0)</f>
        <v/>
      </c>
      <c r="Z645" s="3">
        <f>IF(OR(F645=1),1,0)</f>
        <v/>
      </c>
      <c r="AA645" s="3">
        <f>IF(OR(M645=1),1,0)</f>
        <v/>
      </c>
    </row>
    <row r="646">
      <c r="A646" s="22" t="inlineStr">
        <is>
          <t>f3a0bcd4d1cdc5daf6294d74b5137d3cc5012604</t>
        </is>
      </c>
      <c r="B646" s="22" t="inlineStr">
        <is>
          <t>2026-09</t>
        </is>
      </c>
      <c r="C646" s="22" t="inlineStr">
        <is>
          <t>Nairaland</t>
        </is>
      </c>
      <c r="D646" s="22" t="n">
        <v>0</v>
      </c>
      <c r="E646" s="22" t="inlineStr">
        <is>
          <t>Nairaland: Nairaland</t>
        </is>
      </c>
      <c r="F646" s="22" t="inlineStr">
        <is>
          <t>nairaland:Nairaland</t>
        </is>
      </c>
      <c r="G646" s="22" t="n">
        <v>-0.477</v>
      </c>
      <c r="H646" s="22" t="n">
        <v>0</v>
      </c>
      <c r="I646" s="22" t="n">
        <v>0</v>
      </c>
      <c r="J646" s="22" t="n">
        <v>0</v>
      </c>
      <c r="K646" s="22" t="n">
        <v>0</v>
      </c>
      <c r="L646" s="22" t="n">
        <v>0</v>
      </c>
      <c r="M646" s="22" t="n">
        <v>1</v>
      </c>
      <c r="N646" s="22" t="n">
        <v>0</v>
      </c>
      <c r="O646" s="22" t="n">
        <v>0</v>
      </c>
      <c r="P646" s="22" t="n">
        <v>0</v>
      </c>
      <c r="Q646" s="22" t="n">
        <v>0</v>
      </c>
      <c r="R646" s="22" t="n">
        <v>0</v>
      </c>
      <c r="S646" s="22" t="n">
        <v>0</v>
      </c>
      <c r="T646" s="22" t="n">
        <v>0</v>
      </c>
      <c r="U646" s="3">
        <f>IF(OR(N646=1,Q646=1),1,0)</f>
        <v/>
      </c>
      <c r="V646" s="3">
        <f>IF(OR(T646=1,P646=1),1,0)</f>
        <v/>
      </c>
      <c r="W646" s="3">
        <f>IF(OR(J646=1),1,0)</f>
        <v/>
      </c>
      <c r="X646" s="3">
        <f>IF(OR(I646=1,H646=1),1,0)</f>
        <v/>
      </c>
      <c r="Y646" s="3">
        <f>IF(OR(G646=1),1,0)</f>
        <v/>
      </c>
      <c r="Z646" s="3">
        <f>IF(OR(F646=1),1,0)</f>
        <v/>
      </c>
      <c r="AA646" s="3">
        <f>IF(OR(M646=1),1,0)</f>
        <v/>
      </c>
    </row>
    <row r="647">
      <c r="A647" s="22" t="inlineStr">
        <is>
          <t>428d560fcac95e2c76783b4e0e81ca521e5021f4</t>
        </is>
      </c>
      <c r="B647" s="22" t="inlineStr">
        <is>
          <t>2026-09</t>
        </is>
      </c>
      <c r="C647" s="22" t="inlineStr">
        <is>
          <t>Nairaland</t>
        </is>
      </c>
      <c r="D647" s="22" t="n">
        <v>0</v>
      </c>
      <c r="E647" s="22" t="inlineStr">
        <is>
          <t>Nairaland: Nairaland</t>
        </is>
      </c>
      <c r="F647" s="22" t="inlineStr">
        <is>
          <t>nairaland:Nairaland</t>
        </is>
      </c>
      <c r="G647" s="22" t="n">
        <v>-0.026</v>
      </c>
      <c r="H647" s="22" t="n">
        <v>1</v>
      </c>
      <c r="I647" s="22" t="n">
        <v>0</v>
      </c>
      <c r="J647" s="22" t="n">
        <v>0</v>
      </c>
      <c r="K647" s="22" t="n">
        <v>0</v>
      </c>
      <c r="L647" s="22" t="n">
        <v>0</v>
      </c>
      <c r="M647" s="22" t="n">
        <v>0</v>
      </c>
      <c r="N647" s="22" t="n">
        <v>0</v>
      </c>
      <c r="O647" s="22" t="n">
        <v>0</v>
      </c>
      <c r="P647" s="22" t="n">
        <v>0</v>
      </c>
      <c r="Q647" s="22" t="n">
        <v>0</v>
      </c>
      <c r="R647" s="22" t="n">
        <v>0</v>
      </c>
      <c r="S647" s="22" t="n">
        <v>0</v>
      </c>
      <c r="T647" s="22" t="n">
        <v>0</v>
      </c>
      <c r="U647" s="3">
        <f>IF(OR(N647=1,Q647=1),1,0)</f>
        <v/>
      </c>
      <c r="V647" s="3">
        <f>IF(OR(T647=1,P647=1),1,0)</f>
        <v/>
      </c>
      <c r="W647" s="3">
        <f>IF(OR(J647=1),1,0)</f>
        <v/>
      </c>
      <c r="X647" s="3">
        <f>IF(OR(I647=1,H647=1),1,0)</f>
        <v/>
      </c>
      <c r="Y647" s="3">
        <f>IF(OR(G647=1),1,0)</f>
        <v/>
      </c>
      <c r="Z647" s="3">
        <f>IF(OR(F647=1),1,0)</f>
        <v/>
      </c>
      <c r="AA647" s="3">
        <f>IF(OR(M647=1),1,0)</f>
        <v/>
      </c>
    </row>
    <row r="648">
      <c r="A648" s="22" t="inlineStr">
        <is>
          <t>aaf35b878e10b022ce38d79d16638115c144eb81</t>
        </is>
      </c>
      <c r="B648" s="22" t="inlineStr">
        <is>
          <t>2026-09</t>
        </is>
      </c>
      <c r="C648" s="22" t="inlineStr">
        <is>
          <t>Nairaland</t>
        </is>
      </c>
      <c r="D648" s="22" t="n">
        <v>0</v>
      </c>
      <c r="E648" s="22" t="inlineStr">
        <is>
          <t>Nairaland: Nairaland</t>
        </is>
      </c>
      <c r="F648" s="22" t="inlineStr">
        <is>
          <t>nairaland:Nairaland</t>
        </is>
      </c>
      <c r="G648" s="22" t="n">
        <v>-0.226</v>
      </c>
      <c r="H648" s="22" t="n">
        <v>0</v>
      </c>
      <c r="I648" s="22" t="n">
        <v>1</v>
      </c>
      <c r="J648" s="22" t="n">
        <v>0</v>
      </c>
      <c r="K648" s="22" t="n">
        <v>0</v>
      </c>
      <c r="L648" s="22" t="n">
        <v>0</v>
      </c>
      <c r="M648" s="22" t="n">
        <v>0</v>
      </c>
      <c r="N648" s="22" t="n">
        <v>0</v>
      </c>
      <c r="O648" s="22" t="n">
        <v>0</v>
      </c>
      <c r="P648" s="22" t="n">
        <v>0</v>
      </c>
      <c r="Q648" s="22" t="n">
        <v>0</v>
      </c>
      <c r="R648" s="22" t="n">
        <v>0</v>
      </c>
      <c r="S648" s="22" t="n">
        <v>0</v>
      </c>
      <c r="T648" s="22" t="n">
        <v>0</v>
      </c>
      <c r="U648" s="3">
        <f>IF(OR(N648=1,Q648=1),1,0)</f>
        <v/>
      </c>
      <c r="V648" s="3">
        <f>IF(OR(T648=1,P648=1),1,0)</f>
        <v/>
      </c>
      <c r="W648" s="3">
        <f>IF(OR(J648=1),1,0)</f>
        <v/>
      </c>
      <c r="X648" s="3">
        <f>IF(OR(I648=1,H648=1),1,0)</f>
        <v/>
      </c>
      <c r="Y648" s="3">
        <f>IF(OR(G648=1),1,0)</f>
        <v/>
      </c>
      <c r="Z648" s="3">
        <f>IF(OR(F648=1),1,0)</f>
        <v/>
      </c>
      <c r="AA648" s="3">
        <f>IF(OR(M648=1),1,0)</f>
        <v/>
      </c>
    </row>
    <row r="649">
      <c r="A649" s="22" t="inlineStr">
        <is>
          <t>4739fa97d8bdd2aec74057be5f2f0c80ae99a3c8</t>
        </is>
      </c>
      <c r="B649" s="22" t="inlineStr">
        <is>
          <t>2026-09</t>
        </is>
      </c>
      <c r="C649" s="22" t="inlineStr">
        <is>
          <t>Nairaland</t>
        </is>
      </c>
      <c r="D649" s="22" t="n">
        <v>0</v>
      </c>
      <c r="E649" s="22" t="inlineStr">
        <is>
          <t>Nairaland: Nairaland</t>
        </is>
      </c>
      <c r="F649" s="22" t="inlineStr">
        <is>
          <t>nairaland:Nairaland</t>
        </is>
      </c>
      <c r="G649" s="22" t="n">
        <v>0</v>
      </c>
      <c r="H649" s="22" t="n">
        <v>0</v>
      </c>
      <c r="I649" s="22" t="n">
        <v>0</v>
      </c>
      <c r="J649" s="22" t="n">
        <v>0</v>
      </c>
      <c r="K649" s="22" t="n">
        <v>0</v>
      </c>
      <c r="L649" s="22" t="n">
        <v>0</v>
      </c>
      <c r="M649" s="22" t="n">
        <v>0</v>
      </c>
      <c r="N649" s="22" t="n">
        <v>0</v>
      </c>
      <c r="O649" s="22" t="n">
        <v>1</v>
      </c>
      <c r="P649" s="22" t="n">
        <v>0</v>
      </c>
      <c r="Q649" s="22" t="n">
        <v>0</v>
      </c>
      <c r="R649" s="22" t="n">
        <v>0</v>
      </c>
      <c r="S649" s="22" t="n">
        <v>0</v>
      </c>
      <c r="T649" s="22" t="n">
        <v>0</v>
      </c>
      <c r="U649" s="3">
        <f>IF(OR(N649=1,Q649=1),1,0)</f>
        <v/>
      </c>
      <c r="V649" s="3">
        <f>IF(OR(T649=1,P649=1),1,0)</f>
        <v/>
      </c>
      <c r="W649" s="3">
        <f>IF(OR(J649=1),1,0)</f>
        <v/>
      </c>
      <c r="X649" s="3">
        <f>IF(OR(I649=1,H649=1),1,0)</f>
        <v/>
      </c>
      <c r="Y649" s="3">
        <f>IF(OR(G649=1),1,0)</f>
        <v/>
      </c>
      <c r="Z649" s="3">
        <f>IF(OR(F649=1),1,0)</f>
        <v/>
      </c>
      <c r="AA649" s="3">
        <f>IF(OR(M649=1),1,0)</f>
        <v/>
      </c>
    </row>
    <row r="650">
      <c r="A650" s="22" t="inlineStr">
        <is>
          <t>548d3fd7711c2e7d8671512bfc4530b3a371ed48</t>
        </is>
      </c>
      <c r="B650" s="22" t="inlineStr">
        <is>
          <t>2026-09</t>
        </is>
      </c>
      <c r="C650" s="22" t="inlineStr">
        <is>
          <t>Nairaland</t>
        </is>
      </c>
      <c r="D650" s="22" t="n">
        <v>0</v>
      </c>
      <c r="E650" s="22" t="inlineStr">
        <is>
          <t>Nairaland: Nairaland</t>
        </is>
      </c>
      <c r="F650" s="22" t="inlineStr">
        <is>
          <t>nairaland:Nairaland</t>
        </is>
      </c>
      <c r="G650" s="22" t="n">
        <v>-0.371</v>
      </c>
      <c r="H650" s="22" t="n">
        <v>0</v>
      </c>
      <c r="I650" s="22" t="n">
        <v>0</v>
      </c>
      <c r="J650" s="22" t="n">
        <v>0</v>
      </c>
      <c r="K650" s="22" t="n">
        <v>0</v>
      </c>
      <c r="L650" s="22" t="n">
        <v>0</v>
      </c>
      <c r="M650" s="22" t="n">
        <v>1</v>
      </c>
      <c r="N650" s="22" t="n">
        <v>0</v>
      </c>
      <c r="O650" s="22" t="n">
        <v>1</v>
      </c>
      <c r="P650" s="22" t="n">
        <v>0</v>
      </c>
      <c r="Q650" s="22" t="n">
        <v>0</v>
      </c>
      <c r="R650" s="22" t="n">
        <v>0</v>
      </c>
      <c r="S650" s="22" t="n">
        <v>0</v>
      </c>
      <c r="T650" s="22" t="n">
        <v>0</v>
      </c>
      <c r="U650" s="3">
        <f>IF(OR(N650=1,Q650=1),1,0)</f>
        <v/>
      </c>
      <c r="V650" s="3">
        <f>IF(OR(T650=1,P650=1),1,0)</f>
        <v/>
      </c>
      <c r="W650" s="3">
        <f>IF(OR(J650=1),1,0)</f>
        <v/>
      </c>
      <c r="X650" s="3">
        <f>IF(OR(I650=1,H650=1),1,0)</f>
        <v/>
      </c>
      <c r="Y650" s="3">
        <f>IF(OR(G650=1),1,0)</f>
        <v/>
      </c>
      <c r="Z650" s="3">
        <f>IF(OR(F650=1),1,0)</f>
        <v/>
      </c>
      <c r="AA650" s="3">
        <f>IF(OR(M650=1),1,0)</f>
        <v/>
      </c>
    </row>
    <row r="651">
      <c r="A651" s="22" t="inlineStr">
        <is>
          <t>c1f1442720b01da20f4d0662ce09b884ce8cc3b5</t>
        </is>
      </c>
      <c r="B651" s="22" t="inlineStr">
        <is>
          <t>2026-09</t>
        </is>
      </c>
      <c r="C651" s="22" t="inlineStr">
        <is>
          <t>Nairaland</t>
        </is>
      </c>
      <c r="D651" s="22" t="n">
        <v>0</v>
      </c>
      <c r="E651" s="22" t="inlineStr">
        <is>
          <t>Nairaland: Nairaland</t>
        </is>
      </c>
      <c r="F651" s="22" t="inlineStr">
        <is>
          <t>nairaland:Nairaland</t>
        </is>
      </c>
      <c r="G651" s="22" t="n">
        <v>0.026</v>
      </c>
      <c r="H651" s="22" t="n">
        <v>1</v>
      </c>
      <c r="I651" s="22" t="n">
        <v>0</v>
      </c>
      <c r="J651" s="22" t="n">
        <v>0</v>
      </c>
      <c r="K651" s="22" t="n">
        <v>0</v>
      </c>
      <c r="L651" s="22" t="n">
        <v>0</v>
      </c>
      <c r="M651" s="22" t="n">
        <v>0</v>
      </c>
      <c r="N651" s="22" t="n">
        <v>0</v>
      </c>
      <c r="O651" s="22" t="n">
        <v>0</v>
      </c>
      <c r="P651" s="22" t="n">
        <v>0</v>
      </c>
      <c r="Q651" s="22" t="n">
        <v>0</v>
      </c>
      <c r="R651" s="22" t="n">
        <v>0</v>
      </c>
      <c r="S651" s="22" t="n">
        <v>0</v>
      </c>
      <c r="T651" s="22" t="n">
        <v>0</v>
      </c>
      <c r="U651" s="3">
        <f>IF(OR(N651=1,Q651=1),1,0)</f>
        <v/>
      </c>
      <c r="V651" s="3">
        <f>IF(OR(T651=1,P651=1),1,0)</f>
        <v/>
      </c>
      <c r="W651" s="3">
        <f>IF(OR(J651=1),1,0)</f>
        <v/>
      </c>
      <c r="X651" s="3">
        <f>IF(OR(I651=1,H651=1),1,0)</f>
        <v/>
      </c>
      <c r="Y651" s="3">
        <f>IF(OR(G651=1),1,0)</f>
        <v/>
      </c>
      <c r="Z651" s="3">
        <f>IF(OR(F651=1),1,0)</f>
        <v/>
      </c>
      <c r="AA651" s="3">
        <f>IF(OR(M651=1),1,0)</f>
        <v/>
      </c>
    </row>
    <row r="652">
      <c r="A652" s="22" t="inlineStr">
        <is>
          <t>19849f6f1655a1e978885eb697c4a6014ab52b42</t>
        </is>
      </c>
      <c r="B652" s="22" t="inlineStr">
        <is>
          <t>2026-09</t>
        </is>
      </c>
      <c r="C652" s="22" t="inlineStr">
        <is>
          <t>Nairaland</t>
        </is>
      </c>
      <c r="D652" s="22" t="n">
        <v>0</v>
      </c>
      <c r="E652" s="22" t="inlineStr">
        <is>
          <t>Nairaland: Nairaland</t>
        </is>
      </c>
      <c r="F652" s="22" t="inlineStr">
        <is>
          <t>nairaland:Nairaland</t>
        </is>
      </c>
      <c r="G652" s="22" t="n">
        <v>0.743</v>
      </c>
      <c r="H652" s="22" t="n">
        <v>0</v>
      </c>
      <c r="I652" s="22" t="n">
        <v>1</v>
      </c>
      <c r="J652" s="22" t="n">
        <v>0</v>
      </c>
      <c r="K652" s="22" t="n">
        <v>0</v>
      </c>
      <c r="L652" s="22" t="n">
        <v>0</v>
      </c>
      <c r="M652" s="22" t="n">
        <v>0</v>
      </c>
      <c r="N652" s="22" t="n">
        <v>0</v>
      </c>
      <c r="O652" s="22" t="n">
        <v>0</v>
      </c>
      <c r="P652" s="22" t="n">
        <v>0</v>
      </c>
      <c r="Q652" s="22" t="n">
        <v>0</v>
      </c>
      <c r="R652" s="22" t="n">
        <v>0</v>
      </c>
      <c r="S652" s="22" t="n">
        <v>0</v>
      </c>
      <c r="T652" s="22" t="n">
        <v>0</v>
      </c>
      <c r="U652" s="3">
        <f>IF(OR(N652=1,Q652=1),1,0)</f>
        <v/>
      </c>
      <c r="V652" s="3">
        <f>IF(OR(T652=1,P652=1),1,0)</f>
        <v/>
      </c>
      <c r="W652" s="3">
        <f>IF(OR(J652=1),1,0)</f>
        <v/>
      </c>
      <c r="X652" s="3">
        <f>IF(OR(I652=1,H652=1),1,0)</f>
        <v/>
      </c>
      <c r="Y652" s="3">
        <f>IF(OR(G652=1),1,0)</f>
        <v/>
      </c>
      <c r="Z652" s="3">
        <f>IF(OR(F652=1),1,0)</f>
        <v/>
      </c>
      <c r="AA652" s="3">
        <f>IF(OR(M652=1),1,0)</f>
        <v/>
      </c>
    </row>
    <row r="653">
      <c r="A653" s="22" t="inlineStr">
        <is>
          <t>99381a38ac6bbe39466afb83d01702a931dfa7ed</t>
        </is>
      </c>
      <c r="B653" s="22" t="inlineStr">
        <is>
          <t>2026-09</t>
        </is>
      </c>
      <c r="C653" s="22" t="inlineStr">
        <is>
          <t>Nairaland</t>
        </is>
      </c>
      <c r="D653" s="22" t="n">
        <v>0</v>
      </c>
      <c r="E653" s="22" t="inlineStr">
        <is>
          <t>Nairaland: Nairaland</t>
        </is>
      </c>
      <c r="F653" s="22" t="inlineStr">
        <is>
          <t>nairaland:Nairaland</t>
        </is>
      </c>
      <c r="G653" s="22" t="n">
        <v>-0.9370000000000001</v>
      </c>
      <c r="H653" s="22" t="n">
        <v>1</v>
      </c>
      <c r="I653" s="22" t="n">
        <v>0</v>
      </c>
      <c r="J653" s="22" t="n">
        <v>0</v>
      </c>
      <c r="K653" s="22" t="n">
        <v>0</v>
      </c>
      <c r="L653" s="22" t="n">
        <v>0</v>
      </c>
      <c r="M653" s="22" t="n">
        <v>0</v>
      </c>
      <c r="N653" s="22" t="n">
        <v>0</v>
      </c>
      <c r="O653" s="22" t="n">
        <v>0</v>
      </c>
      <c r="P653" s="22" t="n">
        <v>0</v>
      </c>
      <c r="Q653" s="22" t="n">
        <v>0</v>
      </c>
      <c r="R653" s="22" t="n">
        <v>0</v>
      </c>
      <c r="S653" s="22" t="n">
        <v>0</v>
      </c>
      <c r="T653" s="22" t="n">
        <v>0</v>
      </c>
      <c r="U653" s="3">
        <f>IF(OR(N653=1,Q653=1),1,0)</f>
        <v/>
      </c>
      <c r="V653" s="3">
        <f>IF(OR(T653=1,P653=1),1,0)</f>
        <v/>
      </c>
      <c r="W653" s="3">
        <f>IF(OR(J653=1),1,0)</f>
        <v/>
      </c>
      <c r="X653" s="3">
        <f>IF(OR(I653=1,H653=1),1,0)</f>
        <v/>
      </c>
      <c r="Y653" s="3">
        <f>IF(OR(G653=1),1,0)</f>
        <v/>
      </c>
      <c r="Z653" s="3">
        <f>IF(OR(F653=1),1,0)</f>
        <v/>
      </c>
      <c r="AA653" s="3">
        <f>IF(OR(M653=1),1,0)</f>
        <v/>
      </c>
    </row>
    <row r="654">
      <c r="A654" s="22" t="inlineStr">
        <is>
          <t>44b5e9d5ca9d4f67427a57b5b645ed06a40a8344</t>
        </is>
      </c>
      <c r="B654" s="22" t="inlineStr">
        <is>
          <t>2026-08</t>
        </is>
      </c>
      <c r="C654" s="22" t="inlineStr">
        <is>
          <t>Nairaland</t>
        </is>
      </c>
      <c r="D654" s="22" t="n">
        <v>0</v>
      </c>
      <c r="E654" s="22" t="inlineStr">
        <is>
          <t>Nairaland: Nairaland</t>
        </is>
      </c>
      <c r="F654" s="22" t="inlineStr">
        <is>
          <t>nairaland:Nairaland</t>
        </is>
      </c>
      <c r="G654" s="22" t="n">
        <v>-0.542</v>
      </c>
      <c r="H654" s="22" t="n">
        <v>1</v>
      </c>
      <c r="I654" s="22" t="n">
        <v>0</v>
      </c>
      <c r="J654" s="22" t="n">
        <v>0</v>
      </c>
      <c r="K654" s="22" t="n">
        <v>0</v>
      </c>
      <c r="L654" s="22" t="n">
        <v>0</v>
      </c>
      <c r="M654" s="22" t="n">
        <v>1</v>
      </c>
      <c r="N654" s="22" t="n">
        <v>0</v>
      </c>
      <c r="O654" s="22" t="n">
        <v>0</v>
      </c>
      <c r="P654" s="22" t="n">
        <v>0</v>
      </c>
      <c r="Q654" s="22" t="n">
        <v>0</v>
      </c>
      <c r="R654" s="22" t="n">
        <v>0</v>
      </c>
      <c r="S654" s="22" t="n">
        <v>0</v>
      </c>
      <c r="T654" s="22" t="n">
        <v>0</v>
      </c>
      <c r="U654" s="3">
        <f>IF(OR(N654=1,Q654=1),1,0)</f>
        <v/>
      </c>
      <c r="V654" s="3">
        <f>IF(OR(T654=1,P654=1),1,0)</f>
        <v/>
      </c>
      <c r="W654" s="3">
        <f>IF(OR(J654=1),1,0)</f>
        <v/>
      </c>
      <c r="X654" s="3">
        <f>IF(OR(I654=1,H654=1),1,0)</f>
        <v/>
      </c>
      <c r="Y654" s="3">
        <f>IF(OR(G654=1),1,0)</f>
        <v/>
      </c>
      <c r="Z654" s="3">
        <f>IF(OR(F654=1),1,0)</f>
        <v/>
      </c>
      <c r="AA654" s="3">
        <f>IF(OR(M654=1),1,0)</f>
        <v/>
      </c>
    </row>
    <row r="655">
      <c r="A655" s="22" t="inlineStr">
        <is>
          <t>8fe4365ac468ad9a03ff5469bd91fefd6c466b07</t>
        </is>
      </c>
      <c r="B655" s="22" t="inlineStr">
        <is>
          <t>2026-08</t>
        </is>
      </c>
      <c r="C655" s="22" t="inlineStr">
        <is>
          <t>Nairaland</t>
        </is>
      </c>
      <c r="D655" s="22" t="n">
        <v>0</v>
      </c>
      <c r="E655" s="22" t="inlineStr">
        <is>
          <t>Nairaland: Nairaland</t>
        </is>
      </c>
      <c r="F655" s="22" t="inlineStr">
        <is>
          <t>nairaland:Nairaland</t>
        </is>
      </c>
      <c r="G655" s="22" t="n">
        <v>-0.273</v>
      </c>
      <c r="H655" s="22" t="n">
        <v>0</v>
      </c>
      <c r="I655" s="22" t="n">
        <v>1</v>
      </c>
      <c r="J655" s="22" t="n">
        <v>0</v>
      </c>
      <c r="K655" s="22" t="n">
        <v>0</v>
      </c>
      <c r="L655" s="22" t="n">
        <v>0</v>
      </c>
      <c r="M655" s="22" t="n">
        <v>0</v>
      </c>
      <c r="N655" s="22" t="n">
        <v>0</v>
      </c>
      <c r="O655" s="22" t="n">
        <v>0</v>
      </c>
      <c r="P655" s="22" t="n">
        <v>0</v>
      </c>
      <c r="Q655" s="22" t="n">
        <v>0</v>
      </c>
      <c r="R655" s="22" t="n">
        <v>0</v>
      </c>
      <c r="S655" s="22" t="n">
        <v>0</v>
      </c>
      <c r="T655" s="22" t="n">
        <v>0</v>
      </c>
      <c r="U655" s="3">
        <f>IF(OR(N655=1,Q655=1),1,0)</f>
        <v/>
      </c>
      <c r="V655" s="3">
        <f>IF(OR(T655=1,P655=1),1,0)</f>
        <v/>
      </c>
      <c r="W655" s="3">
        <f>IF(OR(J655=1),1,0)</f>
        <v/>
      </c>
      <c r="X655" s="3">
        <f>IF(OR(I655=1,H655=1),1,0)</f>
        <v/>
      </c>
      <c r="Y655" s="3">
        <f>IF(OR(G655=1),1,0)</f>
        <v/>
      </c>
      <c r="Z655" s="3">
        <f>IF(OR(F655=1),1,0)</f>
        <v/>
      </c>
      <c r="AA655" s="3">
        <f>IF(OR(M655=1),1,0)</f>
        <v/>
      </c>
    </row>
    <row r="656">
      <c r="A656" s="22" t="inlineStr">
        <is>
          <t>16b7955a4dd24695652864246790f383d147e7da</t>
        </is>
      </c>
      <c r="B656" s="22" t="inlineStr">
        <is>
          <t>2026-08</t>
        </is>
      </c>
      <c r="C656" s="22" t="inlineStr">
        <is>
          <t>Nairaland</t>
        </is>
      </c>
      <c r="D656" s="22" t="n">
        <v>0</v>
      </c>
      <c r="E656" s="22" t="inlineStr">
        <is>
          <t>Nairaland: Nairaland</t>
        </is>
      </c>
      <c r="F656" s="22" t="inlineStr">
        <is>
          <t>nairaland:Nairaland</t>
        </is>
      </c>
      <c r="G656" s="22" t="n">
        <v>-0.923</v>
      </c>
      <c r="H656" s="22" t="n">
        <v>1</v>
      </c>
      <c r="I656" s="22" t="n">
        <v>0</v>
      </c>
      <c r="J656" s="22" t="n">
        <v>0</v>
      </c>
      <c r="K656" s="22" t="n">
        <v>0</v>
      </c>
      <c r="L656" s="22" t="n">
        <v>0</v>
      </c>
      <c r="M656" s="22" t="n">
        <v>0</v>
      </c>
      <c r="N656" s="22" t="n">
        <v>0</v>
      </c>
      <c r="O656" s="22" t="n">
        <v>1</v>
      </c>
      <c r="P656" s="22" t="n">
        <v>0</v>
      </c>
      <c r="Q656" s="22" t="n">
        <v>0</v>
      </c>
      <c r="R656" s="22" t="n">
        <v>0</v>
      </c>
      <c r="S656" s="22" t="n">
        <v>0</v>
      </c>
      <c r="T656" s="22" t="n">
        <v>0</v>
      </c>
      <c r="U656" s="3">
        <f>IF(OR(N656=1,Q656=1),1,0)</f>
        <v/>
      </c>
      <c r="V656" s="3">
        <f>IF(OR(T656=1,P656=1),1,0)</f>
        <v/>
      </c>
      <c r="W656" s="3">
        <f>IF(OR(J656=1),1,0)</f>
        <v/>
      </c>
      <c r="X656" s="3">
        <f>IF(OR(I656=1,H656=1),1,0)</f>
        <v/>
      </c>
      <c r="Y656" s="3">
        <f>IF(OR(G656=1),1,0)</f>
        <v/>
      </c>
      <c r="Z656" s="3">
        <f>IF(OR(F656=1),1,0)</f>
        <v/>
      </c>
      <c r="AA656" s="3">
        <f>IF(OR(M656=1),1,0)</f>
        <v/>
      </c>
    </row>
    <row r="657">
      <c r="A657" s="22" t="inlineStr">
        <is>
          <t>ec20ecaba1f7f56ab66b2ce2e3c4bf752234673a</t>
        </is>
      </c>
      <c r="B657" s="22" t="inlineStr">
        <is>
          <t>2026-08</t>
        </is>
      </c>
      <c r="C657" s="22" t="inlineStr">
        <is>
          <t>Nairaland</t>
        </is>
      </c>
      <c r="D657" s="22" t="n">
        <v>0</v>
      </c>
      <c r="E657" s="22" t="inlineStr">
        <is>
          <t>Nairaland: Nairaland</t>
        </is>
      </c>
      <c r="F657" s="22" t="inlineStr">
        <is>
          <t>nairaland:Nairaland</t>
        </is>
      </c>
      <c r="G657" s="22" t="n">
        <v>-0.889</v>
      </c>
      <c r="H657" s="22" t="n">
        <v>1</v>
      </c>
      <c r="I657" s="22" t="n">
        <v>0</v>
      </c>
      <c r="J657" s="22" t="n">
        <v>0</v>
      </c>
      <c r="K657" s="22" t="n">
        <v>0</v>
      </c>
      <c r="L657" s="22" t="n">
        <v>0</v>
      </c>
      <c r="M657" s="22" t="n">
        <v>0</v>
      </c>
      <c r="N657" s="22" t="n">
        <v>0</v>
      </c>
      <c r="O657" s="22" t="n">
        <v>0</v>
      </c>
      <c r="P657" s="22" t="n">
        <v>0</v>
      </c>
      <c r="Q657" s="22" t="n">
        <v>0</v>
      </c>
      <c r="R657" s="22" t="n">
        <v>0</v>
      </c>
      <c r="S657" s="22" t="n">
        <v>0</v>
      </c>
      <c r="T657" s="22" t="n">
        <v>0</v>
      </c>
      <c r="U657" s="3">
        <f>IF(OR(N657=1,Q657=1),1,0)</f>
        <v/>
      </c>
      <c r="V657" s="3">
        <f>IF(OR(T657=1,P657=1),1,0)</f>
        <v/>
      </c>
      <c r="W657" s="3">
        <f>IF(OR(J657=1),1,0)</f>
        <v/>
      </c>
      <c r="X657" s="3">
        <f>IF(OR(I657=1,H657=1),1,0)</f>
        <v/>
      </c>
      <c r="Y657" s="3">
        <f>IF(OR(G657=1),1,0)</f>
        <v/>
      </c>
      <c r="Z657" s="3">
        <f>IF(OR(F657=1),1,0)</f>
        <v/>
      </c>
      <c r="AA657" s="3">
        <f>IF(OR(M657=1),1,0)</f>
        <v/>
      </c>
    </row>
    <row r="658">
      <c r="A658" s="22" t="inlineStr">
        <is>
          <t>ed70a010764891b8c5ee455edeb03bc22bc12539</t>
        </is>
      </c>
      <c r="B658" s="22" t="inlineStr">
        <is>
          <t>2026-08</t>
        </is>
      </c>
      <c r="C658" s="22" t="inlineStr">
        <is>
          <t>Nairaland</t>
        </is>
      </c>
      <c r="D658" s="22" t="n">
        <v>0</v>
      </c>
      <c r="E658" s="22" t="inlineStr">
        <is>
          <t>Nairaland: Nairaland</t>
        </is>
      </c>
      <c r="F658" s="22" t="inlineStr">
        <is>
          <t>nairaland:Nairaland</t>
        </is>
      </c>
      <c r="G658" s="22" t="n">
        <v>-0.8129999999999999</v>
      </c>
      <c r="H658" s="22" t="n">
        <v>0</v>
      </c>
      <c r="I658" s="22" t="n">
        <v>0</v>
      </c>
      <c r="J658" s="22" t="n">
        <v>0</v>
      </c>
      <c r="K658" s="22" t="n">
        <v>0</v>
      </c>
      <c r="L658" s="22" t="n">
        <v>0</v>
      </c>
      <c r="M658" s="22" t="n">
        <v>1</v>
      </c>
      <c r="N658" s="22" t="n">
        <v>0</v>
      </c>
      <c r="O658" s="22" t="n">
        <v>0</v>
      </c>
      <c r="P658" s="22" t="n">
        <v>0</v>
      </c>
      <c r="Q658" s="22" t="n">
        <v>0</v>
      </c>
      <c r="R658" s="22" t="n">
        <v>0</v>
      </c>
      <c r="S658" s="22" t="n">
        <v>0</v>
      </c>
      <c r="T658" s="22" t="n">
        <v>0</v>
      </c>
      <c r="U658" s="3">
        <f>IF(OR(N658=1,Q658=1),1,0)</f>
        <v/>
      </c>
      <c r="V658" s="3">
        <f>IF(OR(T658=1,P658=1),1,0)</f>
        <v/>
      </c>
      <c r="W658" s="3">
        <f>IF(OR(J658=1),1,0)</f>
        <v/>
      </c>
      <c r="X658" s="3">
        <f>IF(OR(I658=1,H658=1),1,0)</f>
        <v/>
      </c>
      <c r="Y658" s="3">
        <f>IF(OR(G658=1),1,0)</f>
        <v/>
      </c>
      <c r="Z658" s="3">
        <f>IF(OR(F658=1),1,0)</f>
        <v/>
      </c>
      <c r="AA658" s="3">
        <f>IF(OR(M658=1),1,0)</f>
        <v/>
      </c>
    </row>
    <row r="659">
      <c r="A659" s="22" t="inlineStr">
        <is>
          <t>1b8ea9993e05d012e892d8701eacb97f413c769c</t>
        </is>
      </c>
      <c r="B659" s="22" t="inlineStr">
        <is>
          <t>2026-08</t>
        </is>
      </c>
      <c r="C659" s="22" t="inlineStr">
        <is>
          <t>Nairaland</t>
        </is>
      </c>
      <c r="D659" s="22" t="n">
        <v>0</v>
      </c>
      <c r="E659" s="22" t="inlineStr">
        <is>
          <t>Nairaland: Nairaland</t>
        </is>
      </c>
      <c r="F659" s="22" t="inlineStr">
        <is>
          <t>nairaland:Nairaland</t>
        </is>
      </c>
      <c r="G659" s="22" t="n">
        <v>0.296</v>
      </c>
      <c r="H659" s="22" t="n">
        <v>0</v>
      </c>
      <c r="I659" s="22" t="n">
        <v>1</v>
      </c>
      <c r="J659" s="22" t="n">
        <v>0</v>
      </c>
      <c r="K659" s="22" t="n">
        <v>0</v>
      </c>
      <c r="L659" s="22" t="n">
        <v>0</v>
      </c>
      <c r="M659" s="22" t="n">
        <v>0</v>
      </c>
      <c r="N659" s="22" t="n">
        <v>0</v>
      </c>
      <c r="O659" s="22" t="n">
        <v>0</v>
      </c>
      <c r="P659" s="22" t="n">
        <v>0</v>
      </c>
      <c r="Q659" s="22" t="n">
        <v>0</v>
      </c>
      <c r="R659" s="22" t="n">
        <v>0</v>
      </c>
      <c r="S659" s="22" t="n">
        <v>0</v>
      </c>
      <c r="T659" s="22" t="n">
        <v>0</v>
      </c>
      <c r="U659" s="3">
        <f>IF(OR(N659=1,Q659=1),1,0)</f>
        <v/>
      </c>
      <c r="V659" s="3">
        <f>IF(OR(T659=1,P659=1),1,0)</f>
        <v/>
      </c>
      <c r="W659" s="3">
        <f>IF(OR(J659=1),1,0)</f>
        <v/>
      </c>
      <c r="X659" s="3">
        <f>IF(OR(I659=1,H659=1),1,0)</f>
        <v/>
      </c>
      <c r="Y659" s="3">
        <f>IF(OR(G659=1),1,0)</f>
        <v/>
      </c>
      <c r="Z659" s="3">
        <f>IF(OR(F659=1),1,0)</f>
        <v/>
      </c>
      <c r="AA659" s="3">
        <f>IF(OR(M659=1),1,0)</f>
        <v/>
      </c>
    </row>
    <row r="660">
      <c r="A660" s="22" t="inlineStr">
        <is>
          <t>59506676a0cb913ec832c4fde2c2a0c8edb3041c</t>
        </is>
      </c>
      <c r="B660" s="22" t="inlineStr">
        <is>
          <t>2026-08</t>
        </is>
      </c>
      <c r="C660" s="22" t="inlineStr">
        <is>
          <t>Nairaland</t>
        </is>
      </c>
      <c r="D660" s="22" t="n">
        <v>0</v>
      </c>
      <c r="E660" s="22" t="inlineStr">
        <is>
          <t>Nairaland: Nairaland</t>
        </is>
      </c>
      <c r="F660" s="22" t="inlineStr">
        <is>
          <t>nairaland:Nairaland</t>
        </is>
      </c>
      <c r="G660" s="22" t="n">
        <v>-0.681</v>
      </c>
      <c r="H660" s="22" t="n">
        <v>1</v>
      </c>
      <c r="I660" s="22" t="n">
        <v>0</v>
      </c>
      <c r="J660" s="22" t="n">
        <v>0</v>
      </c>
      <c r="K660" s="22" t="n">
        <v>0</v>
      </c>
      <c r="L660" s="22" t="n">
        <v>0</v>
      </c>
      <c r="M660" s="22" t="n">
        <v>0</v>
      </c>
      <c r="N660" s="22" t="n">
        <v>0</v>
      </c>
      <c r="O660" s="22" t="n">
        <v>0</v>
      </c>
      <c r="P660" s="22" t="n">
        <v>0</v>
      </c>
      <c r="Q660" s="22" t="n">
        <v>0</v>
      </c>
      <c r="R660" s="22" t="n">
        <v>0</v>
      </c>
      <c r="S660" s="22" t="n">
        <v>0</v>
      </c>
      <c r="T660" s="22" t="n">
        <v>0</v>
      </c>
      <c r="U660" s="3">
        <f>IF(OR(N660=1,Q660=1),1,0)</f>
        <v/>
      </c>
      <c r="V660" s="3">
        <f>IF(OR(T660=1,P660=1),1,0)</f>
        <v/>
      </c>
      <c r="W660" s="3">
        <f>IF(OR(J660=1),1,0)</f>
        <v/>
      </c>
      <c r="X660" s="3">
        <f>IF(OR(I660=1,H660=1),1,0)</f>
        <v/>
      </c>
      <c r="Y660" s="3">
        <f>IF(OR(G660=1),1,0)</f>
        <v/>
      </c>
      <c r="Z660" s="3">
        <f>IF(OR(F660=1),1,0)</f>
        <v/>
      </c>
      <c r="AA660" s="3">
        <f>IF(OR(M660=1),1,0)</f>
        <v/>
      </c>
    </row>
    <row r="661">
      <c r="A661" s="22" t="inlineStr">
        <is>
          <t>390665ff96767fa89c8676cbc170feb9f386592b</t>
        </is>
      </c>
      <c r="B661" s="22" t="inlineStr">
        <is>
          <t>2026-08</t>
        </is>
      </c>
      <c r="C661" s="22" t="inlineStr">
        <is>
          <t>Nairaland</t>
        </is>
      </c>
      <c r="D661" s="22" t="n">
        <v>0</v>
      </c>
      <c r="E661" s="22" t="inlineStr">
        <is>
          <t>Nairaland: Nairaland</t>
        </is>
      </c>
      <c r="F661" s="22" t="inlineStr">
        <is>
          <t>nairaland:Nairaland</t>
        </is>
      </c>
      <c r="G661" s="22" t="n">
        <v>-0.612</v>
      </c>
      <c r="H661" s="22" t="n">
        <v>0</v>
      </c>
      <c r="I661" s="22" t="n">
        <v>0</v>
      </c>
      <c r="J661" s="22" t="n">
        <v>0</v>
      </c>
      <c r="K661" s="22" t="n">
        <v>0</v>
      </c>
      <c r="L661" s="22" t="n">
        <v>0</v>
      </c>
      <c r="M661" s="22" t="n">
        <v>1</v>
      </c>
      <c r="N661" s="22" t="n">
        <v>0</v>
      </c>
      <c r="O661" s="22" t="n">
        <v>1</v>
      </c>
      <c r="P661" s="22" t="n">
        <v>0</v>
      </c>
      <c r="Q661" s="22" t="n">
        <v>0</v>
      </c>
      <c r="R661" s="22" t="n">
        <v>0</v>
      </c>
      <c r="S661" s="22" t="n">
        <v>0</v>
      </c>
      <c r="T661" s="22" t="n">
        <v>0</v>
      </c>
      <c r="U661" s="3">
        <f>IF(OR(N661=1,Q661=1),1,0)</f>
        <v/>
      </c>
      <c r="V661" s="3">
        <f>IF(OR(T661=1,P661=1),1,0)</f>
        <v/>
      </c>
      <c r="W661" s="3">
        <f>IF(OR(J661=1),1,0)</f>
        <v/>
      </c>
      <c r="X661" s="3">
        <f>IF(OR(I661=1,H661=1),1,0)</f>
        <v/>
      </c>
      <c r="Y661" s="3">
        <f>IF(OR(G661=1),1,0)</f>
        <v/>
      </c>
      <c r="Z661" s="3">
        <f>IF(OR(F661=1),1,0)</f>
        <v/>
      </c>
      <c r="AA661" s="3">
        <f>IF(OR(M661=1),1,0)</f>
        <v/>
      </c>
    </row>
    <row r="662">
      <c r="A662" s="22" t="inlineStr">
        <is>
          <t>2a583fbe1bb4d1c75d5ba06843eea14fadc98bec</t>
        </is>
      </c>
      <c r="B662" s="22" t="inlineStr">
        <is>
          <t>2026-10</t>
        </is>
      </c>
      <c r="C662" s="22" t="inlineStr">
        <is>
          <t>X</t>
        </is>
      </c>
      <c r="D662" s="22" t="n">
        <v>1</v>
      </c>
      <c r="E662" s="22" t="inlineStr">
        <is>
          <t>X: X search (Top): Edo election INEC rigged</t>
        </is>
      </c>
      <c r="F662" s="22" t="inlineStr">
        <is>
          <t>x:X search (Top): Edo election INEC rigged</t>
        </is>
      </c>
      <c r="G662" s="22" t="n">
        <v>-0.891</v>
      </c>
      <c r="H662" s="22" t="n">
        <v>1</v>
      </c>
      <c r="I662" s="22" t="n">
        <v>0</v>
      </c>
      <c r="J662" s="22" t="n">
        <v>0</v>
      </c>
      <c r="K662" s="22" t="n">
        <v>0</v>
      </c>
      <c r="L662" s="22" t="n">
        <v>0</v>
      </c>
      <c r="M662" s="22" t="n">
        <v>0</v>
      </c>
      <c r="N662" s="22" t="n">
        <v>0</v>
      </c>
      <c r="O662" s="22" t="n">
        <v>0</v>
      </c>
      <c r="P662" s="22" t="n">
        <v>0</v>
      </c>
      <c r="Q662" s="22" t="n">
        <v>0</v>
      </c>
      <c r="R662" s="22" t="n">
        <v>0</v>
      </c>
      <c r="S662" s="22" t="n">
        <v>0</v>
      </c>
      <c r="T662" s="22" t="n">
        <v>0</v>
      </c>
      <c r="U662" s="3">
        <f>IF(OR(N662=1,Q662=1),1,0)</f>
        <v/>
      </c>
      <c r="V662" s="3">
        <f>IF(OR(T662=1,P662=1),1,0)</f>
        <v/>
      </c>
      <c r="W662" s="3">
        <f>IF(OR(J662=1),1,0)</f>
        <v/>
      </c>
      <c r="X662" s="3">
        <f>IF(OR(I662=1,H662=1),1,0)</f>
        <v/>
      </c>
      <c r="Y662" s="3">
        <f>IF(OR(G662=1),1,0)</f>
        <v/>
      </c>
      <c r="Z662" s="3">
        <f>IF(OR(F662=1),1,0)</f>
        <v/>
      </c>
      <c r="AA662" s="3">
        <f>IF(OR(M662=1),1,0)</f>
        <v/>
      </c>
    </row>
    <row r="663">
      <c r="A663" s="22" t="inlineStr">
        <is>
          <t>f49f54bd5b3a6d234a10d164fa722ace8c42349e</t>
        </is>
      </c>
      <c r="B663" s="22" t="inlineStr">
        <is>
          <t>2026-10</t>
        </is>
      </c>
      <c r="C663" s="22" t="inlineStr">
        <is>
          <t>X</t>
        </is>
      </c>
      <c r="D663" s="22" t="n">
        <v>1</v>
      </c>
      <c r="E663" s="22" t="inlineStr">
        <is>
          <t>X: X search (Top): Edo election INEC rigged</t>
        </is>
      </c>
      <c r="F663" s="22" t="inlineStr">
        <is>
          <t>x:X search (Top): Edo election INEC rigged</t>
        </is>
      </c>
      <c r="G663" s="22" t="n">
        <v>-0.872</v>
      </c>
      <c r="H663" s="22" t="n">
        <v>1</v>
      </c>
      <c r="I663" s="22" t="n">
        <v>0</v>
      </c>
      <c r="J663" s="22" t="n">
        <v>0</v>
      </c>
      <c r="K663" s="22" t="n">
        <v>0</v>
      </c>
      <c r="L663" s="22" t="n">
        <v>0</v>
      </c>
      <c r="M663" s="22" t="n">
        <v>0</v>
      </c>
      <c r="N663" s="22" t="n">
        <v>0</v>
      </c>
      <c r="O663" s="22" t="n">
        <v>0</v>
      </c>
      <c r="P663" s="22" t="n">
        <v>0</v>
      </c>
      <c r="Q663" s="22" t="n">
        <v>0</v>
      </c>
      <c r="R663" s="22" t="n">
        <v>0</v>
      </c>
      <c r="S663" s="22" t="n">
        <v>0</v>
      </c>
      <c r="T663" s="22" t="n">
        <v>0</v>
      </c>
      <c r="U663" s="3">
        <f>IF(OR(N663=1,Q663=1),1,0)</f>
        <v/>
      </c>
      <c r="V663" s="3">
        <f>IF(OR(T663=1,P663=1),1,0)</f>
        <v/>
      </c>
      <c r="W663" s="3">
        <f>IF(OR(J663=1),1,0)</f>
        <v/>
      </c>
      <c r="X663" s="3">
        <f>IF(OR(I663=1,H663=1),1,0)</f>
        <v/>
      </c>
      <c r="Y663" s="3">
        <f>IF(OR(G663=1),1,0)</f>
        <v/>
      </c>
      <c r="Z663" s="3">
        <f>IF(OR(F663=1),1,0)</f>
        <v/>
      </c>
      <c r="AA663" s="3">
        <f>IF(OR(M663=1),1,0)</f>
        <v/>
      </c>
    </row>
    <row r="664">
      <c r="A664" s="22" t="inlineStr">
        <is>
          <t>cd35eced5f1b523cbc623816eca54128ae1c56bf</t>
        </is>
      </c>
      <c r="B664" s="22" t="inlineStr">
        <is>
          <t>2026-10</t>
        </is>
      </c>
      <c r="C664" s="22" t="inlineStr">
        <is>
          <t>X</t>
        </is>
      </c>
      <c r="D664" s="22" t="n">
        <v>1</v>
      </c>
      <c r="E664" s="22" t="inlineStr">
        <is>
          <t>X: X search (Top): Edo election INEC rigged</t>
        </is>
      </c>
      <c r="F664" s="22" t="inlineStr">
        <is>
          <t>x:X search (Top): Edo election INEC rigged</t>
        </is>
      </c>
      <c r="G664" s="22" t="n">
        <v>-0.724</v>
      </c>
      <c r="H664" s="22" t="n">
        <v>1</v>
      </c>
      <c r="I664" s="22" t="n">
        <v>0</v>
      </c>
      <c r="J664" s="22" t="n">
        <v>0</v>
      </c>
      <c r="K664" s="22" t="n">
        <v>0</v>
      </c>
      <c r="L664" s="22" t="n">
        <v>0</v>
      </c>
      <c r="M664" s="22" t="n">
        <v>0</v>
      </c>
      <c r="N664" s="22" t="n">
        <v>0</v>
      </c>
      <c r="O664" s="22" t="n">
        <v>0</v>
      </c>
      <c r="P664" s="22" t="n">
        <v>0</v>
      </c>
      <c r="Q664" s="22" t="n">
        <v>0</v>
      </c>
      <c r="R664" s="22" t="n">
        <v>0</v>
      </c>
      <c r="S664" s="22" t="n">
        <v>0</v>
      </c>
      <c r="T664" s="22" t="n">
        <v>0</v>
      </c>
      <c r="U664" s="3">
        <f>IF(OR(N664=1,Q664=1),1,0)</f>
        <v/>
      </c>
      <c r="V664" s="3">
        <f>IF(OR(T664=1,P664=1),1,0)</f>
        <v/>
      </c>
      <c r="W664" s="3">
        <f>IF(OR(J664=1),1,0)</f>
        <v/>
      </c>
      <c r="X664" s="3">
        <f>IF(OR(I664=1,H664=1),1,0)</f>
        <v/>
      </c>
      <c r="Y664" s="3">
        <f>IF(OR(G664=1),1,0)</f>
        <v/>
      </c>
      <c r="Z664" s="3">
        <f>IF(OR(F664=1),1,0)</f>
        <v/>
      </c>
      <c r="AA664" s="3">
        <f>IF(OR(M664=1),1,0)</f>
        <v/>
      </c>
    </row>
    <row r="665">
      <c r="A665" s="22" t="inlineStr">
        <is>
          <t>ff5bd8967b24c346d6914660a2418c8d6f17111f</t>
        </is>
      </c>
      <c r="B665" s="22" t="inlineStr">
        <is>
          <t>2026-10</t>
        </is>
      </c>
      <c r="C665" s="22" t="inlineStr">
        <is>
          <t>X</t>
        </is>
      </c>
      <c r="D665" s="22" t="n">
        <v>1</v>
      </c>
      <c r="E665" s="22" t="inlineStr">
        <is>
          <t>X: X search (Top): Edo election INEC rigged</t>
        </is>
      </c>
      <c r="F665" s="22" t="inlineStr">
        <is>
          <t>x:X search (Top): Edo election INEC rigged</t>
        </is>
      </c>
      <c r="G665" s="22" t="n">
        <v>0.594</v>
      </c>
      <c r="H665" s="22" t="n">
        <v>0</v>
      </c>
      <c r="I665" s="22" t="n">
        <v>0</v>
      </c>
      <c r="J665" s="22" t="n">
        <v>0</v>
      </c>
      <c r="K665" s="22" t="n">
        <v>0</v>
      </c>
      <c r="L665" s="22" t="n">
        <v>0</v>
      </c>
      <c r="M665" s="22" t="n">
        <v>0</v>
      </c>
      <c r="N665" s="22" t="n">
        <v>0</v>
      </c>
      <c r="O665" s="22" t="n">
        <v>1</v>
      </c>
      <c r="P665" s="22" t="n">
        <v>0</v>
      </c>
      <c r="Q665" s="22" t="n">
        <v>0</v>
      </c>
      <c r="R665" s="22" t="n">
        <v>0</v>
      </c>
      <c r="S665" s="22" t="n">
        <v>0</v>
      </c>
      <c r="T665" s="22" t="n">
        <v>0</v>
      </c>
      <c r="U665" s="3">
        <f>IF(OR(N665=1,Q665=1),1,0)</f>
        <v/>
      </c>
      <c r="V665" s="3">
        <f>IF(OR(T665=1,P665=1),1,0)</f>
        <v/>
      </c>
      <c r="W665" s="3">
        <f>IF(OR(J665=1),1,0)</f>
        <v/>
      </c>
      <c r="X665" s="3">
        <f>IF(OR(I665=1,H665=1),1,0)</f>
        <v/>
      </c>
      <c r="Y665" s="3">
        <f>IF(OR(G665=1),1,0)</f>
        <v/>
      </c>
      <c r="Z665" s="3">
        <f>IF(OR(F665=1),1,0)</f>
        <v/>
      </c>
      <c r="AA665" s="3">
        <f>IF(OR(M665=1),1,0)</f>
        <v/>
      </c>
    </row>
    <row r="666">
      <c r="A666" s="22" t="inlineStr">
        <is>
          <t>f51c170d349673896820f840eeac6924d0d679f0</t>
        </is>
      </c>
      <c r="B666" s="22" t="inlineStr">
        <is>
          <t>2026-10</t>
        </is>
      </c>
      <c r="C666" s="22" t="inlineStr">
        <is>
          <t>X</t>
        </is>
      </c>
      <c r="D666" s="22" t="n">
        <v>1</v>
      </c>
      <c r="E666" s="22" t="inlineStr">
        <is>
          <t>X: X search (Top): Edo election INEC rigged</t>
        </is>
      </c>
      <c r="F666" s="22" t="inlineStr">
        <is>
          <t>x:X search (Top): Edo election INEC rigged</t>
        </is>
      </c>
      <c r="G666" s="22" t="n">
        <v>0.765</v>
      </c>
      <c r="H666" s="22" t="n">
        <v>0</v>
      </c>
      <c r="I666" s="22" t="n">
        <v>0</v>
      </c>
      <c r="J666" s="22" t="n">
        <v>0</v>
      </c>
      <c r="K666" s="22" t="n">
        <v>0</v>
      </c>
      <c r="L666" s="22" t="n">
        <v>0</v>
      </c>
      <c r="M666" s="22" t="n">
        <v>0</v>
      </c>
      <c r="N666" s="22" t="n">
        <v>0</v>
      </c>
      <c r="O666" s="22" t="n">
        <v>1</v>
      </c>
      <c r="P666" s="22" t="n">
        <v>0</v>
      </c>
      <c r="Q666" s="22" t="n">
        <v>0</v>
      </c>
      <c r="R666" s="22" t="n">
        <v>0</v>
      </c>
      <c r="S666" s="22" t="n">
        <v>0</v>
      </c>
      <c r="T666" s="22" t="n">
        <v>0</v>
      </c>
      <c r="U666" s="3">
        <f>IF(OR(N666=1,Q666=1),1,0)</f>
        <v/>
      </c>
      <c r="V666" s="3">
        <f>IF(OR(T666=1,P666=1),1,0)</f>
        <v/>
      </c>
      <c r="W666" s="3">
        <f>IF(OR(J666=1),1,0)</f>
        <v/>
      </c>
      <c r="X666" s="3">
        <f>IF(OR(I666=1,H666=1),1,0)</f>
        <v/>
      </c>
      <c r="Y666" s="3">
        <f>IF(OR(G666=1),1,0)</f>
        <v/>
      </c>
      <c r="Z666" s="3">
        <f>IF(OR(F666=1),1,0)</f>
        <v/>
      </c>
      <c r="AA666" s="3">
        <f>IF(OR(M666=1),1,0)</f>
        <v/>
      </c>
    </row>
    <row r="667">
      <c r="A667" s="22" t="inlineStr">
        <is>
          <t>855da4dc8636aacbddf374f627cacb1090835b65</t>
        </is>
      </c>
      <c r="B667" s="22" t="inlineStr">
        <is>
          <t>2026-10</t>
        </is>
      </c>
      <c r="C667" s="22" t="inlineStr">
        <is>
          <t>X</t>
        </is>
      </c>
      <c r="D667" s="22" t="n">
        <v>1</v>
      </c>
      <c r="E667" s="22" t="inlineStr">
        <is>
          <t>X: X search (Top): Edo election INEC rigged</t>
        </is>
      </c>
      <c r="F667" s="22" t="inlineStr">
        <is>
          <t>x:X search (Top): Edo election INEC rigged</t>
        </is>
      </c>
      <c r="G667" s="22" t="n">
        <v>-0.5580000000000001</v>
      </c>
      <c r="H667" s="22" t="n">
        <v>1</v>
      </c>
      <c r="I667" s="22" t="n">
        <v>0</v>
      </c>
      <c r="J667" s="22" t="n">
        <v>0</v>
      </c>
      <c r="K667" s="22" t="n">
        <v>0</v>
      </c>
      <c r="L667" s="22" t="n">
        <v>0</v>
      </c>
      <c r="M667" s="22" t="n">
        <v>0</v>
      </c>
      <c r="N667" s="22" t="n">
        <v>0</v>
      </c>
      <c r="O667" s="22" t="n">
        <v>0</v>
      </c>
      <c r="P667" s="22" t="n">
        <v>0</v>
      </c>
      <c r="Q667" s="22" t="n">
        <v>1</v>
      </c>
      <c r="R667" s="22" t="n">
        <v>0</v>
      </c>
      <c r="S667" s="22" t="n">
        <v>0</v>
      </c>
      <c r="T667" s="22" t="n">
        <v>0</v>
      </c>
      <c r="U667" s="3">
        <f>IF(OR(N667=1,Q667=1),1,0)</f>
        <v/>
      </c>
      <c r="V667" s="3">
        <f>IF(OR(T667=1,P667=1),1,0)</f>
        <v/>
      </c>
      <c r="W667" s="3">
        <f>IF(OR(J667=1),1,0)</f>
        <v/>
      </c>
      <c r="X667" s="3">
        <f>IF(OR(I667=1,H667=1),1,0)</f>
        <v/>
      </c>
      <c r="Y667" s="3">
        <f>IF(OR(G667=1),1,0)</f>
        <v/>
      </c>
      <c r="Z667" s="3">
        <f>IF(OR(F667=1),1,0)</f>
        <v/>
      </c>
      <c r="AA667" s="3">
        <f>IF(OR(M667=1),1,0)</f>
        <v/>
      </c>
    </row>
    <row r="668">
      <c r="A668" s="22" t="inlineStr">
        <is>
          <t>f5709756f4e169fc825f7dbeceaa3ed23e86e8bb</t>
        </is>
      </c>
      <c r="B668" s="22" t="inlineStr">
        <is>
          <t>2026-10</t>
        </is>
      </c>
      <c r="C668" s="22" t="inlineStr">
        <is>
          <t>X</t>
        </is>
      </c>
      <c r="D668" s="22" t="n">
        <v>1</v>
      </c>
      <c r="E668" s="22" t="inlineStr">
        <is>
          <t>X: X search (Top): Edo election INEC rigged</t>
        </is>
      </c>
      <c r="F668" s="22" t="inlineStr">
        <is>
          <t>x:X search (Top): Edo election INEC rigged</t>
        </is>
      </c>
      <c r="G668" s="22" t="n">
        <v>-0.024</v>
      </c>
      <c r="H668" s="22" t="n">
        <v>1</v>
      </c>
      <c r="I668" s="22" t="n">
        <v>0</v>
      </c>
      <c r="J668" s="22" t="n">
        <v>0</v>
      </c>
      <c r="K668" s="22" t="n">
        <v>0</v>
      </c>
      <c r="L668" s="22" t="n">
        <v>0</v>
      </c>
      <c r="M668" s="22" t="n">
        <v>0</v>
      </c>
      <c r="N668" s="22" t="n">
        <v>0</v>
      </c>
      <c r="O668" s="22" t="n">
        <v>0</v>
      </c>
      <c r="P668" s="22" t="n">
        <v>0</v>
      </c>
      <c r="Q668" s="22" t="n">
        <v>0</v>
      </c>
      <c r="R668" s="22" t="n">
        <v>0</v>
      </c>
      <c r="S668" s="22" t="n">
        <v>0</v>
      </c>
      <c r="T668" s="22" t="n">
        <v>0</v>
      </c>
      <c r="U668" s="3">
        <f>IF(OR(N668=1,Q668=1),1,0)</f>
        <v/>
      </c>
      <c r="V668" s="3">
        <f>IF(OR(T668=1,P668=1),1,0)</f>
        <v/>
      </c>
      <c r="W668" s="3">
        <f>IF(OR(J668=1),1,0)</f>
        <v/>
      </c>
      <c r="X668" s="3">
        <f>IF(OR(I668=1,H668=1),1,0)</f>
        <v/>
      </c>
      <c r="Y668" s="3">
        <f>IF(OR(G668=1),1,0)</f>
        <v/>
      </c>
      <c r="Z668" s="3">
        <f>IF(OR(F668=1),1,0)</f>
        <v/>
      </c>
      <c r="AA668" s="3">
        <f>IF(OR(M668=1),1,0)</f>
        <v/>
      </c>
    </row>
    <row r="669">
      <c r="A669" s="22" t="inlineStr">
        <is>
          <t>26c7959b9c95a481802d050fc3ad35eb1dd82844</t>
        </is>
      </c>
      <c r="B669" s="22" t="inlineStr">
        <is>
          <t>2026-10</t>
        </is>
      </c>
      <c r="C669" s="22" t="inlineStr">
        <is>
          <t>X</t>
        </is>
      </c>
      <c r="D669" s="22" t="n">
        <v>1</v>
      </c>
      <c r="E669" s="22" t="inlineStr">
        <is>
          <t>X: X search (Top): Edo election INEC rigged</t>
        </is>
      </c>
      <c r="F669" s="22" t="inlineStr">
        <is>
          <t>x:X search (Top): Edo election INEC rigged</t>
        </is>
      </c>
      <c r="G669" s="22" t="n">
        <v>-0.783</v>
      </c>
      <c r="H669" s="22" t="n">
        <v>1</v>
      </c>
      <c r="I669" s="22" t="n">
        <v>0</v>
      </c>
      <c r="J669" s="22" t="n">
        <v>0</v>
      </c>
      <c r="K669" s="22" t="n">
        <v>0</v>
      </c>
      <c r="L669" s="22" t="n">
        <v>0</v>
      </c>
      <c r="M669" s="22" t="n">
        <v>1</v>
      </c>
      <c r="N669" s="22" t="n">
        <v>0</v>
      </c>
      <c r="O669" s="22" t="n">
        <v>0</v>
      </c>
      <c r="P669" s="22" t="n">
        <v>0</v>
      </c>
      <c r="Q669" s="22" t="n">
        <v>0</v>
      </c>
      <c r="R669" s="22" t="n">
        <v>0</v>
      </c>
      <c r="S669" s="22" t="n">
        <v>0</v>
      </c>
      <c r="T669" s="22" t="n">
        <v>0</v>
      </c>
      <c r="U669" s="3">
        <f>IF(OR(N669=1,Q669=1),1,0)</f>
        <v/>
      </c>
      <c r="V669" s="3">
        <f>IF(OR(T669=1,P669=1),1,0)</f>
        <v/>
      </c>
      <c r="W669" s="3">
        <f>IF(OR(J669=1),1,0)</f>
        <v/>
      </c>
      <c r="X669" s="3">
        <f>IF(OR(I669=1,H669=1),1,0)</f>
        <v/>
      </c>
      <c r="Y669" s="3">
        <f>IF(OR(G669=1),1,0)</f>
        <v/>
      </c>
      <c r="Z669" s="3">
        <f>IF(OR(F669=1),1,0)</f>
        <v/>
      </c>
      <c r="AA669" s="3">
        <f>IF(OR(M669=1),1,0)</f>
        <v/>
      </c>
    </row>
    <row r="670">
      <c r="A670" s="22" t="inlineStr">
        <is>
          <t>14365a77b5b20323254eec93d80cec27b84a725e</t>
        </is>
      </c>
      <c r="B670" s="22" t="inlineStr">
        <is>
          <t>2026-10</t>
        </is>
      </c>
      <c r="C670" s="22" t="inlineStr">
        <is>
          <t>X</t>
        </is>
      </c>
      <c r="D670" s="22" t="n">
        <v>1</v>
      </c>
      <c r="E670" s="22" t="inlineStr">
        <is>
          <t>X: X search (Top): Edo election INEC rigged</t>
        </is>
      </c>
      <c r="F670" s="22" t="inlineStr">
        <is>
          <t>x:X search (Top): Edo election INEC rigged</t>
        </is>
      </c>
      <c r="G670" s="22" t="n">
        <v>-0.026</v>
      </c>
      <c r="H670" s="22" t="n">
        <v>1</v>
      </c>
      <c r="I670" s="22" t="n">
        <v>0</v>
      </c>
      <c r="J670" s="22" t="n">
        <v>0</v>
      </c>
      <c r="K670" s="22" t="n">
        <v>0</v>
      </c>
      <c r="L670" s="22" t="n">
        <v>0</v>
      </c>
      <c r="M670" s="22" t="n">
        <v>0</v>
      </c>
      <c r="N670" s="22" t="n">
        <v>0</v>
      </c>
      <c r="O670" s="22" t="n">
        <v>0</v>
      </c>
      <c r="P670" s="22" t="n">
        <v>0</v>
      </c>
      <c r="Q670" s="22" t="n">
        <v>0</v>
      </c>
      <c r="R670" s="22" t="n">
        <v>0</v>
      </c>
      <c r="S670" s="22" t="n">
        <v>0</v>
      </c>
      <c r="T670" s="22" t="n">
        <v>0</v>
      </c>
      <c r="U670" s="3">
        <f>IF(OR(N670=1,Q670=1),1,0)</f>
        <v/>
      </c>
      <c r="V670" s="3">
        <f>IF(OR(T670=1,P670=1),1,0)</f>
        <v/>
      </c>
      <c r="W670" s="3">
        <f>IF(OR(J670=1),1,0)</f>
        <v/>
      </c>
      <c r="X670" s="3">
        <f>IF(OR(I670=1,H670=1),1,0)</f>
        <v/>
      </c>
      <c r="Y670" s="3">
        <f>IF(OR(G670=1),1,0)</f>
        <v/>
      </c>
      <c r="Z670" s="3">
        <f>IF(OR(F670=1),1,0)</f>
        <v/>
      </c>
      <c r="AA670" s="3">
        <f>IF(OR(M670=1),1,0)</f>
        <v/>
      </c>
    </row>
    <row r="671">
      <c r="A671" s="22" t="inlineStr">
        <is>
          <t>75d8ffe35859ebd8473daa3ac8003ac842739712</t>
        </is>
      </c>
      <c r="B671" s="22" t="inlineStr">
        <is>
          <t>2026-10</t>
        </is>
      </c>
      <c r="C671" s="22" t="inlineStr">
        <is>
          <t>X</t>
        </is>
      </c>
      <c r="D671" s="22" t="n">
        <v>1</v>
      </c>
      <c r="E671" s="22" t="inlineStr">
        <is>
          <t>X: X search (Top): Edo election INEC rigged</t>
        </is>
      </c>
      <c r="F671" s="22" t="inlineStr">
        <is>
          <t>x:X search (Top): Edo election INEC rigged</t>
        </is>
      </c>
      <c r="G671" s="22" t="n">
        <v>-0.751</v>
      </c>
      <c r="H671" s="22" t="n">
        <v>1</v>
      </c>
      <c r="I671" s="22" t="n">
        <v>0</v>
      </c>
      <c r="J671" s="22" t="n">
        <v>0</v>
      </c>
      <c r="K671" s="22" t="n">
        <v>0</v>
      </c>
      <c r="L671" s="22" t="n">
        <v>0</v>
      </c>
      <c r="M671" s="22" t="n">
        <v>0</v>
      </c>
      <c r="N671" s="22" t="n">
        <v>0</v>
      </c>
      <c r="O671" s="22" t="n">
        <v>0</v>
      </c>
      <c r="P671" s="22" t="n">
        <v>0</v>
      </c>
      <c r="Q671" s="22" t="n">
        <v>0</v>
      </c>
      <c r="R671" s="22" t="n">
        <v>0</v>
      </c>
      <c r="S671" s="22" t="n">
        <v>0</v>
      </c>
      <c r="T671" s="22" t="n">
        <v>0</v>
      </c>
      <c r="U671" s="3">
        <f>IF(OR(N671=1,Q671=1),1,0)</f>
        <v/>
      </c>
      <c r="V671" s="3">
        <f>IF(OR(T671=1,P671=1),1,0)</f>
        <v/>
      </c>
      <c r="W671" s="3">
        <f>IF(OR(J671=1),1,0)</f>
        <v/>
      </c>
      <c r="X671" s="3">
        <f>IF(OR(I671=1,H671=1),1,0)</f>
        <v/>
      </c>
      <c r="Y671" s="3">
        <f>IF(OR(G671=1),1,0)</f>
        <v/>
      </c>
      <c r="Z671" s="3">
        <f>IF(OR(F671=1),1,0)</f>
        <v/>
      </c>
      <c r="AA671" s="3">
        <f>IF(OR(M671=1),1,0)</f>
        <v/>
      </c>
    </row>
    <row r="672">
      <c r="A672" s="22" t="inlineStr">
        <is>
          <t>1c87025becc5fa4e387cb30c6916cf5067b87ff8</t>
        </is>
      </c>
      <c r="B672" s="22" t="inlineStr">
        <is>
          <t>2026-10</t>
        </is>
      </c>
      <c r="C672" s="22" t="inlineStr">
        <is>
          <t>X</t>
        </is>
      </c>
      <c r="D672" s="22" t="n">
        <v>1</v>
      </c>
      <c r="E672" s="22" t="inlineStr">
        <is>
          <t>X: X search (Top): Edo election INEC rigged</t>
        </is>
      </c>
      <c r="F672" s="22" t="inlineStr">
        <is>
          <t>x:X search (Top): Edo election INEC rigged</t>
        </is>
      </c>
      <c r="G672" s="22" t="n">
        <v>0.504</v>
      </c>
      <c r="H672" s="22" t="n">
        <v>1</v>
      </c>
      <c r="I672" s="22" t="n">
        <v>0</v>
      </c>
      <c r="J672" s="22" t="n">
        <v>0</v>
      </c>
      <c r="K672" s="22" t="n">
        <v>0</v>
      </c>
      <c r="L672" s="22" t="n">
        <v>0</v>
      </c>
      <c r="M672" s="22" t="n">
        <v>0</v>
      </c>
      <c r="N672" s="22" t="n">
        <v>0</v>
      </c>
      <c r="O672" s="22" t="n">
        <v>0</v>
      </c>
      <c r="P672" s="22" t="n">
        <v>0</v>
      </c>
      <c r="Q672" s="22" t="n">
        <v>0</v>
      </c>
      <c r="R672" s="22" t="n">
        <v>0</v>
      </c>
      <c r="S672" s="22" t="n">
        <v>0</v>
      </c>
      <c r="T672" s="22" t="n">
        <v>0</v>
      </c>
      <c r="U672" s="3">
        <f>IF(OR(N672=1,Q672=1),1,0)</f>
        <v/>
      </c>
      <c r="V672" s="3">
        <f>IF(OR(T672=1,P672=1),1,0)</f>
        <v/>
      </c>
      <c r="W672" s="3">
        <f>IF(OR(J672=1),1,0)</f>
        <v/>
      </c>
      <c r="X672" s="3">
        <f>IF(OR(I672=1,H672=1),1,0)</f>
        <v/>
      </c>
      <c r="Y672" s="3">
        <f>IF(OR(G672=1),1,0)</f>
        <v/>
      </c>
      <c r="Z672" s="3">
        <f>IF(OR(F672=1),1,0)</f>
        <v/>
      </c>
      <c r="AA672" s="3">
        <f>IF(OR(M672=1),1,0)</f>
        <v/>
      </c>
    </row>
    <row r="673">
      <c r="A673" s="22" t="inlineStr">
        <is>
          <t>cb1ee59d0deabfd439f661560537b955513f0acb</t>
        </is>
      </c>
      <c r="B673" s="22" t="inlineStr">
        <is>
          <t>2026-08</t>
        </is>
      </c>
      <c r="C673" s="22" t="inlineStr">
        <is>
          <t>Nairaland</t>
        </is>
      </c>
      <c r="D673" s="22" t="n">
        <v>0</v>
      </c>
      <c r="E673" s="22" t="inlineStr">
        <is>
          <t>Nairaland: Nairaland</t>
        </is>
      </c>
      <c r="F673" s="22" t="inlineStr">
        <is>
          <t>nairaland:Nairaland</t>
        </is>
      </c>
      <c r="G673" s="22" t="n">
        <v>0.052</v>
      </c>
      <c r="H673" s="22" t="n">
        <v>1</v>
      </c>
      <c r="I673" s="22" t="n">
        <v>0</v>
      </c>
      <c r="J673" s="22" t="n">
        <v>0</v>
      </c>
      <c r="K673" s="22" t="n">
        <v>0</v>
      </c>
      <c r="L673" s="22" t="n">
        <v>0</v>
      </c>
      <c r="M673" s="22" t="n">
        <v>0</v>
      </c>
      <c r="N673" s="22" t="n">
        <v>0</v>
      </c>
      <c r="O673" s="22" t="n">
        <v>0</v>
      </c>
      <c r="P673" s="22" t="n">
        <v>0</v>
      </c>
      <c r="Q673" s="22" t="n">
        <v>0</v>
      </c>
      <c r="R673" s="22" t="n">
        <v>0</v>
      </c>
      <c r="S673" s="22" t="n">
        <v>0</v>
      </c>
      <c r="T673" s="22" t="n">
        <v>0</v>
      </c>
      <c r="U673" s="3">
        <f>IF(OR(N673=1,Q673=1),1,0)</f>
        <v/>
      </c>
      <c r="V673" s="3">
        <f>IF(OR(T673=1,P673=1),1,0)</f>
        <v/>
      </c>
      <c r="W673" s="3">
        <f>IF(OR(J673=1),1,0)</f>
        <v/>
      </c>
      <c r="X673" s="3">
        <f>IF(OR(I673=1,H673=1),1,0)</f>
        <v/>
      </c>
      <c r="Y673" s="3">
        <f>IF(OR(G673=1),1,0)</f>
        <v/>
      </c>
      <c r="Z673" s="3">
        <f>IF(OR(F673=1),1,0)</f>
        <v/>
      </c>
      <c r="AA673" s="3">
        <f>IF(OR(M673=1),1,0)</f>
        <v/>
      </c>
    </row>
    <row r="674">
      <c r="A674" s="22" t="inlineStr">
        <is>
          <t>6af47837fc12e8edd6729ac126971d7fe65e546a</t>
        </is>
      </c>
      <c r="B674" s="22" t="inlineStr">
        <is>
          <t>2026-08</t>
        </is>
      </c>
      <c r="C674" s="22" t="inlineStr">
        <is>
          <t>Nairaland</t>
        </is>
      </c>
      <c r="D674" s="22" t="n">
        <v>0</v>
      </c>
      <c r="E674" s="22" t="inlineStr">
        <is>
          <t>Nairaland: Nairaland</t>
        </is>
      </c>
      <c r="F674" s="22" t="inlineStr">
        <is>
          <t>nairaland:Nairaland</t>
        </is>
      </c>
      <c r="G674" s="22" t="n">
        <v>0.101</v>
      </c>
      <c r="H674" s="22" t="n">
        <v>1</v>
      </c>
      <c r="I674" s="22" t="n">
        <v>0</v>
      </c>
      <c r="J674" s="22" t="n">
        <v>0</v>
      </c>
      <c r="K674" s="22" t="n">
        <v>0</v>
      </c>
      <c r="L674" s="22" t="n">
        <v>1</v>
      </c>
      <c r="M674" s="22" t="n">
        <v>0</v>
      </c>
      <c r="N674" s="22" t="n">
        <v>0</v>
      </c>
      <c r="O674" s="22" t="n">
        <v>0</v>
      </c>
      <c r="P674" s="22" t="n">
        <v>0</v>
      </c>
      <c r="Q674" s="22" t="n">
        <v>0</v>
      </c>
      <c r="R674" s="22" t="n">
        <v>0</v>
      </c>
      <c r="S674" s="22" t="n">
        <v>0</v>
      </c>
      <c r="T674" s="22" t="n">
        <v>0</v>
      </c>
      <c r="U674" s="3">
        <f>IF(OR(N674=1,Q674=1),1,0)</f>
        <v/>
      </c>
      <c r="V674" s="3">
        <f>IF(OR(T674=1,P674=1),1,0)</f>
        <v/>
      </c>
      <c r="W674" s="3">
        <f>IF(OR(J674=1),1,0)</f>
        <v/>
      </c>
      <c r="X674" s="3">
        <f>IF(OR(I674=1,H674=1),1,0)</f>
        <v/>
      </c>
      <c r="Y674" s="3">
        <f>IF(OR(G674=1),1,0)</f>
        <v/>
      </c>
      <c r="Z674" s="3">
        <f>IF(OR(F674=1),1,0)</f>
        <v/>
      </c>
      <c r="AA674" s="3">
        <f>IF(OR(M674=1),1,0)</f>
        <v/>
      </c>
    </row>
    <row r="675">
      <c r="A675" s="22" t="inlineStr">
        <is>
          <t>cf40b8989f9adbf2a5e468077fa58cc5967b0f80</t>
        </is>
      </c>
      <c r="B675" s="22" t="inlineStr">
        <is>
          <t>2026-10</t>
        </is>
      </c>
      <c r="C675" s="22" t="inlineStr">
        <is>
          <t>Nairaland</t>
        </is>
      </c>
      <c r="D675" s="22" t="n">
        <v>0</v>
      </c>
      <c r="E675" s="22" t="inlineStr">
        <is>
          <t>Nairaland: Nairaland</t>
        </is>
      </c>
      <c r="F675" s="22" t="inlineStr">
        <is>
          <t>nairaland:Nairaland</t>
        </is>
      </c>
      <c r="G675" s="22" t="n">
        <v>-0.318</v>
      </c>
      <c r="H675" s="22" t="n">
        <v>1</v>
      </c>
      <c r="I675" s="22" t="n">
        <v>0</v>
      </c>
      <c r="J675" s="22" t="n">
        <v>0</v>
      </c>
      <c r="K675" s="22" t="n">
        <v>0</v>
      </c>
      <c r="L675" s="22" t="n">
        <v>0</v>
      </c>
      <c r="M675" s="22" t="n">
        <v>0</v>
      </c>
      <c r="N675" s="22" t="n">
        <v>0</v>
      </c>
      <c r="O675" s="22" t="n">
        <v>0</v>
      </c>
      <c r="P675" s="22" t="n">
        <v>0</v>
      </c>
      <c r="Q675" s="22" t="n">
        <v>0</v>
      </c>
      <c r="R675" s="22" t="n">
        <v>0</v>
      </c>
      <c r="S675" s="22" t="n">
        <v>0</v>
      </c>
      <c r="T675" s="22" t="n">
        <v>0</v>
      </c>
      <c r="U675" s="3">
        <f>IF(OR(N675=1,Q675=1),1,0)</f>
        <v/>
      </c>
      <c r="V675" s="3">
        <f>IF(OR(T675=1,P675=1),1,0)</f>
        <v/>
      </c>
      <c r="W675" s="3">
        <f>IF(OR(J675=1),1,0)</f>
        <v/>
      </c>
      <c r="X675" s="3">
        <f>IF(OR(I675=1,H675=1),1,0)</f>
        <v/>
      </c>
      <c r="Y675" s="3">
        <f>IF(OR(G675=1),1,0)</f>
        <v/>
      </c>
      <c r="Z675" s="3">
        <f>IF(OR(F675=1),1,0)</f>
        <v/>
      </c>
      <c r="AA675" s="3">
        <f>IF(OR(M675=1),1,0)</f>
        <v/>
      </c>
    </row>
    <row r="676">
      <c r="A676" s="22" t="inlineStr">
        <is>
          <t>ade65c605ecc3ccc53220fb0756cb6062d850e6e</t>
        </is>
      </c>
      <c r="B676" s="22" t="inlineStr">
        <is>
          <t>2026-10</t>
        </is>
      </c>
      <c r="C676" s="22" t="inlineStr">
        <is>
          <t>Nairaland</t>
        </is>
      </c>
      <c r="D676" s="22" t="n">
        <v>0</v>
      </c>
      <c r="E676" s="22" t="inlineStr">
        <is>
          <t>Nairaland: Nairaland</t>
        </is>
      </c>
      <c r="F676" s="22" t="inlineStr">
        <is>
          <t>nairaland:Nairaland</t>
        </is>
      </c>
      <c r="G676" s="22" t="n">
        <v>0.805</v>
      </c>
      <c r="H676" s="22" t="n">
        <v>1</v>
      </c>
      <c r="I676" s="22" t="n">
        <v>0</v>
      </c>
      <c r="J676" s="22" t="n">
        <v>0</v>
      </c>
      <c r="K676" s="22" t="n">
        <v>0</v>
      </c>
      <c r="L676" s="22" t="n">
        <v>0</v>
      </c>
      <c r="M676" s="22" t="n">
        <v>0</v>
      </c>
      <c r="N676" s="22" t="n">
        <v>0</v>
      </c>
      <c r="O676" s="22" t="n">
        <v>0</v>
      </c>
      <c r="P676" s="22" t="n">
        <v>0</v>
      </c>
      <c r="Q676" s="22" t="n">
        <v>0</v>
      </c>
      <c r="R676" s="22" t="n">
        <v>0</v>
      </c>
      <c r="S676" s="22" t="n">
        <v>0</v>
      </c>
      <c r="T676" s="22" t="n">
        <v>0</v>
      </c>
      <c r="U676" s="3">
        <f>IF(OR(N676=1,Q676=1),1,0)</f>
        <v/>
      </c>
      <c r="V676" s="3">
        <f>IF(OR(T676=1,P676=1),1,0)</f>
        <v/>
      </c>
      <c r="W676" s="3">
        <f>IF(OR(J676=1),1,0)</f>
        <v/>
      </c>
      <c r="X676" s="3">
        <f>IF(OR(I676=1,H676=1),1,0)</f>
        <v/>
      </c>
      <c r="Y676" s="3">
        <f>IF(OR(G676=1),1,0)</f>
        <v/>
      </c>
      <c r="Z676" s="3">
        <f>IF(OR(F676=1),1,0)</f>
        <v/>
      </c>
      <c r="AA676" s="3">
        <f>IF(OR(M676=1),1,0)</f>
        <v/>
      </c>
    </row>
    <row r="677">
      <c r="A677" s="22" t="inlineStr">
        <is>
          <t>a6ebcff8b2db2a1bdcf2ac996dedc56f880e455a</t>
        </is>
      </c>
      <c r="B677" s="22" t="inlineStr">
        <is>
          <t>2026-10</t>
        </is>
      </c>
      <c r="C677" s="22" t="inlineStr">
        <is>
          <t>Nairaland</t>
        </is>
      </c>
      <c r="D677" s="22" t="n">
        <v>0</v>
      </c>
      <c r="E677" s="22" t="inlineStr">
        <is>
          <t>Nairaland: Nairaland</t>
        </is>
      </c>
      <c r="F677" s="22" t="inlineStr">
        <is>
          <t>nairaland:Nairaland</t>
        </is>
      </c>
      <c r="G677" s="22" t="n">
        <v>0.454</v>
      </c>
      <c r="H677" s="22" t="n">
        <v>1</v>
      </c>
      <c r="I677" s="22" t="n">
        <v>0</v>
      </c>
      <c r="J677" s="22" t="n">
        <v>0</v>
      </c>
      <c r="K677" s="22" t="n">
        <v>0</v>
      </c>
      <c r="L677" s="22" t="n">
        <v>0</v>
      </c>
      <c r="M677" s="22" t="n">
        <v>0</v>
      </c>
      <c r="N677" s="22" t="n">
        <v>0</v>
      </c>
      <c r="O677" s="22" t="n">
        <v>0</v>
      </c>
      <c r="P677" s="22" t="n">
        <v>0</v>
      </c>
      <c r="Q677" s="22" t="n">
        <v>0</v>
      </c>
      <c r="R677" s="22" t="n">
        <v>0</v>
      </c>
      <c r="S677" s="22" t="n">
        <v>0</v>
      </c>
      <c r="T677" s="22" t="n">
        <v>0</v>
      </c>
      <c r="U677" s="3">
        <f>IF(OR(N677=1,Q677=1),1,0)</f>
        <v/>
      </c>
      <c r="V677" s="3">
        <f>IF(OR(T677=1,P677=1),1,0)</f>
        <v/>
      </c>
      <c r="W677" s="3">
        <f>IF(OR(J677=1),1,0)</f>
        <v/>
      </c>
      <c r="X677" s="3">
        <f>IF(OR(I677=1,H677=1),1,0)</f>
        <v/>
      </c>
      <c r="Y677" s="3">
        <f>IF(OR(G677=1),1,0)</f>
        <v/>
      </c>
      <c r="Z677" s="3">
        <f>IF(OR(F677=1),1,0)</f>
        <v/>
      </c>
      <c r="AA677" s="3">
        <f>IF(OR(M677=1),1,0)</f>
        <v/>
      </c>
    </row>
    <row r="678">
      <c r="A678" s="22" t="inlineStr">
        <is>
          <t>a2bc5c604f5fb9b51625ed16c17ab424b9e1fc32</t>
        </is>
      </c>
      <c r="B678" s="22" t="inlineStr">
        <is>
          <t>2026-10</t>
        </is>
      </c>
      <c r="C678" s="22" t="inlineStr">
        <is>
          <t>Nairaland</t>
        </is>
      </c>
      <c r="D678" s="22" t="n">
        <v>0</v>
      </c>
      <c r="E678" s="22" t="inlineStr">
        <is>
          <t>Nairaland: Nairaland</t>
        </is>
      </c>
      <c r="F678" s="22" t="inlineStr">
        <is>
          <t>nairaland:Nairaland</t>
        </is>
      </c>
      <c r="G678" s="22" t="n">
        <v>-0.586</v>
      </c>
      <c r="H678" s="22" t="n">
        <v>1</v>
      </c>
      <c r="I678" s="22" t="n">
        <v>0</v>
      </c>
      <c r="J678" s="22" t="n">
        <v>0</v>
      </c>
      <c r="K678" s="22" t="n">
        <v>0</v>
      </c>
      <c r="L678" s="22" t="n">
        <v>0</v>
      </c>
      <c r="M678" s="22" t="n">
        <v>0</v>
      </c>
      <c r="N678" s="22" t="n">
        <v>0</v>
      </c>
      <c r="O678" s="22" t="n">
        <v>0</v>
      </c>
      <c r="P678" s="22" t="n">
        <v>0</v>
      </c>
      <c r="Q678" s="22" t="n">
        <v>0</v>
      </c>
      <c r="R678" s="22" t="n">
        <v>0</v>
      </c>
      <c r="S678" s="22" t="n">
        <v>0</v>
      </c>
      <c r="T678" s="22" t="n">
        <v>0</v>
      </c>
      <c r="U678" s="3">
        <f>IF(OR(N678=1,Q678=1),1,0)</f>
        <v/>
      </c>
      <c r="V678" s="3">
        <f>IF(OR(T678=1,P678=1),1,0)</f>
        <v/>
      </c>
      <c r="W678" s="3">
        <f>IF(OR(J678=1),1,0)</f>
        <v/>
      </c>
      <c r="X678" s="3">
        <f>IF(OR(I678=1,H678=1),1,0)</f>
        <v/>
      </c>
      <c r="Y678" s="3">
        <f>IF(OR(G678=1),1,0)</f>
        <v/>
      </c>
      <c r="Z678" s="3">
        <f>IF(OR(F678=1),1,0)</f>
        <v/>
      </c>
      <c r="AA678" s="3">
        <f>IF(OR(M678=1),1,0)</f>
        <v/>
      </c>
    </row>
    <row r="679">
      <c r="A679" s="22" t="inlineStr">
        <is>
          <t>d179a684b3937b298bfa035b6475931dd257f53b</t>
        </is>
      </c>
      <c r="B679" s="22" t="inlineStr">
        <is>
          <t>2026-10</t>
        </is>
      </c>
      <c r="C679" s="22" t="inlineStr">
        <is>
          <t>Nairaland</t>
        </is>
      </c>
      <c r="D679" s="22" t="n">
        <v>0</v>
      </c>
      <c r="E679" s="22" t="inlineStr">
        <is>
          <t>Nairaland: Nairaland</t>
        </is>
      </c>
      <c r="F679" s="22" t="inlineStr">
        <is>
          <t>nairaland:Nairaland</t>
        </is>
      </c>
      <c r="G679" s="22" t="n">
        <v>0.787</v>
      </c>
      <c r="H679" s="22" t="n">
        <v>1</v>
      </c>
      <c r="I679" s="22" t="n">
        <v>0</v>
      </c>
      <c r="J679" s="22" t="n">
        <v>0</v>
      </c>
      <c r="K679" s="22" t="n">
        <v>0</v>
      </c>
      <c r="L679" s="22" t="n">
        <v>0</v>
      </c>
      <c r="M679" s="22" t="n">
        <v>0</v>
      </c>
      <c r="N679" s="22" t="n">
        <v>0</v>
      </c>
      <c r="O679" s="22" t="n">
        <v>0</v>
      </c>
      <c r="P679" s="22" t="n">
        <v>0</v>
      </c>
      <c r="Q679" s="22" t="n">
        <v>0</v>
      </c>
      <c r="R679" s="22" t="n">
        <v>0</v>
      </c>
      <c r="S679" s="22" t="n">
        <v>0</v>
      </c>
      <c r="T679" s="22" t="n">
        <v>0</v>
      </c>
      <c r="U679" s="3">
        <f>IF(OR(N679=1,Q679=1),1,0)</f>
        <v/>
      </c>
      <c r="V679" s="3">
        <f>IF(OR(T679=1,P679=1),1,0)</f>
        <v/>
      </c>
      <c r="W679" s="3">
        <f>IF(OR(J679=1),1,0)</f>
        <v/>
      </c>
      <c r="X679" s="3">
        <f>IF(OR(I679=1,H679=1),1,0)</f>
        <v/>
      </c>
      <c r="Y679" s="3">
        <f>IF(OR(G679=1),1,0)</f>
        <v/>
      </c>
      <c r="Z679" s="3">
        <f>IF(OR(F679=1),1,0)</f>
        <v/>
      </c>
      <c r="AA679" s="3">
        <f>IF(OR(M679=1),1,0)</f>
        <v/>
      </c>
    </row>
    <row r="680">
      <c r="A680" s="22" t="inlineStr">
        <is>
          <t>df10d7447c8a81f5362dd6a4af7306d8d2f5cde7</t>
        </is>
      </c>
      <c r="B680" s="22" t="inlineStr">
        <is>
          <t>2026-10</t>
        </is>
      </c>
      <c r="C680" s="22" t="inlineStr">
        <is>
          <t>Nairaland</t>
        </is>
      </c>
      <c r="D680" s="22" t="n">
        <v>0</v>
      </c>
      <c r="E680" s="22" t="inlineStr">
        <is>
          <t>Nairaland: Nairaland</t>
        </is>
      </c>
      <c r="F680" s="22" t="inlineStr">
        <is>
          <t>nairaland:Nairaland</t>
        </is>
      </c>
      <c r="G680" s="22" t="n">
        <v>0</v>
      </c>
      <c r="H680" s="22" t="n">
        <v>0</v>
      </c>
      <c r="I680" s="22" t="n">
        <v>0</v>
      </c>
      <c r="J680" s="22" t="n">
        <v>0</v>
      </c>
      <c r="K680" s="22" t="n">
        <v>0</v>
      </c>
      <c r="L680" s="22" t="n">
        <v>0</v>
      </c>
      <c r="M680" s="22" t="n">
        <v>0</v>
      </c>
      <c r="N680" s="22" t="n">
        <v>1</v>
      </c>
      <c r="O680" s="22" t="n">
        <v>0</v>
      </c>
      <c r="P680" s="22" t="n">
        <v>0</v>
      </c>
      <c r="Q680" s="22" t="n">
        <v>0</v>
      </c>
      <c r="R680" s="22" t="n">
        <v>0</v>
      </c>
      <c r="S680" s="22" t="n">
        <v>0</v>
      </c>
      <c r="T680" s="22" t="n">
        <v>0</v>
      </c>
      <c r="U680" s="3">
        <f>IF(OR(N680=1,Q680=1),1,0)</f>
        <v/>
      </c>
      <c r="V680" s="3">
        <f>IF(OR(T680=1,P680=1),1,0)</f>
        <v/>
      </c>
      <c r="W680" s="3">
        <f>IF(OR(J680=1),1,0)</f>
        <v/>
      </c>
      <c r="X680" s="3">
        <f>IF(OR(I680=1,H680=1),1,0)</f>
        <v/>
      </c>
      <c r="Y680" s="3">
        <f>IF(OR(G680=1),1,0)</f>
        <v/>
      </c>
      <c r="Z680" s="3">
        <f>IF(OR(F680=1),1,0)</f>
        <v/>
      </c>
      <c r="AA680" s="3">
        <f>IF(OR(M680=1),1,0)</f>
        <v/>
      </c>
    </row>
    <row r="681">
      <c r="A681" s="22" t="inlineStr">
        <is>
          <t>fd3221e38aaeddbbf38cc7700d2b752d57036442</t>
        </is>
      </c>
      <c r="B681" s="22" t="inlineStr">
        <is>
          <t>2026-10</t>
        </is>
      </c>
      <c r="C681" s="22" t="inlineStr">
        <is>
          <t>Nairaland</t>
        </is>
      </c>
      <c r="D681" s="22" t="n">
        <v>0</v>
      </c>
      <c r="E681" s="22" t="inlineStr">
        <is>
          <t>Nairaland: Nairaland</t>
        </is>
      </c>
      <c r="F681" s="22" t="inlineStr">
        <is>
          <t>nairaland:Nairaland</t>
        </is>
      </c>
      <c r="G681" s="22" t="n">
        <v>0.519</v>
      </c>
      <c r="H681" s="22" t="n">
        <v>0</v>
      </c>
      <c r="I681" s="22" t="n">
        <v>0</v>
      </c>
      <c r="J681" s="22" t="n">
        <v>0</v>
      </c>
      <c r="K681" s="22" t="n">
        <v>0</v>
      </c>
      <c r="L681" s="22" t="n">
        <v>0</v>
      </c>
      <c r="M681" s="22" t="n">
        <v>0</v>
      </c>
      <c r="N681" s="22" t="n">
        <v>0</v>
      </c>
      <c r="O681" s="22" t="n">
        <v>1</v>
      </c>
      <c r="P681" s="22" t="n">
        <v>0</v>
      </c>
      <c r="Q681" s="22" t="n">
        <v>0</v>
      </c>
      <c r="R681" s="22" t="n">
        <v>0</v>
      </c>
      <c r="S681" s="22" t="n">
        <v>0</v>
      </c>
      <c r="T681" s="22" t="n">
        <v>0</v>
      </c>
      <c r="U681" s="3">
        <f>IF(OR(N681=1,Q681=1),1,0)</f>
        <v/>
      </c>
      <c r="V681" s="3">
        <f>IF(OR(T681=1,P681=1),1,0)</f>
        <v/>
      </c>
      <c r="W681" s="3">
        <f>IF(OR(J681=1),1,0)</f>
        <v/>
      </c>
      <c r="X681" s="3">
        <f>IF(OR(I681=1,H681=1),1,0)</f>
        <v/>
      </c>
      <c r="Y681" s="3">
        <f>IF(OR(G681=1),1,0)</f>
        <v/>
      </c>
      <c r="Z681" s="3">
        <f>IF(OR(F681=1),1,0)</f>
        <v/>
      </c>
      <c r="AA681" s="3">
        <f>IF(OR(M681=1),1,0)</f>
        <v/>
      </c>
    </row>
    <row r="682">
      <c r="A682" s="22" t="inlineStr">
        <is>
          <t>e33f39a1bc91bbbb699ff9404e6c85ad1eb171d0</t>
        </is>
      </c>
      <c r="B682" s="22" t="inlineStr">
        <is>
          <t>2026-10</t>
        </is>
      </c>
      <c r="C682" s="22" t="inlineStr">
        <is>
          <t>Nairaland</t>
        </is>
      </c>
      <c r="D682" s="22" t="n">
        <v>0</v>
      </c>
      <c r="E682" s="22" t="inlineStr">
        <is>
          <t>Nairaland: Nairaland</t>
        </is>
      </c>
      <c r="F682" s="22" t="inlineStr">
        <is>
          <t>nairaland:Nairaland</t>
        </is>
      </c>
      <c r="G682" s="22" t="n">
        <v>-0.586</v>
      </c>
      <c r="H682" s="22" t="n">
        <v>1</v>
      </c>
      <c r="I682" s="22" t="n">
        <v>0</v>
      </c>
      <c r="J682" s="22" t="n">
        <v>0</v>
      </c>
      <c r="K682" s="22" t="n">
        <v>0</v>
      </c>
      <c r="L682" s="22" t="n">
        <v>0</v>
      </c>
      <c r="M682" s="22" t="n">
        <v>1</v>
      </c>
      <c r="N682" s="22" t="n">
        <v>0</v>
      </c>
      <c r="O682" s="22" t="n">
        <v>0</v>
      </c>
      <c r="P682" s="22" t="n">
        <v>0</v>
      </c>
      <c r="Q682" s="22" t="n">
        <v>0</v>
      </c>
      <c r="R682" s="22" t="n">
        <v>0</v>
      </c>
      <c r="S682" s="22" t="n">
        <v>0</v>
      </c>
      <c r="T682" s="22" t="n">
        <v>0</v>
      </c>
      <c r="U682" s="3">
        <f>IF(OR(N682=1,Q682=1),1,0)</f>
        <v/>
      </c>
      <c r="V682" s="3">
        <f>IF(OR(T682=1,P682=1),1,0)</f>
        <v/>
      </c>
      <c r="W682" s="3">
        <f>IF(OR(J682=1),1,0)</f>
        <v/>
      </c>
      <c r="X682" s="3">
        <f>IF(OR(I682=1,H682=1),1,0)</f>
        <v/>
      </c>
      <c r="Y682" s="3">
        <f>IF(OR(G682=1),1,0)</f>
        <v/>
      </c>
      <c r="Z682" s="3">
        <f>IF(OR(F682=1),1,0)</f>
        <v/>
      </c>
      <c r="AA682" s="3">
        <f>IF(OR(M682=1),1,0)</f>
        <v/>
      </c>
    </row>
    <row r="683">
      <c r="A683" s="22" t="inlineStr">
        <is>
          <t>2d5e07ab8497ef97b5e44d2f35844f86d7fa886e</t>
        </is>
      </c>
      <c r="B683" s="22" t="inlineStr">
        <is>
          <t>2026-10</t>
        </is>
      </c>
      <c r="C683" s="22" t="inlineStr">
        <is>
          <t>Nairaland</t>
        </is>
      </c>
      <c r="D683" s="22" t="n">
        <v>0</v>
      </c>
      <c r="E683" s="22" t="inlineStr">
        <is>
          <t>Nairaland: Nairaland</t>
        </is>
      </c>
      <c r="F683" s="22" t="inlineStr">
        <is>
          <t>nairaland:Nairaland</t>
        </is>
      </c>
      <c r="G683" s="22" t="n">
        <v>-0.637</v>
      </c>
      <c r="H683" s="22" t="n">
        <v>1</v>
      </c>
      <c r="I683" s="22" t="n">
        <v>0</v>
      </c>
      <c r="J683" s="22" t="n">
        <v>0</v>
      </c>
      <c r="K683" s="22" t="n">
        <v>0</v>
      </c>
      <c r="L683" s="22" t="n">
        <v>0</v>
      </c>
      <c r="M683" s="22" t="n">
        <v>1</v>
      </c>
      <c r="N683" s="22" t="n">
        <v>0</v>
      </c>
      <c r="O683" s="22" t="n">
        <v>1</v>
      </c>
      <c r="P683" s="22" t="n">
        <v>0</v>
      </c>
      <c r="Q683" s="22" t="n">
        <v>0</v>
      </c>
      <c r="R683" s="22" t="n">
        <v>0</v>
      </c>
      <c r="S683" s="22" t="n">
        <v>0</v>
      </c>
      <c r="T683" s="22" t="n">
        <v>0</v>
      </c>
      <c r="U683" s="3">
        <f>IF(OR(N683=1,Q683=1),1,0)</f>
        <v/>
      </c>
      <c r="V683" s="3">
        <f>IF(OR(T683=1,P683=1),1,0)</f>
        <v/>
      </c>
      <c r="W683" s="3">
        <f>IF(OR(J683=1),1,0)</f>
        <v/>
      </c>
      <c r="X683" s="3">
        <f>IF(OR(I683=1,H683=1),1,0)</f>
        <v/>
      </c>
      <c r="Y683" s="3">
        <f>IF(OR(G683=1),1,0)</f>
        <v/>
      </c>
      <c r="Z683" s="3">
        <f>IF(OR(F683=1),1,0)</f>
        <v/>
      </c>
      <c r="AA683" s="3">
        <f>IF(OR(M683=1),1,0)</f>
        <v/>
      </c>
    </row>
    <row r="684">
      <c r="A684" s="22" t="inlineStr">
        <is>
          <t>e87e0fe980f3085f69b3be98cc8f7127c3f2114c</t>
        </is>
      </c>
      <c r="B684" s="22" t="inlineStr">
        <is>
          <t>2026-10</t>
        </is>
      </c>
      <c r="C684" s="22" t="inlineStr">
        <is>
          <t>Nairaland</t>
        </is>
      </c>
      <c r="D684" s="22" t="n">
        <v>0</v>
      </c>
      <c r="E684" s="22" t="inlineStr">
        <is>
          <t>Nairaland: Nairaland</t>
        </is>
      </c>
      <c r="F684" s="22" t="inlineStr">
        <is>
          <t>nairaland:Nairaland</t>
        </is>
      </c>
      <c r="G684" s="22" t="n">
        <v>-0.829</v>
      </c>
      <c r="H684" s="22" t="n">
        <v>1</v>
      </c>
      <c r="I684" s="22" t="n">
        <v>0</v>
      </c>
      <c r="J684" s="22" t="n">
        <v>0</v>
      </c>
      <c r="K684" s="22" t="n">
        <v>0</v>
      </c>
      <c r="L684" s="22" t="n">
        <v>0</v>
      </c>
      <c r="M684" s="22" t="n">
        <v>0</v>
      </c>
      <c r="N684" s="22" t="n">
        <v>0</v>
      </c>
      <c r="O684" s="22" t="n">
        <v>0</v>
      </c>
      <c r="P684" s="22" t="n">
        <v>0</v>
      </c>
      <c r="Q684" s="22" t="n">
        <v>0</v>
      </c>
      <c r="R684" s="22" t="n">
        <v>0</v>
      </c>
      <c r="S684" s="22" t="n">
        <v>0</v>
      </c>
      <c r="T684" s="22" t="n">
        <v>1</v>
      </c>
      <c r="U684" s="3">
        <f>IF(OR(N684=1,Q684=1),1,0)</f>
        <v/>
      </c>
      <c r="V684" s="3">
        <f>IF(OR(T684=1,P684=1),1,0)</f>
        <v/>
      </c>
      <c r="W684" s="3">
        <f>IF(OR(J684=1),1,0)</f>
        <v/>
      </c>
      <c r="X684" s="3">
        <f>IF(OR(I684=1,H684=1),1,0)</f>
        <v/>
      </c>
      <c r="Y684" s="3">
        <f>IF(OR(G684=1),1,0)</f>
        <v/>
      </c>
      <c r="Z684" s="3">
        <f>IF(OR(F684=1),1,0)</f>
        <v/>
      </c>
      <c r="AA684" s="3">
        <f>IF(OR(M684=1),1,0)</f>
        <v/>
      </c>
    </row>
    <row r="685">
      <c r="A685" s="22" t="inlineStr">
        <is>
          <t>0a20b33416b4b0ae45cea6f270def96ef8ca8d26</t>
        </is>
      </c>
      <c r="B685" s="22" t="inlineStr">
        <is>
          <t>2026-10</t>
        </is>
      </c>
      <c r="C685" s="22" t="inlineStr">
        <is>
          <t>Nairaland</t>
        </is>
      </c>
      <c r="D685" s="22" t="n">
        <v>0</v>
      </c>
      <c r="E685" s="22" t="inlineStr">
        <is>
          <t>Nairaland: Nairaland</t>
        </is>
      </c>
      <c r="F685" s="22" t="inlineStr">
        <is>
          <t>nairaland:Nairaland</t>
        </is>
      </c>
      <c r="G685" s="22" t="n">
        <v>-0.856</v>
      </c>
      <c r="H685" s="22" t="n">
        <v>1</v>
      </c>
      <c r="I685" s="22" t="n">
        <v>0</v>
      </c>
      <c r="J685" s="22" t="n">
        <v>0</v>
      </c>
      <c r="K685" s="22" t="n">
        <v>0</v>
      </c>
      <c r="L685" s="22" t="n">
        <v>0</v>
      </c>
      <c r="M685" s="22" t="n">
        <v>0</v>
      </c>
      <c r="N685" s="22" t="n">
        <v>0</v>
      </c>
      <c r="O685" s="22" t="n">
        <v>0</v>
      </c>
      <c r="P685" s="22" t="n">
        <v>0</v>
      </c>
      <c r="Q685" s="22" t="n">
        <v>0</v>
      </c>
      <c r="R685" s="22" t="n">
        <v>0</v>
      </c>
      <c r="S685" s="22" t="n">
        <v>0</v>
      </c>
      <c r="T685" s="22" t="n">
        <v>0</v>
      </c>
      <c r="U685" s="3">
        <f>IF(OR(N685=1,Q685=1),1,0)</f>
        <v/>
      </c>
      <c r="V685" s="3">
        <f>IF(OR(T685=1,P685=1),1,0)</f>
        <v/>
      </c>
      <c r="W685" s="3">
        <f>IF(OR(J685=1),1,0)</f>
        <v/>
      </c>
      <c r="X685" s="3">
        <f>IF(OR(I685=1,H685=1),1,0)</f>
        <v/>
      </c>
      <c r="Y685" s="3">
        <f>IF(OR(G685=1),1,0)</f>
        <v/>
      </c>
      <c r="Z685" s="3">
        <f>IF(OR(F685=1),1,0)</f>
        <v/>
      </c>
      <c r="AA685" s="3">
        <f>IF(OR(M685=1),1,0)</f>
        <v/>
      </c>
    </row>
    <row r="686">
      <c r="A686" s="22" t="inlineStr">
        <is>
          <t>34b46ca1d3bf71f7f48d2bb35395170ab2b4ea6b</t>
        </is>
      </c>
      <c r="B686" s="22" t="inlineStr">
        <is>
          <t>2026-10</t>
        </is>
      </c>
      <c r="C686" s="22" t="inlineStr">
        <is>
          <t>Nairaland</t>
        </is>
      </c>
      <c r="D686" s="22" t="n">
        <v>0</v>
      </c>
      <c r="E686" s="22" t="inlineStr">
        <is>
          <t>Nairaland: Nairaland</t>
        </is>
      </c>
      <c r="F686" s="22" t="inlineStr">
        <is>
          <t>nairaland:Nairaland</t>
        </is>
      </c>
      <c r="G686" s="22" t="n">
        <v>-0.9409999999999999</v>
      </c>
      <c r="H686" s="22" t="n">
        <v>0</v>
      </c>
      <c r="I686" s="22" t="n">
        <v>0</v>
      </c>
      <c r="J686" s="22" t="n">
        <v>0</v>
      </c>
      <c r="K686" s="22" t="n">
        <v>0</v>
      </c>
      <c r="L686" s="22" t="n">
        <v>0</v>
      </c>
      <c r="M686" s="22" t="n">
        <v>0</v>
      </c>
      <c r="N686" s="22" t="n">
        <v>0</v>
      </c>
      <c r="O686" s="22" t="n">
        <v>0</v>
      </c>
      <c r="P686" s="22" t="n">
        <v>0</v>
      </c>
      <c r="Q686" s="22" t="n">
        <v>0</v>
      </c>
      <c r="R686" s="22" t="n">
        <v>0</v>
      </c>
      <c r="S686" s="22" t="n">
        <v>0</v>
      </c>
      <c r="T686" s="22" t="n">
        <v>1</v>
      </c>
      <c r="U686" s="3">
        <f>IF(OR(N686=1,Q686=1),1,0)</f>
        <v/>
      </c>
      <c r="V686" s="3">
        <f>IF(OR(T686=1,P686=1),1,0)</f>
        <v/>
      </c>
      <c r="W686" s="3">
        <f>IF(OR(J686=1),1,0)</f>
        <v/>
      </c>
      <c r="X686" s="3">
        <f>IF(OR(I686=1,H686=1),1,0)</f>
        <v/>
      </c>
      <c r="Y686" s="3">
        <f>IF(OR(G686=1),1,0)</f>
        <v/>
      </c>
      <c r="Z686" s="3">
        <f>IF(OR(F686=1),1,0)</f>
        <v/>
      </c>
      <c r="AA686" s="3">
        <f>IF(OR(M686=1),1,0)</f>
        <v/>
      </c>
    </row>
    <row r="687">
      <c r="A687" s="22" t="inlineStr">
        <is>
          <t>d946ffe1742cb8bb1b16cab3affd59eb486b1727</t>
        </is>
      </c>
      <c r="B687" s="22" t="inlineStr">
        <is>
          <t>2026-10</t>
        </is>
      </c>
      <c r="C687" s="22" t="inlineStr">
        <is>
          <t>Nairaland</t>
        </is>
      </c>
      <c r="D687" s="22" t="n">
        <v>0</v>
      </c>
      <c r="E687" s="22" t="inlineStr">
        <is>
          <t>Nairaland: Nairaland</t>
        </is>
      </c>
      <c r="F687" s="22" t="inlineStr">
        <is>
          <t>nairaland:Nairaland</t>
        </is>
      </c>
      <c r="G687" s="22" t="n">
        <v>-0.653</v>
      </c>
      <c r="H687" s="22" t="n">
        <v>1</v>
      </c>
      <c r="I687" s="22" t="n">
        <v>0</v>
      </c>
      <c r="J687" s="22" t="n">
        <v>0</v>
      </c>
      <c r="K687" s="22" t="n">
        <v>0</v>
      </c>
      <c r="L687" s="22" t="n">
        <v>0</v>
      </c>
      <c r="M687" s="22" t="n">
        <v>0</v>
      </c>
      <c r="N687" s="22" t="n">
        <v>0</v>
      </c>
      <c r="O687" s="22" t="n">
        <v>0</v>
      </c>
      <c r="P687" s="22" t="n">
        <v>0</v>
      </c>
      <c r="Q687" s="22" t="n">
        <v>0</v>
      </c>
      <c r="R687" s="22" t="n">
        <v>0</v>
      </c>
      <c r="S687" s="22" t="n">
        <v>0</v>
      </c>
      <c r="T687" s="22" t="n">
        <v>0</v>
      </c>
      <c r="U687" s="3">
        <f>IF(OR(N687=1,Q687=1),1,0)</f>
        <v/>
      </c>
      <c r="V687" s="3">
        <f>IF(OR(T687=1,P687=1),1,0)</f>
        <v/>
      </c>
      <c r="W687" s="3">
        <f>IF(OR(J687=1),1,0)</f>
        <v/>
      </c>
      <c r="X687" s="3">
        <f>IF(OR(I687=1,H687=1),1,0)</f>
        <v/>
      </c>
      <c r="Y687" s="3">
        <f>IF(OR(G687=1),1,0)</f>
        <v/>
      </c>
      <c r="Z687" s="3">
        <f>IF(OR(F687=1),1,0)</f>
        <v/>
      </c>
      <c r="AA687" s="3">
        <f>IF(OR(M687=1),1,0)</f>
        <v/>
      </c>
    </row>
    <row r="688">
      <c r="A688" s="22" t="inlineStr">
        <is>
          <t>28f215cfd9453d51d4e80ad7d96c81a31d98be02</t>
        </is>
      </c>
      <c r="B688" s="22" t="inlineStr">
        <is>
          <t>2026-10</t>
        </is>
      </c>
      <c r="C688" s="22" t="inlineStr">
        <is>
          <t>Nairaland</t>
        </is>
      </c>
      <c r="D688" s="22" t="n">
        <v>0</v>
      </c>
      <c r="E688" s="22" t="inlineStr">
        <is>
          <t>Nairaland: Nairaland</t>
        </is>
      </c>
      <c r="F688" s="22" t="inlineStr">
        <is>
          <t>nairaland:Nairaland</t>
        </is>
      </c>
      <c r="G688" s="22" t="n">
        <v>-0.862</v>
      </c>
      <c r="H688" s="22" t="n">
        <v>0</v>
      </c>
      <c r="I688" s="22" t="n">
        <v>0</v>
      </c>
      <c r="J688" s="22" t="n">
        <v>0</v>
      </c>
      <c r="K688" s="22" t="n">
        <v>0</v>
      </c>
      <c r="L688" s="22" t="n">
        <v>0</v>
      </c>
      <c r="M688" s="22" t="n">
        <v>1</v>
      </c>
      <c r="N688" s="22" t="n">
        <v>0</v>
      </c>
      <c r="O688" s="22" t="n">
        <v>0</v>
      </c>
      <c r="P688" s="22" t="n">
        <v>0</v>
      </c>
      <c r="Q688" s="22" t="n">
        <v>0</v>
      </c>
      <c r="R688" s="22" t="n">
        <v>0</v>
      </c>
      <c r="S688" s="22" t="n">
        <v>0</v>
      </c>
      <c r="T688" s="22" t="n">
        <v>0</v>
      </c>
      <c r="U688" s="3">
        <f>IF(OR(N688=1,Q688=1),1,0)</f>
        <v/>
      </c>
      <c r="V688" s="3">
        <f>IF(OR(T688=1,P688=1),1,0)</f>
        <v/>
      </c>
      <c r="W688" s="3">
        <f>IF(OR(J688=1),1,0)</f>
        <v/>
      </c>
      <c r="X688" s="3">
        <f>IF(OR(I688=1,H688=1),1,0)</f>
        <v/>
      </c>
      <c r="Y688" s="3">
        <f>IF(OR(G688=1),1,0)</f>
        <v/>
      </c>
      <c r="Z688" s="3">
        <f>IF(OR(F688=1),1,0)</f>
        <v/>
      </c>
      <c r="AA688" s="3">
        <f>IF(OR(M688=1),1,0)</f>
        <v/>
      </c>
    </row>
    <row r="689">
      <c r="A689" s="22" t="inlineStr">
        <is>
          <t>e2dd71150ced5fcd53c36b6a33d4a6e477cbccbe</t>
        </is>
      </c>
      <c r="B689" s="22" t="inlineStr">
        <is>
          <t>2026-10</t>
        </is>
      </c>
      <c r="C689" s="22" t="inlineStr">
        <is>
          <t>Nairaland</t>
        </is>
      </c>
      <c r="D689" s="22" t="n">
        <v>0</v>
      </c>
      <c r="E689" s="22" t="inlineStr">
        <is>
          <t>Nairaland: Nairaland</t>
        </is>
      </c>
      <c r="F689" s="22" t="inlineStr">
        <is>
          <t>nairaland:Nairaland</t>
        </is>
      </c>
      <c r="G689" s="22" t="n">
        <v>0</v>
      </c>
      <c r="H689" s="22" t="n">
        <v>0</v>
      </c>
      <c r="I689" s="22" t="n">
        <v>0</v>
      </c>
      <c r="J689" s="22" t="n">
        <v>0</v>
      </c>
      <c r="K689" s="22" t="n">
        <v>0</v>
      </c>
      <c r="L689" s="22" t="n">
        <v>0</v>
      </c>
      <c r="M689" s="22" t="n">
        <v>0</v>
      </c>
      <c r="N689" s="22" t="n">
        <v>0</v>
      </c>
      <c r="O689" s="22" t="n">
        <v>1</v>
      </c>
      <c r="P689" s="22" t="n">
        <v>0</v>
      </c>
      <c r="Q689" s="22" t="n">
        <v>0</v>
      </c>
      <c r="R689" s="22" t="n">
        <v>0</v>
      </c>
      <c r="S689" s="22" t="n">
        <v>0</v>
      </c>
      <c r="T689" s="22" t="n">
        <v>0</v>
      </c>
      <c r="U689" s="3">
        <f>IF(OR(N689=1,Q689=1),1,0)</f>
        <v/>
      </c>
      <c r="V689" s="3">
        <f>IF(OR(T689=1,P689=1),1,0)</f>
        <v/>
      </c>
      <c r="W689" s="3">
        <f>IF(OR(J689=1),1,0)</f>
        <v/>
      </c>
      <c r="X689" s="3">
        <f>IF(OR(I689=1,H689=1),1,0)</f>
        <v/>
      </c>
      <c r="Y689" s="3">
        <f>IF(OR(G689=1),1,0)</f>
        <v/>
      </c>
      <c r="Z689" s="3">
        <f>IF(OR(F689=1),1,0)</f>
        <v/>
      </c>
      <c r="AA689" s="3">
        <f>IF(OR(M689=1),1,0)</f>
        <v/>
      </c>
    </row>
    <row r="690">
      <c r="A690" s="22" t="inlineStr">
        <is>
          <t>ffd150813b7cd576164cad045c28bdc4074064be</t>
        </is>
      </c>
      <c r="B690" s="22" t="inlineStr">
        <is>
          <t>2026-10</t>
        </is>
      </c>
      <c r="C690" s="22" t="inlineStr">
        <is>
          <t>Nairaland</t>
        </is>
      </c>
      <c r="D690" s="22" t="n">
        <v>0</v>
      </c>
      <c r="E690" s="22" t="inlineStr">
        <is>
          <t>Nairaland: Nairaland</t>
        </is>
      </c>
      <c r="F690" s="22" t="inlineStr">
        <is>
          <t>nairaland:Nairaland</t>
        </is>
      </c>
      <c r="G690" s="22" t="n">
        <v>0.586</v>
      </c>
      <c r="H690" s="22" t="n">
        <v>1</v>
      </c>
      <c r="I690" s="22" t="n">
        <v>0</v>
      </c>
      <c r="J690" s="22" t="n">
        <v>0</v>
      </c>
      <c r="K690" s="22" t="n">
        <v>0</v>
      </c>
      <c r="L690" s="22" t="n">
        <v>0</v>
      </c>
      <c r="M690" s="22" t="n">
        <v>0</v>
      </c>
      <c r="N690" s="22" t="n">
        <v>0</v>
      </c>
      <c r="O690" s="22" t="n">
        <v>0</v>
      </c>
      <c r="P690" s="22" t="n">
        <v>0</v>
      </c>
      <c r="Q690" s="22" t="n">
        <v>0</v>
      </c>
      <c r="R690" s="22" t="n">
        <v>0</v>
      </c>
      <c r="S690" s="22" t="n">
        <v>0</v>
      </c>
      <c r="T690" s="22" t="n">
        <v>0</v>
      </c>
      <c r="U690" s="3">
        <f>IF(OR(N690=1,Q690=1),1,0)</f>
        <v/>
      </c>
      <c r="V690" s="3">
        <f>IF(OR(T690=1,P690=1),1,0)</f>
        <v/>
      </c>
      <c r="W690" s="3">
        <f>IF(OR(J690=1),1,0)</f>
        <v/>
      </c>
      <c r="X690" s="3">
        <f>IF(OR(I690=1,H690=1),1,0)</f>
        <v/>
      </c>
      <c r="Y690" s="3">
        <f>IF(OR(G690=1),1,0)</f>
        <v/>
      </c>
      <c r="Z690" s="3">
        <f>IF(OR(F690=1),1,0)</f>
        <v/>
      </c>
      <c r="AA690" s="3">
        <f>IF(OR(M690=1),1,0)</f>
        <v/>
      </c>
    </row>
    <row r="691">
      <c r="A691" s="22" t="inlineStr">
        <is>
          <t>807a94e8623ac4d233f9ddfb739199ffe937c09f</t>
        </is>
      </c>
      <c r="B691" s="22" t="inlineStr">
        <is>
          <t>2026-10</t>
        </is>
      </c>
      <c r="C691" s="22" t="inlineStr">
        <is>
          <t>Nairaland</t>
        </is>
      </c>
      <c r="D691" s="22" t="n">
        <v>0</v>
      </c>
      <c r="E691" s="22" t="inlineStr">
        <is>
          <t>Nairaland: Nairaland</t>
        </is>
      </c>
      <c r="F691" s="22" t="inlineStr">
        <is>
          <t>nairaland:Nairaland</t>
        </is>
      </c>
      <c r="G691" s="22" t="n">
        <v>-0.547</v>
      </c>
      <c r="H691" s="22" t="n">
        <v>0</v>
      </c>
      <c r="I691" s="22" t="n">
        <v>0</v>
      </c>
      <c r="J691" s="22" t="n">
        <v>0</v>
      </c>
      <c r="K691" s="22" t="n">
        <v>0</v>
      </c>
      <c r="L691" s="22" t="n">
        <v>0</v>
      </c>
      <c r="M691" s="22" t="n">
        <v>1</v>
      </c>
      <c r="N691" s="22" t="n">
        <v>0</v>
      </c>
      <c r="O691" s="22" t="n">
        <v>1</v>
      </c>
      <c r="P691" s="22" t="n">
        <v>0</v>
      </c>
      <c r="Q691" s="22" t="n">
        <v>0</v>
      </c>
      <c r="R691" s="22" t="n">
        <v>0</v>
      </c>
      <c r="S691" s="22" t="n">
        <v>0</v>
      </c>
      <c r="T691" s="22" t="n">
        <v>0</v>
      </c>
      <c r="U691" s="3">
        <f>IF(OR(N691=1,Q691=1),1,0)</f>
        <v/>
      </c>
      <c r="V691" s="3">
        <f>IF(OR(T691=1,P691=1),1,0)</f>
        <v/>
      </c>
      <c r="W691" s="3">
        <f>IF(OR(J691=1),1,0)</f>
        <v/>
      </c>
      <c r="X691" s="3">
        <f>IF(OR(I691=1,H691=1),1,0)</f>
        <v/>
      </c>
      <c r="Y691" s="3">
        <f>IF(OR(G691=1),1,0)</f>
        <v/>
      </c>
      <c r="Z691" s="3">
        <f>IF(OR(F691=1),1,0)</f>
        <v/>
      </c>
      <c r="AA691" s="3">
        <f>IF(OR(M691=1),1,0)</f>
        <v/>
      </c>
    </row>
    <row r="692">
      <c r="A692" s="22" t="inlineStr">
        <is>
          <t>07840ca0a064402f404cbff3a080a55c107cfbeb</t>
        </is>
      </c>
      <c r="B692" s="22" t="inlineStr">
        <is>
          <t>2026-10</t>
        </is>
      </c>
      <c r="C692" s="22" t="inlineStr">
        <is>
          <t>Nairaland</t>
        </is>
      </c>
      <c r="D692" s="22" t="n">
        <v>0</v>
      </c>
      <c r="E692" s="22" t="inlineStr">
        <is>
          <t>Nairaland: Nairaland</t>
        </is>
      </c>
      <c r="F692" s="22" t="inlineStr">
        <is>
          <t>nairaland:Nairaland</t>
        </is>
      </c>
      <c r="G692" s="22" t="n">
        <v>-0.822</v>
      </c>
      <c r="H692" s="22" t="n">
        <v>1</v>
      </c>
      <c r="I692" s="22" t="n">
        <v>0</v>
      </c>
      <c r="J692" s="22" t="n">
        <v>0</v>
      </c>
      <c r="K692" s="22" t="n">
        <v>0</v>
      </c>
      <c r="L692" s="22" t="n">
        <v>0</v>
      </c>
      <c r="M692" s="22" t="n">
        <v>0</v>
      </c>
      <c r="N692" s="22" t="n">
        <v>0</v>
      </c>
      <c r="O692" s="22" t="n">
        <v>0</v>
      </c>
      <c r="P692" s="22" t="n">
        <v>0</v>
      </c>
      <c r="Q692" s="22" t="n">
        <v>0</v>
      </c>
      <c r="R692" s="22" t="n">
        <v>0</v>
      </c>
      <c r="S692" s="22" t="n">
        <v>0</v>
      </c>
      <c r="T692" s="22" t="n">
        <v>0</v>
      </c>
      <c r="U692" s="3">
        <f>IF(OR(N692=1,Q692=1),1,0)</f>
        <v/>
      </c>
      <c r="V692" s="3">
        <f>IF(OR(T692=1,P692=1),1,0)</f>
        <v/>
      </c>
      <c r="W692" s="3">
        <f>IF(OR(J692=1),1,0)</f>
        <v/>
      </c>
      <c r="X692" s="3">
        <f>IF(OR(I692=1,H692=1),1,0)</f>
        <v/>
      </c>
      <c r="Y692" s="3">
        <f>IF(OR(G692=1),1,0)</f>
        <v/>
      </c>
      <c r="Z692" s="3">
        <f>IF(OR(F692=1),1,0)</f>
        <v/>
      </c>
      <c r="AA692" s="3">
        <f>IF(OR(M692=1),1,0)</f>
        <v/>
      </c>
    </row>
    <row r="693">
      <c r="A693" s="22" t="inlineStr">
        <is>
          <t>3d488e7674c1683b701703df0b83b5b41ffd39ce</t>
        </is>
      </c>
      <c r="B693" s="22" t="inlineStr">
        <is>
          <t>2026-10</t>
        </is>
      </c>
      <c r="C693" s="22" t="inlineStr">
        <is>
          <t>Nairaland</t>
        </is>
      </c>
      <c r="D693" s="22" t="n">
        <v>0</v>
      </c>
      <c r="E693" s="22" t="inlineStr">
        <is>
          <t>Nairaland: Nairaland</t>
        </is>
      </c>
      <c r="F693" s="22" t="inlineStr">
        <is>
          <t>nairaland:Nairaland</t>
        </is>
      </c>
      <c r="G693" s="22" t="n">
        <v>-0.921</v>
      </c>
      <c r="H693" s="22" t="n">
        <v>1</v>
      </c>
      <c r="I693" s="22" t="n">
        <v>0</v>
      </c>
      <c r="J693" s="22" t="n">
        <v>0</v>
      </c>
      <c r="K693" s="22" t="n">
        <v>0</v>
      </c>
      <c r="L693" s="22" t="n">
        <v>0</v>
      </c>
      <c r="M693" s="22" t="n">
        <v>0</v>
      </c>
      <c r="N693" s="22" t="n">
        <v>0</v>
      </c>
      <c r="O693" s="22" t="n">
        <v>0</v>
      </c>
      <c r="P693" s="22" t="n">
        <v>0</v>
      </c>
      <c r="Q693" s="22" t="n">
        <v>0</v>
      </c>
      <c r="R693" s="22" t="n">
        <v>0</v>
      </c>
      <c r="S693" s="22" t="n">
        <v>0</v>
      </c>
      <c r="T693" s="22" t="n">
        <v>0</v>
      </c>
      <c r="U693" s="3">
        <f>IF(OR(N693=1,Q693=1),1,0)</f>
        <v/>
      </c>
      <c r="V693" s="3">
        <f>IF(OR(T693=1,P693=1),1,0)</f>
        <v/>
      </c>
      <c r="W693" s="3">
        <f>IF(OR(J693=1),1,0)</f>
        <v/>
      </c>
      <c r="X693" s="3">
        <f>IF(OR(I693=1,H693=1),1,0)</f>
        <v/>
      </c>
      <c r="Y693" s="3">
        <f>IF(OR(G693=1),1,0)</f>
        <v/>
      </c>
      <c r="Z693" s="3">
        <f>IF(OR(F693=1),1,0)</f>
        <v/>
      </c>
      <c r="AA693" s="3">
        <f>IF(OR(M693=1),1,0)</f>
        <v/>
      </c>
    </row>
    <row r="694">
      <c r="A694" s="22" t="inlineStr">
        <is>
          <t>31d040c3d946df422516dca73af748ebff87d5d0</t>
        </is>
      </c>
      <c r="B694" s="22" t="inlineStr">
        <is>
          <t>2026-10</t>
        </is>
      </c>
      <c r="C694" s="22" t="inlineStr">
        <is>
          <t>Nairaland</t>
        </is>
      </c>
      <c r="D694" s="22" t="n">
        <v>0</v>
      </c>
      <c r="E694" s="22" t="inlineStr">
        <is>
          <t>Nairaland: Nairaland</t>
        </is>
      </c>
      <c r="F694" s="22" t="inlineStr">
        <is>
          <t>nairaland:Nairaland</t>
        </is>
      </c>
      <c r="G694" s="22" t="n">
        <v>-0.652</v>
      </c>
      <c r="H694" s="22" t="n">
        <v>1</v>
      </c>
      <c r="I694" s="22" t="n">
        <v>0</v>
      </c>
      <c r="J694" s="22" t="n">
        <v>0</v>
      </c>
      <c r="K694" s="22" t="n">
        <v>0</v>
      </c>
      <c r="L694" s="22" t="n">
        <v>0</v>
      </c>
      <c r="M694" s="22" t="n">
        <v>0</v>
      </c>
      <c r="N694" s="22" t="n">
        <v>0</v>
      </c>
      <c r="O694" s="22" t="n">
        <v>0</v>
      </c>
      <c r="P694" s="22" t="n">
        <v>0</v>
      </c>
      <c r="Q694" s="22" t="n">
        <v>0</v>
      </c>
      <c r="R694" s="22" t="n">
        <v>0</v>
      </c>
      <c r="S694" s="22" t="n">
        <v>0</v>
      </c>
      <c r="T694" s="22" t="n">
        <v>0</v>
      </c>
      <c r="U694" s="3">
        <f>IF(OR(N694=1,Q694=1),1,0)</f>
        <v/>
      </c>
      <c r="V694" s="3">
        <f>IF(OR(T694=1,P694=1),1,0)</f>
        <v/>
      </c>
      <c r="W694" s="3">
        <f>IF(OR(J694=1),1,0)</f>
        <v/>
      </c>
      <c r="X694" s="3">
        <f>IF(OR(I694=1,H694=1),1,0)</f>
        <v/>
      </c>
      <c r="Y694" s="3">
        <f>IF(OR(G694=1),1,0)</f>
        <v/>
      </c>
      <c r="Z694" s="3">
        <f>IF(OR(F694=1),1,0)</f>
        <v/>
      </c>
      <c r="AA694" s="3">
        <f>IF(OR(M694=1),1,0)</f>
        <v/>
      </c>
    </row>
    <row r="695">
      <c r="A695" s="22" t="inlineStr">
        <is>
          <t>eb24b9c90f950f6e49657f53baacd594b0039c78</t>
        </is>
      </c>
      <c r="B695" s="22" t="inlineStr">
        <is>
          <t>2026-10</t>
        </is>
      </c>
      <c r="C695" s="22" t="inlineStr">
        <is>
          <t>Nairaland</t>
        </is>
      </c>
      <c r="D695" s="22" t="n">
        <v>0</v>
      </c>
      <c r="E695" s="22" t="inlineStr">
        <is>
          <t>Nairaland: Nairaland</t>
        </is>
      </c>
      <c r="F695" s="22" t="inlineStr">
        <is>
          <t>nairaland:Nairaland</t>
        </is>
      </c>
      <c r="G695" s="22" t="n">
        <v>-0.895</v>
      </c>
      <c r="H695" s="22" t="n">
        <v>1</v>
      </c>
      <c r="I695" s="22" t="n">
        <v>0</v>
      </c>
      <c r="J695" s="22" t="n">
        <v>0</v>
      </c>
      <c r="K695" s="22" t="n">
        <v>0</v>
      </c>
      <c r="L695" s="22" t="n">
        <v>0</v>
      </c>
      <c r="M695" s="22" t="n">
        <v>0</v>
      </c>
      <c r="N695" s="22" t="n">
        <v>0</v>
      </c>
      <c r="O695" s="22" t="n">
        <v>0</v>
      </c>
      <c r="P695" s="22" t="n">
        <v>0</v>
      </c>
      <c r="Q695" s="22" t="n">
        <v>0</v>
      </c>
      <c r="R695" s="22" t="n">
        <v>0</v>
      </c>
      <c r="S695" s="22" t="n">
        <v>0</v>
      </c>
      <c r="T695" s="22" t="n">
        <v>0</v>
      </c>
      <c r="U695" s="3">
        <f>IF(OR(N695=1,Q695=1),1,0)</f>
        <v/>
      </c>
      <c r="V695" s="3">
        <f>IF(OR(T695=1,P695=1),1,0)</f>
        <v/>
      </c>
      <c r="W695" s="3">
        <f>IF(OR(J695=1),1,0)</f>
        <v/>
      </c>
      <c r="X695" s="3">
        <f>IF(OR(I695=1,H695=1),1,0)</f>
        <v/>
      </c>
      <c r="Y695" s="3">
        <f>IF(OR(G695=1),1,0)</f>
        <v/>
      </c>
      <c r="Z695" s="3">
        <f>IF(OR(F695=1),1,0)</f>
        <v/>
      </c>
      <c r="AA695" s="3">
        <f>IF(OR(M695=1),1,0)</f>
        <v/>
      </c>
    </row>
    <row r="696">
      <c r="A696" s="22" t="inlineStr">
        <is>
          <t>d06a858cdd7fbbba71b44d51f38a96d4181dfdbc</t>
        </is>
      </c>
      <c r="B696" s="22" t="inlineStr">
        <is>
          <t>2026-10</t>
        </is>
      </c>
      <c r="C696" s="22" t="inlineStr">
        <is>
          <t>Nairaland</t>
        </is>
      </c>
      <c r="D696" s="22" t="n">
        <v>0</v>
      </c>
      <c r="E696" s="22" t="inlineStr">
        <is>
          <t>Nairaland: Nairaland</t>
        </is>
      </c>
      <c r="F696" s="22" t="inlineStr">
        <is>
          <t>nairaland:Nairaland</t>
        </is>
      </c>
      <c r="G696" s="22" t="n">
        <v>-0.202</v>
      </c>
      <c r="H696" s="22" t="n">
        <v>1</v>
      </c>
      <c r="I696" s="22" t="n">
        <v>0</v>
      </c>
      <c r="J696" s="22" t="n">
        <v>0</v>
      </c>
      <c r="K696" s="22" t="n">
        <v>0</v>
      </c>
      <c r="L696" s="22" t="n">
        <v>0</v>
      </c>
      <c r="M696" s="22" t="n">
        <v>0</v>
      </c>
      <c r="N696" s="22" t="n">
        <v>0</v>
      </c>
      <c r="O696" s="22" t="n">
        <v>0</v>
      </c>
      <c r="P696" s="22" t="n">
        <v>0</v>
      </c>
      <c r="Q696" s="22" t="n">
        <v>0</v>
      </c>
      <c r="R696" s="22" t="n">
        <v>0</v>
      </c>
      <c r="S696" s="22" t="n">
        <v>0</v>
      </c>
      <c r="T696" s="22" t="n">
        <v>0</v>
      </c>
      <c r="U696" s="3">
        <f>IF(OR(N696=1,Q696=1),1,0)</f>
        <v/>
      </c>
      <c r="V696" s="3">
        <f>IF(OR(T696=1,P696=1),1,0)</f>
        <v/>
      </c>
      <c r="W696" s="3">
        <f>IF(OR(J696=1),1,0)</f>
        <v/>
      </c>
      <c r="X696" s="3">
        <f>IF(OR(I696=1,H696=1),1,0)</f>
        <v/>
      </c>
      <c r="Y696" s="3">
        <f>IF(OR(G696=1),1,0)</f>
        <v/>
      </c>
      <c r="Z696" s="3">
        <f>IF(OR(F696=1),1,0)</f>
        <v/>
      </c>
      <c r="AA696" s="3">
        <f>IF(OR(M696=1),1,0)</f>
        <v/>
      </c>
    </row>
    <row r="697">
      <c r="A697" s="22" t="inlineStr">
        <is>
          <t>c9cb9106b7fd8ce2236077eff7f08fcf21854b92</t>
        </is>
      </c>
      <c r="B697" s="22" t="inlineStr">
        <is>
          <t>2026-10</t>
        </is>
      </c>
      <c r="C697" s="22" t="inlineStr">
        <is>
          <t>Nairaland</t>
        </is>
      </c>
      <c r="D697" s="22" t="n">
        <v>0</v>
      </c>
      <c r="E697" s="22" t="inlineStr">
        <is>
          <t>Nairaland: Nairaland</t>
        </is>
      </c>
      <c r="F697" s="22" t="inlineStr">
        <is>
          <t>nairaland:Nairaland</t>
        </is>
      </c>
      <c r="G697" s="22" t="n">
        <v>-0.318</v>
      </c>
      <c r="H697" s="22" t="n">
        <v>1</v>
      </c>
      <c r="I697" s="22" t="n">
        <v>0</v>
      </c>
      <c r="J697" s="22" t="n">
        <v>0</v>
      </c>
      <c r="K697" s="22" t="n">
        <v>0</v>
      </c>
      <c r="L697" s="22" t="n">
        <v>0</v>
      </c>
      <c r="M697" s="22" t="n">
        <v>0</v>
      </c>
      <c r="N697" s="22" t="n">
        <v>0</v>
      </c>
      <c r="O697" s="22" t="n">
        <v>0</v>
      </c>
      <c r="P697" s="22" t="n">
        <v>0</v>
      </c>
      <c r="Q697" s="22" t="n">
        <v>0</v>
      </c>
      <c r="R697" s="22" t="n">
        <v>0</v>
      </c>
      <c r="S697" s="22" t="n">
        <v>0</v>
      </c>
      <c r="T697" s="22" t="n">
        <v>0</v>
      </c>
      <c r="U697" s="3">
        <f>IF(OR(N697=1,Q697=1),1,0)</f>
        <v/>
      </c>
      <c r="V697" s="3">
        <f>IF(OR(T697=1,P697=1),1,0)</f>
        <v/>
      </c>
      <c r="W697" s="3">
        <f>IF(OR(J697=1),1,0)</f>
        <v/>
      </c>
      <c r="X697" s="3">
        <f>IF(OR(I697=1,H697=1),1,0)</f>
        <v/>
      </c>
      <c r="Y697" s="3">
        <f>IF(OR(G697=1),1,0)</f>
        <v/>
      </c>
      <c r="Z697" s="3">
        <f>IF(OR(F697=1),1,0)</f>
        <v/>
      </c>
      <c r="AA697" s="3">
        <f>IF(OR(M697=1),1,0)</f>
        <v/>
      </c>
    </row>
    <row r="698">
      <c r="A698" s="22" t="inlineStr">
        <is>
          <t>908d8acc8deb544b87a65d58d92420397f7d58d6</t>
        </is>
      </c>
      <c r="B698" s="22" t="inlineStr">
        <is>
          <t>2026-10</t>
        </is>
      </c>
      <c r="C698" s="22" t="inlineStr">
        <is>
          <t>Nairaland</t>
        </is>
      </c>
      <c r="D698" s="22" t="n">
        <v>0</v>
      </c>
      <c r="E698" s="22" t="inlineStr">
        <is>
          <t>Nairaland: Nairaland</t>
        </is>
      </c>
      <c r="F698" s="22" t="inlineStr">
        <is>
          <t>nairaland:Nairaland</t>
        </is>
      </c>
      <c r="G698" s="22" t="n">
        <v>-0.698</v>
      </c>
      <c r="H698" s="22" t="n">
        <v>1</v>
      </c>
      <c r="I698" s="22" t="n">
        <v>0</v>
      </c>
      <c r="J698" s="22" t="n">
        <v>0</v>
      </c>
      <c r="K698" s="22" t="n">
        <v>0</v>
      </c>
      <c r="L698" s="22" t="n">
        <v>0</v>
      </c>
      <c r="M698" s="22" t="n">
        <v>0</v>
      </c>
      <c r="N698" s="22" t="n">
        <v>0</v>
      </c>
      <c r="O698" s="22" t="n">
        <v>0</v>
      </c>
      <c r="P698" s="22" t="n">
        <v>0</v>
      </c>
      <c r="Q698" s="22" t="n">
        <v>0</v>
      </c>
      <c r="R698" s="22" t="n">
        <v>0</v>
      </c>
      <c r="S698" s="22" t="n">
        <v>0</v>
      </c>
      <c r="T698" s="22" t="n">
        <v>0</v>
      </c>
      <c r="U698" s="3">
        <f>IF(OR(N698=1,Q698=1),1,0)</f>
        <v/>
      </c>
      <c r="V698" s="3">
        <f>IF(OR(T698=1,P698=1),1,0)</f>
        <v/>
      </c>
      <c r="W698" s="3">
        <f>IF(OR(J698=1),1,0)</f>
        <v/>
      </c>
      <c r="X698" s="3">
        <f>IF(OR(I698=1,H698=1),1,0)</f>
        <v/>
      </c>
      <c r="Y698" s="3">
        <f>IF(OR(G698=1),1,0)</f>
        <v/>
      </c>
      <c r="Z698" s="3">
        <f>IF(OR(F698=1),1,0)</f>
        <v/>
      </c>
      <c r="AA698" s="3">
        <f>IF(OR(M698=1),1,0)</f>
        <v/>
      </c>
    </row>
    <row r="699">
      <c r="A699" s="22" t="inlineStr">
        <is>
          <t>d17e3142f609b2e55742047a49b6e240930c1d42</t>
        </is>
      </c>
      <c r="B699" s="22" t="inlineStr">
        <is>
          <t>2026-10</t>
        </is>
      </c>
      <c r="C699" s="22" t="inlineStr">
        <is>
          <t>Nairaland</t>
        </is>
      </c>
      <c r="D699" s="22" t="n">
        <v>0</v>
      </c>
      <c r="E699" s="22" t="inlineStr">
        <is>
          <t>Nairaland: Nairaland</t>
        </is>
      </c>
      <c r="F699" s="22" t="inlineStr">
        <is>
          <t>nairaland:Nairaland</t>
        </is>
      </c>
      <c r="G699" s="22" t="n">
        <v>-0.586</v>
      </c>
      <c r="H699" s="22" t="n">
        <v>1</v>
      </c>
      <c r="I699" s="22" t="n">
        <v>0</v>
      </c>
      <c r="J699" s="22" t="n">
        <v>0</v>
      </c>
      <c r="K699" s="22" t="n">
        <v>0</v>
      </c>
      <c r="L699" s="22" t="n">
        <v>0</v>
      </c>
      <c r="M699" s="22" t="n">
        <v>0</v>
      </c>
      <c r="N699" s="22" t="n">
        <v>0</v>
      </c>
      <c r="O699" s="22" t="n">
        <v>0</v>
      </c>
      <c r="P699" s="22" t="n">
        <v>0</v>
      </c>
      <c r="Q699" s="22" t="n">
        <v>0</v>
      </c>
      <c r="R699" s="22" t="n">
        <v>0</v>
      </c>
      <c r="S699" s="22" t="n">
        <v>0</v>
      </c>
      <c r="T699" s="22" t="n">
        <v>0</v>
      </c>
      <c r="U699" s="3">
        <f>IF(OR(N699=1,Q699=1),1,0)</f>
        <v/>
      </c>
      <c r="V699" s="3">
        <f>IF(OR(T699=1,P699=1),1,0)</f>
        <v/>
      </c>
      <c r="W699" s="3">
        <f>IF(OR(J699=1),1,0)</f>
        <v/>
      </c>
      <c r="X699" s="3">
        <f>IF(OR(I699=1,H699=1),1,0)</f>
        <v/>
      </c>
      <c r="Y699" s="3">
        <f>IF(OR(G699=1),1,0)</f>
        <v/>
      </c>
      <c r="Z699" s="3">
        <f>IF(OR(F699=1),1,0)</f>
        <v/>
      </c>
      <c r="AA699" s="3">
        <f>IF(OR(M699=1),1,0)</f>
        <v/>
      </c>
    </row>
    <row r="700">
      <c r="A700" s="22" t="inlineStr">
        <is>
          <t>a5424ca7fc3b546155642b3851fb052221197d0d</t>
        </is>
      </c>
      <c r="B700" s="22" t="inlineStr">
        <is>
          <t>2026-10</t>
        </is>
      </c>
      <c r="C700" s="22" t="inlineStr">
        <is>
          <t>Nairaland</t>
        </is>
      </c>
      <c r="D700" s="22" t="n">
        <v>0</v>
      </c>
      <c r="E700" s="22" t="inlineStr">
        <is>
          <t>Nairaland: Nairaland</t>
        </is>
      </c>
      <c r="F700" s="22" t="inlineStr">
        <is>
          <t>nairaland:Nairaland</t>
        </is>
      </c>
      <c r="G700" s="22" t="n">
        <v>0.681</v>
      </c>
      <c r="H700" s="22" t="n">
        <v>1</v>
      </c>
      <c r="I700" s="22" t="n">
        <v>0</v>
      </c>
      <c r="J700" s="22" t="n">
        <v>0</v>
      </c>
      <c r="K700" s="22" t="n">
        <v>0</v>
      </c>
      <c r="L700" s="22" t="n">
        <v>0</v>
      </c>
      <c r="M700" s="22" t="n">
        <v>0</v>
      </c>
      <c r="N700" s="22" t="n">
        <v>0</v>
      </c>
      <c r="O700" s="22" t="n">
        <v>0</v>
      </c>
      <c r="P700" s="22" t="n">
        <v>0</v>
      </c>
      <c r="Q700" s="22" t="n">
        <v>0</v>
      </c>
      <c r="R700" s="22" t="n">
        <v>0</v>
      </c>
      <c r="S700" s="22" t="n">
        <v>0</v>
      </c>
      <c r="T700" s="22" t="n">
        <v>0</v>
      </c>
      <c r="U700" s="3">
        <f>IF(OR(N700=1,Q700=1),1,0)</f>
        <v/>
      </c>
      <c r="V700" s="3">
        <f>IF(OR(T700=1,P700=1),1,0)</f>
        <v/>
      </c>
      <c r="W700" s="3">
        <f>IF(OR(J700=1),1,0)</f>
        <v/>
      </c>
      <c r="X700" s="3">
        <f>IF(OR(I700=1,H700=1),1,0)</f>
        <v/>
      </c>
      <c r="Y700" s="3">
        <f>IF(OR(G700=1),1,0)</f>
        <v/>
      </c>
      <c r="Z700" s="3">
        <f>IF(OR(F700=1),1,0)</f>
        <v/>
      </c>
      <c r="AA700" s="3">
        <f>IF(OR(M700=1),1,0)</f>
        <v/>
      </c>
    </row>
    <row r="701">
      <c r="A701" s="22" t="inlineStr">
        <is>
          <t>9a61943468bab856997d40ab8a9db84c74bf18c7</t>
        </is>
      </c>
      <c r="B701" s="22" t="inlineStr">
        <is>
          <t>2026-10</t>
        </is>
      </c>
      <c r="C701" s="22" t="inlineStr">
        <is>
          <t>Nairaland</t>
        </is>
      </c>
      <c r="D701" s="22" t="n">
        <v>0</v>
      </c>
      <c r="E701" s="22" t="inlineStr">
        <is>
          <t>Nairaland: Nairaland</t>
        </is>
      </c>
      <c r="F701" s="22" t="inlineStr">
        <is>
          <t>nairaland:Nairaland</t>
        </is>
      </c>
      <c r="G701" s="22" t="n">
        <v>-0.273</v>
      </c>
      <c r="H701" s="22" t="n">
        <v>1</v>
      </c>
      <c r="I701" s="22" t="n">
        <v>0</v>
      </c>
      <c r="J701" s="22" t="n">
        <v>0</v>
      </c>
      <c r="K701" s="22" t="n">
        <v>0</v>
      </c>
      <c r="L701" s="22" t="n">
        <v>0</v>
      </c>
      <c r="M701" s="22" t="n">
        <v>0</v>
      </c>
      <c r="N701" s="22" t="n">
        <v>0</v>
      </c>
      <c r="O701" s="22" t="n">
        <v>0</v>
      </c>
      <c r="P701" s="22" t="n">
        <v>0</v>
      </c>
      <c r="Q701" s="22" t="n">
        <v>0</v>
      </c>
      <c r="R701" s="22" t="n">
        <v>0</v>
      </c>
      <c r="S701" s="22" t="n">
        <v>0</v>
      </c>
      <c r="T701" s="22" t="n">
        <v>0</v>
      </c>
      <c r="U701" s="3">
        <f>IF(OR(N701=1,Q701=1),1,0)</f>
        <v/>
      </c>
      <c r="V701" s="3">
        <f>IF(OR(T701=1,P701=1),1,0)</f>
        <v/>
      </c>
      <c r="W701" s="3">
        <f>IF(OR(J701=1),1,0)</f>
        <v/>
      </c>
      <c r="X701" s="3">
        <f>IF(OR(I701=1,H701=1),1,0)</f>
        <v/>
      </c>
      <c r="Y701" s="3">
        <f>IF(OR(G701=1),1,0)</f>
        <v/>
      </c>
      <c r="Z701" s="3">
        <f>IF(OR(F701=1),1,0)</f>
        <v/>
      </c>
      <c r="AA701" s="3">
        <f>IF(OR(M701=1),1,0)</f>
        <v/>
      </c>
    </row>
    <row r="702">
      <c r="A702" s="22" t="inlineStr">
        <is>
          <t>f3adb872a4fa669e2e35fc97b305d04734e4ecf6</t>
        </is>
      </c>
      <c r="B702" s="22" t="inlineStr">
        <is>
          <t>2026-10</t>
        </is>
      </c>
      <c r="C702" s="22" t="inlineStr">
        <is>
          <t>Nairaland</t>
        </is>
      </c>
      <c r="D702" s="22" t="n">
        <v>0</v>
      </c>
      <c r="E702" s="22" t="inlineStr">
        <is>
          <t>Nairaland: Nairaland</t>
        </is>
      </c>
      <c r="F702" s="22" t="inlineStr">
        <is>
          <t>nairaland:Nairaland</t>
        </is>
      </c>
      <c r="G702" s="22" t="n">
        <v>0.774</v>
      </c>
      <c r="H702" s="22" t="n">
        <v>1</v>
      </c>
      <c r="I702" s="22" t="n">
        <v>0</v>
      </c>
      <c r="J702" s="22" t="n">
        <v>0</v>
      </c>
      <c r="K702" s="22" t="n">
        <v>0</v>
      </c>
      <c r="L702" s="22" t="n">
        <v>0</v>
      </c>
      <c r="M702" s="22" t="n">
        <v>0</v>
      </c>
      <c r="N702" s="22" t="n">
        <v>0</v>
      </c>
      <c r="O702" s="22" t="n">
        <v>0</v>
      </c>
      <c r="P702" s="22" t="n">
        <v>0</v>
      </c>
      <c r="Q702" s="22" t="n">
        <v>0</v>
      </c>
      <c r="R702" s="22" t="n">
        <v>0</v>
      </c>
      <c r="S702" s="22" t="n">
        <v>0</v>
      </c>
      <c r="T702" s="22" t="n">
        <v>0</v>
      </c>
      <c r="U702" s="3">
        <f>IF(OR(N702=1,Q702=1),1,0)</f>
        <v/>
      </c>
      <c r="V702" s="3">
        <f>IF(OR(T702=1,P702=1),1,0)</f>
        <v/>
      </c>
      <c r="W702" s="3">
        <f>IF(OR(J702=1),1,0)</f>
        <v/>
      </c>
      <c r="X702" s="3">
        <f>IF(OR(I702=1,H702=1),1,0)</f>
        <v/>
      </c>
      <c r="Y702" s="3">
        <f>IF(OR(G702=1),1,0)</f>
        <v/>
      </c>
      <c r="Z702" s="3">
        <f>IF(OR(F702=1),1,0)</f>
        <v/>
      </c>
      <c r="AA702" s="3">
        <f>IF(OR(M702=1),1,0)</f>
        <v/>
      </c>
    </row>
    <row r="703">
      <c r="A703" s="22" t="inlineStr">
        <is>
          <t>941ed5c90bafa7676f89638d9103324da00b19fa</t>
        </is>
      </c>
      <c r="B703" s="22" t="inlineStr">
        <is>
          <t>2026-10</t>
        </is>
      </c>
      <c r="C703" s="22" t="inlineStr">
        <is>
          <t>Nairaland</t>
        </is>
      </c>
      <c r="D703" s="22" t="n">
        <v>0</v>
      </c>
      <c r="E703" s="22" t="inlineStr">
        <is>
          <t>Nairaland: Nairaland</t>
        </is>
      </c>
      <c r="F703" s="22" t="inlineStr">
        <is>
          <t>nairaland:Nairaland</t>
        </is>
      </c>
      <c r="G703" s="22" t="n">
        <v>-0.735</v>
      </c>
      <c r="H703" s="22" t="n">
        <v>1</v>
      </c>
      <c r="I703" s="22" t="n">
        <v>0</v>
      </c>
      <c r="J703" s="22" t="n">
        <v>0</v>
      </c>
      <c r="K703" s="22" t="n">
        <v>0</v>
      </c>
      <c r="L703" s="22" t="n">
        <v>0</v>
      </c>
      <c r="M703" s="22" t="n">
        <v>0</v>
      </c>
      <c r="N703" s="22" t="n">
        <v>0</v>
      </c>
      <c r="O703" s="22" t="n">
        <v>0</v>
      </c>
      <c r="P703" s="22" t="n">
        <v>0</v>
      </c>
      <c r="Q703" s="22" t="n">
        <v>0</v>
      </c>
      <c r="R703" s="22" t="n">
        <v>0</v>
      </c>
      <c r="S703" s="22" t="n">
        <v>0</v>
      </c>
      <c r="T703" s="22" t="n">
        <v>0</v>
      </c>
      <c r="U703" s="3">
        <f>IF(OR(N703=1,Q703=1),1,0)</f>
        <v/>
      </c>
      <c r="V703" s="3">
        <f>IF(OR(T703=1,P703=1),1,0)</f>
        <v/>
      </c>
      <c r="W703" s="3">
        <f>IF(OR(J703=1),1,0)</f>
        <v/>
      </c>
      <c r="X703" s="3">
        <f>IF(OR(I703=1,H703=1),1,0)</f>
        <v/>
      </c>
      <c r="Y703" s="3">
        <f>IF(OR(G703=1),1,0)</f>
        <v/>
      </c>
      <c r="Z703" s="3">
        <f>IF(OR(F703=1),1,0)</f>
        <v/>
      </c>
      <c r="AA703" s="3">
        <f>IF(OR(M703=1),1,0)</f>
        <v/>
      </c>
    </row>
    <row r="704">
      <c r="A704" s="22" t="inlineStr">
        <is>
          <t>87fd92bfd2fd4fbc6d82c0410a76f8c266d5bfec</t>
        </is>
      </c>
      <c r="B704" s="22" t="inlineStr">
        <is>
          <t>2026-10</t>
        </is>
      </c>
      <c r="C704" s="22" t="inlineStr">
        <is>
          <t>Nairaland</t>
        </is>
      </c>
      <c r="D704" s="22" t="n">
        <v>0</v>
      </c>
      <c r="E704" s="22" t="inlineStr">
        <is>
          <t>Nairaland: Nairaland</t>
        </is>
      </c>
      <c r="F704" s="22" t="inlineStr">
        <is>
          <t>nairaland:Nairaland</t>
        </is>
      </c>
      <c r="G704" s="22" t="n">
        <v>-0.822</v>
      </c>
      <c r="H704" s="22" t="n">
        <v>1</v>
      </c>
      <c r="I704" s="22" t="n">
        <v>0</v>
      </c>
      <c r="J704" s="22" t="n">
        <v>0</v>
      </c>
      <c r="K704" s="22" t="n">
        <v>0</v>
      </c>
      <c r="L704" s="22" t="n">
        <v>0</v>
      </c>
      <c r="M704" s="22" t="n">
        <v>1</v>
      </c>
      <c r="N704" s="22" t="n">
        <v>0</v>
      </c>
      <c r="O704" s="22" t="n">
        <v>0</v>
      </c>
      <c r="P704" s="22" t="n">
        <v>0</v>
      </c>
      <c r="Q704" s="22" t="n">
        <v>0</v>
      </c>
      <c r="R704" s="22" t="n">
        <v>0</v>
      </c>
      <c r="S704" s="22" t="n">
        <v>0</v>
      </c>
      <c r="T704" s="22" t="n">
        <v>0</v>
      </c>
      <c r="U704" s="3">
        <f>IF(OR(N704=1,Q704=1),1,0)</f>
        <v/>
      </c>
      <c r="V704" s="3">
        <f>IF(OR(T704=1,P704=1),1,0)</f>
        <v/>
      </c>
      <c r="W704" s="3">
        <f>IF(OR(J704=1),1,0)</f>
        <v/>
      </c>
      <c r="X704" s="3">
        <f>IF(OR(I704=1,H704=1),1,0)</f>
        <v/>
      </c>
      <c r="Y704" s="3">
        <f>IF(OR(G704=1),1,0)</f>
        <v/>
      </c>
      <c r="Z704" s="3">
        <f>IF(OR(F704=1),1,0)</f>
        <v/>
      </c>
      <c r="AA704" s="3">
        <f>IF(OR(M704=1),1,0)</f>
        <v/>
      </c>
    </row>
    <row r="705">
      <c r="A705" s="22" t="inlineStr">
        <is>
          <t>21d24f2bad5a3978d6ac1029b73866563801ff5a</t>
        </is>
      </c>
      <c r="B705" s="22" t="inlineStr">
        <is>
          <t>2026-10</t>
        </is>
      </c>
      <c r="C705" s="22" t="inlineStr">
        <is>
          <t>Nairaland</t>
        </is>
      </c>
      <c r="D705" s="22" t="n">
        <v>0</v>
      </c>
      <c r="E705" s="22" t="inlineStr">
        <is>
          <t>Nairaland: Nairaland</t>
        </is>
      </c>
      <c r="F705" s="22" t="inlineStr">
        <is>
          <t>nairaland:Nairaland</t>
        </is>
      </c>
      <c r="G705" s="22" t="n">
        <v>-0.586</v>
      </c>
      <c r="H705" s="22" t="n">
        <v>1</v>
      </c>
      <c r="I705" s="22" t="n">
        <v>0</v>
      </c>
      <c r="J705" s="22" t="n">
        <v>0</v>
      </c>
      <c r="K705" s="22" t="n">
        <v>0</v>
      </c>
      <c r="L705" s="22" t="n">
        <v>0</v>
      </c>
      <c r="M705" s="22" t="n">
        <v>0</v>
      </c>
      <c r="N705" s="22" t="n">
        <v>0</v>
      </c>
      <c r="O705" s="22" t="n">
        <v>0</v>
      </c>
      <c r="P705" s="22" t="n">
        <v>0</v>
      </c>
      <c r="Q705" s="22" t="n">
        <v>0</v>
      </c>
      <c r="R705" s="22" t="n">
        <v>0</v>
      </c>
      <c r="S705" s="22" t="n">
        <v>0</v>
      </c>
      <c r="T705" s="22" t="n">
        <v>0</v>
      </c>
      <c r="U705" s="3">
        <f>IF(OR(N705=1,Q705=1),1,0)</f>
        <v/>
      </c>
      <c r="V705" s="3">
        <f>IF(OR(T705=1,P705=1),1,0)</f>
        <v/>
      </c>
      <c r="W705" s="3">
        <f>IF(OR(J705=1),1,0)</f>
        <v/>
      </c>
      <c r="X705" s="3">
        <f>IF(OR(I705=1,H705=1),1,0)</f>
        <v/>
      </c>
      <c r="Y705" s="3">
        <f>IF(OR(G705=1),1,0)</f>
        <v/>
      </c>
      <c r="Z705" s="3">
        <f>IF(OR(F705=1),1,0)</f>
        <v/>
      </c>
      <c r="AA705" s="3">
        <f>IF(OR(M705=1),1,0)</f>
        <v/>
      </c>
    </row>
    <row r="706">
      <c r="A706" s="22" t="inlineStr">
        <is>
          <t>336e78e95cccb5dc2a397dffc7632ee2d9a325e5</t>
        </is>
      </c>
      <c r="B706" s="22" t="inlineStr">
        <is>
          <t>2026-10</t>
        </is>
      </c>
      <c r="C706" s="22" t="inlineStr">
        <is>
          <t>Nairaland</t>
        </is>
      </c>
      <c r="D706" s="22" t="n">
        <v>0</v>
      </c>
      <c r="E706" s="22" t="inlineStr">
        <is>
          <t>Nairaland: Nairaland</t>
        </is>
      </c>
      <c r="F706" s="22" t="inlineStr">
        <is>
          <t>nairaland:Nairaland</t>
        </is>
      </c>
      <c r="G706" s="22" t="n">
        <v>-0.542</v>
      </c>
      <c r="H706" s="22" t="n">
        <v>1</v>
      </c>
      <c r="I706" s="22" t="n">
        <v>0</v>
      </c>
      <c r="J706" s="22" t="n">
        <v>0</v>
      </c>
      <c r="K706" s="22" t="n">
        <v>0</v>
      </c>
      <c r="L706" s="22" t="n">
        <v>0</v>
      </c>
      <c r="M706" s="22" t="n">
        <v>1</v>
      </c>
      <c r="N706" s="22" t="n">
        <v>0</v>
      </c>
      <c r="O706" s="22" t="n">
        <v>0</v>
      </c>
      <c r="P706" s="22" t="n">
        <v>1</v>
      </c>
      <c r="Q706" s="22" t="n">
        <v>0</v>
      </c>
      <c r="R706" s="22" t="n">
        <v>0</v>
      </c>
      <c r="S706" s="22" t="n">
        <v>0</v>
      </c>
      <c r="T706" s="22" t="n">
        <v>0</v>
      </c>
      <c r="U706" s="3">
        <f>IF(OR(N706=1,Q706=1),1,0)</f>
        <v/>
      </c>
      <c r="V706" s="3">
        <f>IF(OR(T706=1,P706=1),1,0)</f>
        <v/>
      </c>
      <c r="W706" s="3">
        <f>IF(OR(J706=1),1,0)</f>
        <v/>
      </c>
      <c r="X706" s="3">
        <f>IF(OR(I706=1,H706=1),1,0)</f>
        <v/>
      </c>
      <c r="Y706" s="3">
        <f>IF(OR(G706=1),1,0)</f>
        <v/>
      </c>
      <c r="Z706" s="3">
        <f>IF(OR(F706=1),1,0)</f>
        <v/>
      </c>
      <c r="AA706" s="3">
        <f>IF(OR(M706=1),1,0)</f>
        <v/>
      </c>
    </row>
    <row r="707">
      <c r="A707" s="22" t="inlineStr">
        <is>
          <t>be211dff16addb3bca3bbfcb8d01d84f26b52891</t>
        </is>
      </c>
      <c r="B707" s="22" t="inlineStr">
        <is>
          <t>2026-10</t>
        </is>
      </c>
      <c r="C707" s="22" t="inlineStr">
        <is>
          <t>Nairaland</t>
        </is>
      </c>
      <c r="D707" s="22" t="n">
        <v>0</v>
      </c>
      <c r="E707" s="22" t="inlineStr">
        <is>
          <t>Nairaland: Nairaland</t>
        </is>
      </c>
      <c r="F707" s="22" t="inlineStr">
        <is>
          <t>nairaland:Nairaland</t>
        </is>
      </c>
      <c r="G707" s="22" t="n">
        <v>0.599</v>
      </c>
      <c r="H707" s="22" t="n">
        <v>1</v>
      </c>
      <c r="I707" s="22" t="n">
        <v>0</v>
      </c>
      <c r="J707" s="22" t="n">
        <v>0</v>
      </c>
      <c r="K707" s="22" t="n">
        <v>0</v>
      </c>
      <c r="L707" s="22" t="n">
        <v>0</v>
      </c>
      <c r="M707" s="22" t="n">
        <v>0</v>
      </c>
      <c r="N707" s="22" t="n">
        <v>0</v>
      </c>
      <c r="O707" s="22" t="n">
        <v>1</v>
      </c>
      <c r="P707" s="22" t="n">
        <v>0</v>
      </c>
      <c r="Q707" s="22" t="n">
        <v>0</v>
      </c>
      <c r="R707" s="22" t="n">
        <v>0</v>
      </c>
      <c r="S707" s="22" t="n">
        <v>0</v>
      </c>
      <c r="T707" s="22" t="n">
        <v>0</v>
      </c>
      <c r="U707" s="3">
        <f>IF(OR(N707=1,Q707=1),1,0)</f>
        <v/>
      </c>
      <c r="V707" s="3">
        <f>IF(OR(T707=1,P707=1),1,0)</f>
        <v/>
      </c>
      <c r="W707" s="3">
        <f>IF(OR(J707=1),1,0)</f>
        <v/>
      </c>
      <c r="X707" s="3">
        <f>IF(OR(I707=1,H707=1),1,0)</f>
        <v/>
      </c>
      <c r="Y707" s="3">
        <f>IF(OR(G707=1),1,0)</f>
        <v/>
      </c>
      <c r="Z707" s="3">
        <f>IF(OR(F707=1),1,0)</f>
        <v/>
      </c>
      <c r="AA707" s="3">
        <f>IF(OR(M707=1),1,0)</f>
        <v/>
      </c>
    </row>
    <row r="708">
      <c r="A708" s="22" t="inlineStr">
        <is>
          <t>48f142e4fd9400b231d3d5775116a1842be96e97</t>
        </is>
      </c>
      <c r="B708" s="22" t="inlineStr">
        <is>
          <t>2026-10</t>
        </is>
      </c>
      <c r="C708" s="22" t="inlineStr">
        <is>
          <t>Nairaland</t>
        </is>
      </c>
      <c r="D708" s="22" t="n">
        <v>0</v>
      </c>
      <c r="E708" s="22" t="inlineStr">
        <is>
          <t>Nairaland: Nairaland</t>
        </is>
      </c>
      <c r="F708" s="22" t="inlineStr">
        <is>
          <t>nairaland:Nairaland</t>
        </is>
      </c>
      <c r="G708" s="22" t="n">
        <v>-0.789</v>
      </c>
      <c r="H708" s="22" t="n">
        <v>0</v>
      </c>
      <c r="I708" s="22" t="n">
        <v>1</v>
      </c>
      <c r="J708" s="22" t="n">
        <v>0</v>
      </c>
      <c r="K708" s="22" t="n">
        <v>0</v>
      </c>
      <c r="L708" s="22" t="n">
        <v>0</v>
      </c>
      <c r="M708" s="22" t="n">
        <v>1</v>
      </c>
      <c r="N708" s="22" t="n">
        <v>0</v>
      </c>
      <c r="O708" s="22" t="n">
        <v>0</v>
      </c>
      <c r="P708" s="22" t="n">
        <v>0</v>
      </c>
      <c r="Q708" s="22" t="n">
        <v>1</v>
      </c>
      <c r="R708" s="22" t="n">
        <v>0</v>
      </c>
      <c r="S708" s="22" t="n">
        <v>0</v>
      </c>
      <c r="T708" s="22" t="n">
        <v>0</v>
      </c>
      <c r="U708" s="3">
        <f>IF(OR(N708=1,Q708=1),1,0)</f>
        <v/>
      </c>
      <c r="V708" s="3">
        <f>IF(OR(T708=1,P708=1),1,0)</f>
        <v/>
      </c>
      <c r="W708" s="3">
        <f>IF(OR(J708=1),1,0)</f>
        <v/>
      </c>
      <c r="X708" s="3">
        <f>IF(OR(I708=1,H708=1),1,0)</f>
        <v/>
      </c>
      <c r="Y708" s="3">
        <f>IF(OR(G708=1),1,0)</f>
        <v/>
      </c>
      <c r="Z708" s="3">
        <f>IF(OR(F708=1),1,0)</f>
        <v/>
      </c>
      <c r="AA708" s="3">
        <f>IF(OR(M708=1),1,0)</f>
        <v/>
      </c>
    </row>
    <row r="709">
      <c r="A709" s="22" t="inlineStr">
        <is>
          <t>951d913ea177d5c19dfc2187e10d5db2d44c5793</t>
        </is>
      </c>
      <c r="B709" s="22" t="inlineStr">
        <is>
          <t>2026-10</t>
        </is>
      </c>
      <c r="C709" s="22" t="inlineStr">
        <is>
          <t>Nairaland</t>
        </is>
      </c>
      <c r="D709" s="22" t="n">
        <v>0</v>
      </c>
      <c r="E709" s="22" t="inlineStr">
        <is>
          <t>Nairaland: Nairaland</t>
        </is>
      </c>
      <c r="F709" s="22" t="inlineStr">
        <is>
          <t>nairaland:Nairaland</t>
        </is>
      </c>
      <c r="G709" s="22" t="n">
        <v>0.737</v>
      </c>
      <c r="H709" s="22" t="n">
        <v>1</v>
      </c>
      <c r="I709" s="22" t="n">
        <v>0</v>
      </c>
      <c r="J709" s="22" t="n">
        <v>0</v>
      </c>
      <c r="K709" s="22" t="n">
        <v>0</v>
      </c>
      <c r="L709" s="22" t="n">
        <v>0</v>
      </c>
      <c r="M709" s="22" t="n">
        <v>0</v>
      </c>
      <c r="N709" s="22" t="n">
        <v>0</v>
      </c>
      <c r="O709" s="22" t="n">
        <v>0</v>
      </c>
      <c r="P709" s="22" t="n">
        <v>0</v>
      </c>
      <c r="Q709" s="22" t="n">
        <v>0</v>
      </c>
      <c r="R709" s="22" t="n">
        <v>0</v>
      </c>
      <c r="S709" s="22" t="n">
        <v>0</v>
      </c>
      <c r="T709" s="22" t="n">
        <v>0</v>
      </c>
      <c r="U709" s="3">
        <f>IF(OR(N709=1,Q709=1),1,0)</f>
        <v/>
      </c>
      <c r="V709" s="3">
        <f>IF(OR(T709=1,P709=1),1,0)</f>
        <v/>
      </c>
      <c r="W709" s="3">
        <f>IF(OR(J709=1),1,0)</f>
        <v/>
      </c>
      <c r="X709" s="3">
        <f>IF(OR(I709=1,H709=1),1,0)</f>
        <v/>
      </c>
      <c r="Y709" s="3">
        <f>IF(OR(G709=1),1,0)</f>
        <v/>
      </c>
      <c r="Z709" s="3">
        <f>IF(OR(F709=1),1,0)</f>
        <v/>
      </c>
      <c r="AA709" s="3">
        <f>IF(OR(M709=1),1,0)</f>
        <v/>
      </c>
    </row>
    <row r="710">
      <c r="A710" s="22" t="inlineStr">
        <is>
          <t>a513e04ce2fb37a340468120f46b799ecf44d629</t>
        </is>
      </c>
      <c r="B710" s="22" t="inlineStr">
        <is>
          <t>2026-10</t>
        </is>
      </c>
      <c r="C710" s="22" t="inlineStr">
        <is>
          <t>Nairaland</t>
        </is>
      </c>
      <c r="D710" s="22" t="n">
        <v>0</v>
      </c>
      <c r="E710" s="22" t="inlineStr">
        <is>
          <t>Nairaland: Nairaland</t>
        </is>
      </c>
      <c r="F710" s="22" t="inlineStr">
        <is>
          <t>nairaland:Nairaland</t>
        </is>
      </c>
      <c r="G710" s="22" t="n">
        <v>-0.838</v>
      </c>
      <c r="H710" s="22" t="n">
        <v>1</v>
      </c>
      <c r="I710" s="22" t="n">
        <v>0</v>
      </c>
      <c r="J710" s="22" t="n">
        <v>0</v>
      </c>
      <c r="K710" s="22" t="n">
        <v>0</v>
      </c>
      <c r="L710" s="22" t="n">
        <v>0</v>
      </c>
      <c r="M710" s="22" t="n">
        <v>0</v>
      </c>
      <c r="N710" s="22" t="n">
        <v>0</v>
      </c>
      <c r="O710" s="22" t="n">
        <v>0</v>
      </c>
      <c r="P710" s="22" t="n">
        <v>0</v>
      </c>
      <c r="Q710" s="22" t="n">
        <v>0</v>
      </c>
      <c r="R710" s="22" t="n">
        <v>0</v>
      </c>
      <c r="S710" s="22" t="n">
        <v>0</v>
      </c>
      <c r="T710" s="22" t="n">
        <v>0</v>
      </c>
      <c r="U710" s="3">
        <f>IF(OR(N710=1,Q710=1),1,0)</f>
        <v/>
      </c>
      <c r="V710" s="3">
        <f>IF(OR(T710=1,P710=1),1,0)</f>
        <v/>
      </c>
      <c r="W710" s="3">
        <f>IF(OR(J710=1),1,0)</f>
        <v/>
      </c>
      <c r="X710" s="3">
        <f>IF(OR(I710=1,H710=1),1,0)</f>
        <v/>
      </c>
      <c r="Y710" s="3">
        <f>IF(OR(G710=1),1,0)</f>
        <v/>
      </c>
      <c r="Z710" s="3">
        <f>IF(OR(F710=1),1,0)</f>
        <v/>
      </c>
      <c r="AA710" s="3">
        <f>IF(OR(M710=1),1,0)</f>
        <v/>
      </c>
    </row>
    <row r="711">
      <c r="A711" s="22" t="inlineStr">
        <is>
          <t>7e658ae2a34ea32ba09737528c624a97cfcd17dc</t>
        </is>
      </c>
      <c r="B711" s="22" t="inlineStr">
        <is>
          <t>2026-09</t>
        </is>
      </c>
      <c r="C711" s="22" t="inlineStr">
        <is>
          <t>Nairaland</t>
        </is>
      </c>
      <c r="D711" s="22" t="n">
        <v>0</v>
      </c>
      <c r="E711" s="22" t="inlineStr">
        <is>
          <t>Nairaland: Nairaland</t>
        </is>
      </c>
      <c r="F711" s="22" t="inlineStr">
        <is>
          <t>nairaland:Nairaland</t>
        </is>
      </c>
      <c r="G711" s="22" t="n">
        <v>0.477</v>
      </c>
      <c r="H711" s="22" t="n">
        <v>0</v>
      </c>
      <c r="I711" s="22" t="n">
        <v>0</v>
      </c>
      <c r="J711" s="22" t="n">
        <v>0</v>
      </c>
      <c r="K711" s="22" t="n">
        <v>0</v>
      </c>
      <c r="L711" s="22" t="n">
        <v>0</v>
      </c>
      <c r="M711" s="22" t="n">
        <v>0</v>
      </c>
      <c r="N711" s="22" t="n">
        <v>0</v>
      </c>
      <c r="O711" s="22" t="n">
        <v>0</v>
      </c>
      <c r="P711" s="22" t="n">
        <v>1</v>
      </c>
      <c r="Q711" s="22" t="n">
        <v>0</v>
      </c>
      <c r="R711" s="22" t="n">
        <v>0</v>
      </c>
      <c r="S711" s="22" t="n">
        <v>0</v>
      </c>
      <c r="T711" s="22" t="n">
        <v>0</v>
      </c>
      <c r="U711" s="3">
        <f>IF(OR(N711=1,Q711=1),1,0)</f>
        <v/>
      </c>
      <c r="V711" s="3">
        <f>IF(OR(T711=1,P711=1),1,0)</f>
        <v/>
      </c>
      <c r="W711" s="3">
        <f>IF(OR(J711=1),1,0)</f>
        <v/>
      </c>
      <c r="X711" s="3">
        <f>IF(OR(I711=1,H711=1),1,0)</f>
        <v/>
      </c>
      <c r="Y711" s="3">
        <f>IF(OR(G711=1),1,0)</f>
        <v/>
      </c>
      <c r="Z711" s="3">
        <f>IF(OR(F711=1),1,0)</f>
        <v/>
      </c>
      <c r="AA711" s="3">
        <f>IF(OR(M711=1),1,0)</f>
        <v/>
      </c>
    </row>
    <row r="712">
      <c r="A712" s="22" t="inlineStr">
        <is>
          <t>38adb63f750db4c938b956a54c405813322fd688</t>
        </is>
      </c>
      <c r="B712" s="22" t="inlineStr">
        <is>
          <t>2026-08</t>
        </is>
      </c>
      <c r="C712" s="22" t="inlineStr">
        <is>
          <t>Nairaland</t>
        </is>
      </c>
      <c r="D712" s="22" t="n">
        <v>0</v>
      </c>
      <c r="E712" s="22" t="inlineStr">
        <is>
          <t>Nairaland: Nairaland</t>
        </is>
      </c>
      <c r="F712" s="22" t="inlineStr">
        <is>
          <t>nairaland:Nairaland</t>
        </is>
      </c>
      <c r="G712" s="22" t="n">
        <v>-0.712</v>
      </c>
      <c r="H712" s="22" t="n">
        <v>0</v>
      </c>
      <c r="I712" s="22" t="n">
        <v>0</v>
      </c>
      <c r="J712" s="22" t="n">
        <v>0</v>
      </c>
      <c r="K712" s="22" t="n">
        <v>0</v>
      </c>
      <c r="L712" s="22" t="n">
        <v>1</v>
      </c>
      <c r="M712" s="22" t="n">
        <v>0</v>
      </c>
      <c r="N712" s="22" t="n">
        <v>0</v>
      </c>
      <c r="O712" s="22" t="n">
        <v>0</v>
      </c>
      <c r="P712" s="22" t="n">
        <v>0</v>
      </c>
      <c r="Q712" s="22" t="n">
        <v>0</v>
      </c>
      <c r="R712" s="22" t="n">
        <v>0</v>
      </c>
      <c r="S712" s="22" t="n">
        <v>0</v>
      </c>
      <c r="T712" s="22" t="n">
        <v>0</v>
      </c>
      <c r="U712" s="3">
        <f>IF(OR(N712=1,Q712=1),1,0)</f>
        <v/>
      </c>
      <c r="V712" s="3">
        <f>IF(OR(T712=1,P712=1),1,0)</f>
        <v/>
      </c>
      <c r="W712" s="3">
        <f>IF(OR(J712=1),1,0)</f>
        <v/>
      </c>
      <c r="X712" s="3">
        <f>IF(OR(I712=1,H712=1),1,0)</f>
        <v/>
      </c>
      <c r="Y712" s="3">
        <f>IF(OR(G712=1),1,0)</f>
        <v/>
      </c>
      <c r="Z712" s="3">
        <f>IF(OR(F712=1),1,0)</f>
        <v/>
      </c>
      <c r="AA712" s="3">
        <f>IF(OR(M712=1),1,0)</f>
        <v/>
      </c>
    </row>
    <row r="713">
      <c r="A713" s="22" t="inlineStr">
        <is>
          <t>4732ebd41121b2de8f16cc7bcab56eff06318088</t>
        </is>
      </c>
      <c r="B713" s="22" t="inlineStr">
        <is>
          <t>2026-08</t>
        </is>
      </c>
      <c r="C713" s="22" t="inlineStr">
        <is>
          <t>Nairaland</t>
        </is>
      </c>
      <c r="D713" s="22" t="n">
        <v>0</v>
      </c>
      <c r="E713" s="22" t="inlineStr">
        <is>
          <t>Nairaland: Nairaland</t>
        </is>
      </c>
      <c r="F713" s="22" t="inlineStr">
        <is>
          <t>nairaland:Nairaland</t>
        </is>
      </c>
      <c r="G713" s="22" t="n">
        <v>0.34</v>
      </c>
      <c r="H713" s="22" t="n">
        <v>0</v>
      </c>
      <c r="I713" s="22" t="n">
        <v>0</v>
      </c>
      <c r="J713" s="22" t="n">
        <v>0</v>
      </c>
      <c r="K713" s="22" t="n">
        <v>0</v>
      </c>
      <c r="L713" s="22" t="n">
        <v>0</v>
      </c>
      <c r="M713" s="22" t="n">
        <v>0</v>
      </c>
      <c r="N713" s="22" t="n">
        <v>0</v>
      </c>
      <c r="O713" s="22" t="n">
        <v>0</v>
      </c>
      <c r="P713" s="22" t="n">
        <v>1</v>
      </c>
      <c r="Q713" s="22" t="n">
        <v>0</v>
      </c>
      <c r="R713" s="22" t="n">
        <v>0</v>
      </c>
      <c r="S713" s="22" t="n">
        <v>0</v>
      </c>
      <c r="T713" s="22" t="n">
        <v>0</v>
      </c>
      <c r="U713" s="3">
        <f>IF(OR(N713=1,Q713=1),1,0)</f>
        <v/>
      </c>
      <c r="V713" s="3">
        <f>IF(OR(T713=1,P713=1),1,0)</f>
        <v/>
      </c>
      <c r="W713" s="3">
        <f>IF(OR(J713=1),1,0)</f>
        <v/>
      </c>
      <c r="X713" s="3">
        <f>IF(OR(I713=1,H713=1),1,0)</f>
        <v/>
      </c>
      <c r="Y713" s="3">
        <f>IF(OR(G713=1),1,0)</f>
        <v/>
      </c>
      <c r="Z713" s="3">
        <f>IF(OR(F713=1),1,0)</f>
        <v/>
      </c>
      <c r="AA713" s="3">
        <f>IF(OR(M713=1),1,0)</f>
        <v/>
      </c>
    </row>
    <row r="714">
      <c r="A714" s="22" t="inlineStr">
        <is>
          <t>216082c252d08730ba63b22913813065e22d9455</t>
        </is>
      </c>
      <c r="B714" s="22" t="inlineStr">
        <is>
          <t>2026-08</t>
        </is>
      </c>
      <c r="C714" s="22" t="inlineStr">
        <is>
          <t>Nairaland</t>
        </is>
      </c>
      <c r="D714" s="22" t="n">
        <v>0</v>
      </c>
      <c r="E714" s="22" t="inlineStr">
        <is>
          <t>Nairaland: Nairaland</t>
        </is>
      </c>
      <c r="F714" s="22" t="inlineStr">
        <is>
          <t>nairaland:Nairaland</t>
        </is>
      </c>
      <c r="G714" s="22" t="n">
        <v>-0.103</v>
      </c>
      <c r="H714" s="22" t="n">
        <v>0</v>
      </c>
      <c r="I714" s="22" t="n">
        <v>1</v>
      </c>
      <c r="J714" s="22" t="n">
        <v>0</v>
      </c>
      <c r="K714" s="22" t="n">
        <v>0</v>
      </c>
      <c r="L714" s="22" t="n">
        <v>0</v>
      </c>
      <c r="M714" s="22" t="n">
        <v>0</v>
      </c>
      <c r="N714" s="22" t="n">
        <v>0</v>
      </c>
      <c r="O714" s="22" t="n">
        <v>0</v>
      </c>
      <c r="P714" s="22" t="n">
        <v>0</v>
      </c>
      <c r="Q714" s="22" t="n">
        <v>0</v>
      </c>
      <c r="R714" s="22" t="n">
        <v>0</v>
      </c>
      <c r="S714" s="22" t="n">
        <v>0</v>
      </c>
      <c r="T714" s="22" t="n">
        <v>0</v>
      </c>
      <c r="U714" s="3">
        <f>IF(OR(N714=1,Q714=1),1,0)</f>
        <v/>
      </c>
      <c r="V714" s="3">
        <f>IF(OR(T714=1,P714=1),1,0)</f>
        <v/>
      </c>
      <c r="W714" s="3">
        <f>IF(OR(J714=1),1,0)</f>
        <v/>
      </c>
      <c r="X714" s="3">
        <f>IF(OR(I714=1,H714=1),1,0)</f>
        <v/>
      </c>
      <c r="Y714" s="3">
        <f>IF(OR(G714=1),1,0)</f>
        <v/>
      </c>
      <c r="Z714" s="3">
        <f>IF(OR(F714=1),1,0)</f>
        <v/>
      </c>
      <c r="AA714" s="3">
        <f>IF(OR(M714=1),1,0)</f>
        <v/>
      </c>
    </row>
    <row r="715">
      <c r="A715" s="22" t="inlineStr">
        <is>
          <t>290acb59ee28a4d9f105b3bd2eb227eac54cb066</t>
        </is>
      </c>
      <c r="B715" s="22" t="inlineStr">
        <is>
          <t>2026-08</t>
        </is>
      </c>
      <c r="C715" s="22" t="inlineStr">
        <is>
          <t>Nairaland</t>
        </is>
      </c>
      <c r="D715" s="22" t="n">
        <v>0</v>
      </c>
      <c r="E715" s="22" t="inlineStr">
        <is>
          <t>Nairaland: Nairaland</t>
        </is>
      </c>
      <c r="F715" s="22" t="inlineStr">
        <is>
          <t>nairaland:Nairaland</t>
        </is>
      </c>
      <c r="G715" s="22" t="n">
        <v>0</v>
      </c>
      <c r="H715" s="22" t="n">
        <v>0</v>
      </c>
      <c r="I715" s="22" t="n">
        <v>0</v>
      </c>
      <c r="J715" s="22" t="n">
        <v>0</v>
      </c>
      <c r="K715" s="22" t="n">
        <v>0</v>
      </c>
      <c r="L715" s="22" t="n">
        <v>0</v>
      </c>
      <c r="M715" s="22" t="n">
        <v>0</v>
      </c>
      <c r="N715" s="22" t="n">
        <v>0</v>
      </c>
      <c r="O715" s="22" t="n">
        <v>0</v>
      </c>
      <c r="P715" s="22" t="n">
        <v>1</v>
      </c>
      <c r="Q715" s="22" t="n">
        <v>0</v>
      </c>
      <c r="R715" s="22" t="n">
        <v>0</v>
      </c>
      <c r="S715" s="22" t="n">
        <v>0</v>
      </c>
      <c r="T715" s="22" t="n">
        <v>0</v>
      </c>
      <c r="U715" s="3">
        <f>IF(OR(N715=1,Q715=1),1,0)</f>
        <v/>
      </c>
      <c r="V715" s="3">
        <f>IF(OR(T715=1,P715=1),1,0)</f>
        <v/>
      </c>
      <c r="W715" s="3">
        <f>IF(OR(J715=1),1,0)</f>
        <v/>
      </c>
      <c r="X715" s="3">
        <f>IF(OR(I715=1,H715=1),1,0)</f>
        <v/>
      </c>
      <c r="Y715" s="3">
        <f>IF(OR(G715=1),1,0)</f>
        <v/>
      </c>
      <c r="Z715" s="3">
        <f>IF(OR(F715=1),1,0)</f>
        <v/>
      </c>
      <c r="AA715" s="3">
        <f>IF(OR(M715=1),1,0)</f>
        <v/>
      </c>
    </row>
    <row r="716">
      <c r="A716" s="22" t="inlineStr">
        <is>
          <t>df6398c404770cc141883c24fa8652ccaa28b0de</t>
        </is>
      </c>
      <c r="B716" s="22" t="inlineStr">
        <is>
          <t>2026-08</t>
        </is>
      </c>
      <c r="C716" s="22" t="inlineStr">
        <is>
          <t>Nairaland</t>
        </is>
      </c>
      <c r="D716" s="22" t="n">
        <v>0</v>
      </c>
      <c r="E716" s="22" t="inlineStr">
        <is>
          <t>Nairaland: Nairaland</t>
        </is>
      </c>
      <c r="F716" s="22" t="inlineStr">
        <is>
          <t>nairaland:Nairaland</t>
        </is>
      </c>
      <c r="G716" s="22" t="n">
        <v>0.178</v>
      </c>
      <c r="H716" s="22" t="n">
        <v>0</v>
      </c>
      <c r="I716" s="22" t="n">
        <v>0</v>
      </c>
      <c r="J716" s="22" t="n">
        <v>0</v>
      </c>
      <c r="K716" s="22" t="n">
        <v>0</v>
      </c>
      <c r="L716" s="22" t="n">
        <v>0</v>
      </c>
      <c r="M716" s="22" t="n">
        <v>0</v>
      </c>
      <c r="N716" s="22" t="n">
        <v>0</v>
      </c>
      <c r="O716" s="22" t="n">
        <v>0</v>
      </c>
      <c r="P716" s="22" t="n">
        <v>1</v>
      </c>
      <c r="Q716" s="22" t="n">
        <v>0</v>
      </c>
      <c r="R716" s="22" t="n">
        <v>0</v>
      </c>
      <c r="S716" s="22" t="n">
        <v>0</v>
      </c>
      <c r="T716" s="22" t="n">
        <v>0</v>
      </c>
      <c r="U716" s="3">
        <f>IF(OR(N716=1,Q716=1),1,0)</f>
        <v/>
      </c>
      <c r="V716" s="3">
        <f>IF(OR(T716=1,P716=1),1,0)</f>
        <v/>
      </c>
      <c r="W716" s="3">
        <f>IF(OR(J716=1),1,0)</f>
        <v/>
      </c>
      <c r="X716" s="3">
        <f>IF(OR(I716=1,H716=1),1,0)</f>
        <v/>
      </c>
      <c r="Y716" s="3">
        <f>IF(OR(G716=1),1,0)</f>
        <v/>
      </c>
      <c r="Z716" s="3">
        <f>IF(OR(F716=1),1,0)</f>
        <v/>
      </c>
      <c r="AA716" s="3">
        <f>IF(OR(M716=1),1,0)</f>
        <v/>
      </c>
    </row>
    <row r="717">
      <c r="A717" s="22" t="inlineStr">
        <is>
          <t>0ebe268992914341d66c3b7086b774fb006ddaa2</t>
        </is>
      </c>
      <c r="B717" s="22" t="inlineStr">
        <is>
          <t>2026-07</t>
        </is>
      </c>
      <c r="C717" s="22" t="inlineStr">
        <is>
          <t>Nairaland</t>
        </is>
      </c>
      <c r="D717" s="22" t="n">
        <v>0</v>
      </c>
      <c r="E717" s="22" t="inlineStr">
        <is>
          <t>Nairaland: Nairaland</t>
        </is>
      </c>
      <c r="F717" s="22" t="inlineStr">
        <is>
          <t>nairaland:Nairaland</t>
        </is>
      </c>
      <c r="G717" s="22" t="n">
        <v>-0.34</v>
      </c>
      <c r="H717" s="22" t="n">
        <v>0</v>
      </c>
      <c r="I717" s="22" t="n">
        <v>0</v>
      </c>
      <c r="J717" s="22" t="n">
        <v>0</v>
      </c>
      <c r="K717" s="22" t="n">
        <v>0</v>
      </c>
      <c r="L717" s="22" t="n">
        <v>0</v>
      </c>
      <c r="M717" s="22" t="n">
        <v>0</v>
      </c>
      <c r="N717" s="22" t="n">
        <v>0</v>
      </c>
      <c r="O717" s="22" t="n">
        <v>0</v>
      </c>
      <c r="P717" s="22" t="n">
        <v>0</v>
      </c>
      <c r="Q717" s="22" t="n">
        <v>0</v>
      </c>
      <c r="R717" s="22" t="n">
        <v>0</v>
      </c>
      <c r="S717" s="22" t="n">
        <v>0</v>
      </c>
      <c r="T717" s="22" t="n">
        <v>0</v>
      </c>
      <c r="U717" s="3">
        <f>IF(OR(N717=1,Q717=1),1,0)</f>
        <v/>
      </c>
      <c r="V717" s="3">
        <f>IF(OR(T717=1,P717=1),1,0)</f>
        <v/>
      </c>
      <c r="W717" s="3">
        <f>IF(OR(J717=1),1,0)</f>
        <v/>
      </c>
      <c r="X717" s="3">
        <f>IF(OR(I717=1,H717=1),1,0)</f>
        <v/>
      </c>
      <c r="Y717" s="3">
        <f>IF(OR(G717=1),1,0)</f>
        <v/>
      </c>
      <c r="Z717" s="3">
        <f>IF(OR(F717=1),1,0)</f>
        <v/>
      </c>
      <c r="AA717" s="3">
        <f>IF(OR(M717=1),1,0)</f>
        <v/>
      </c>
    </row>
    <row r="718">
      <c r="A718" s="22" t="inlineStr">
        <is>
          <t>aec53c7ebc36579b3c63198eb88cc26e4addf010</t>
        </is>
      </c>
      <c r="B718" s="22" t="inlineStr">
        <is>
          <t>2026-07</t>
        </is>
      </c>
      <c r="C718" s="22" t="inlineStr">
        <is>
          <t>Nairaland</t>
        </is>
      </c>
      <c r="D718" s="22" t="n">
        <v>0</v>
      </c>
      <c r="E718" s="22" t="inlineStr">
        <is>
          <t>Nairaland: Nairaland</t>
        </is>
      </c>
      <c r="F718" s="22" t="inlineStr">
        <is>
          <t>nairaland:Nairaland</t>
        </is>
      </c>
      <c r="G718" s="22" t="n">
        <v>0</v>
      </c>
      <c r="H718" s="22" t="n">
        <v>0</v>
      </c>
      <c r="I718" s="22" t="n">
        <v>0</v>
      </c>
      <c r="J718" s="22" t="n">
        <v>0</v>
      </c>
      <c r="K718" s="22" t="n">
        <v>0</v>
      </c>
      <c r="L718" s="22" t="n">
        <v>1</v>
      </c>
      <c r="M718" s="22" t="n">
        <v>0</v>
      </c>
      <c r="N718" s="22" t="n">
        <v>0</v>
      </c>
      <c r="O718" s="22" t="n">
        <v>0</v>
      </c>
      <c r="P718" s="22" t="n">
        <v>1</v>
      </c>
      <c r="Q718" s="22" t="n">
        <v>0</v>
      </c>
      <c r="R718" s="22" t="n">
        <v>0</v>
      </c>
      <c r="S718" s="22" t="n">
        <v>0</v>
      </c>
      <c r="T718" s="22" t="n">
        <v>0</v>
      </c>
      <c r="U718" s="3">
        <f>IF(OR(N718=1,Q718=1),1,0)</f>
        <v/>
      </c>
      <c r="V718" s="3">
        <f>IF(OR(T718=1,P718=1),1,0)</f>
        <v/>
      </c>
      <c r="W718" s="3">
        <f>IF(OR(J718=1),1,0)</f>
        <v/>
      </c>
      <c r="X718" s="3">
        <f>IF(OR(I718=1,H718=1),1,0)</f>
        <v/>
      </c>
      <c r="Y718" s="3">
        <f>IF(OR(G718=1),1,0)</f>
        <v/>
      </c>
      <c r="Z718" s="3">
        <f>IF(OR(F718=1),1,0)</f>
        <v/>
      </c>
      <c r="AA718" s="3">
        <f>IF(OR(M718=1),1,0)</f>
        <v/>
      </c>
    </row>
    <row r="719">
      <c r="A719" s="22" t="inlineStr">
        <is>
          <t>3885e5d459072d6fbfbe53e87c02a202b3abd076</t>
        </is>
      </c>
      <c r="B719" s="22" t="inlineStr">
        <is>
          <t>2026-07</t>
        </is>
      </c>
      <c r="C719" s="22" t="inlineStr">
        <is>
          <t>Nairaland</t>
        </is>
      </c>
      <c r="D719" s="22" t="n">
        <v>0</v>
      </c>
      <c r="E719" s="22" t="inlineStr">
        <is>
          <t>Nairaland: Nairaland</t>
        </is>
      </c>
      <c r="F719" s="22" t="inlineStr">
        <is>
          <t>nairaland:Nairaland</t>
        </is>
      </c>
      <c r="G719" s="22" t="n">
        <v>-0.888</v>
      </c>
      <c r="H719" s="22" t="n">
        <v>0</v>
      </c>
      <c r="I719" s="22" t="n">
        <v>0</v>
      </c>
      <c r="J719" s="22" t="n">
        <v>0</v>
      </c>
      <c r="K719" s="22" t="n">
        <v>0</v>
      </c>
      <c r="L719" s="22" t="n">
        <v>0</v>
      </c>
      <c r="M719" s="22" t="n">
        <v>1</v>
      </c>
      <c r="N719" s="22" t="n">
        <v>0</v>
      </c>
      <c r="O719" s="22" t="n">
        <v>0</v>
      </c>
      <c r="P719" s="22" t="n">
        <v>0</v>
      </c>
      <c r="Q719" s="22" t="n">
        <v>0</v>
      </c>
      <c r="R719" s="22" t="n">
        <v>0</v>
      </c>
      <c r="S719" s="22" t="n">
        <v>0</v>
      </c>
      <c r="T719" s="22" t="n">
        <v>0</v>
      </c>
      <c r="U719" s="3">
        <f>IF(OR(N719=1,Q719=1),1,0)</f>
        <v/>
      </c>
      <c r="V719" s="3">
        <f>IF(OR(T719=1,P719=1),1,0)</f>
        <v/>
      </c>
      <c r="W719" s="3">
        <f>IF(OR(J719=1),1,0)</f>
        <v/>
      </c>
      <c r="X719" s="3">
        <f>IF(OR(I719=1,H719=1),1,0)</f>
        <v/>
      </c>
      <c r="Y719" s="3">
        <f>IF(OR(G719=1),1,0)</f>
        <v/>
      </c>
      <c r="Z719" s="3">
        <f>IF(OR(F719=1),1,0)</f>
        <v/>
      </c>
      <c r="AA719" s="3">
        <f>IF(OR(M719=1),1,0)</f>
        <v/>
      </c>
    </row>
    <row r="720">
      <c r="A720" s="22" t="inlineStr">
        <is>
          <t>f7cfaf8acdbeb2500de8c99a9c44b671bca4dae2</t>
        </is>
      </c>
      <c r="B720" s="22" t="inlineStr">
        <is>
          <t>2026-06</t>
        </is>
      </c>
      <c r="C720" s="22" t="inlineStr">
        <is>
          <t>Nairaland</t>
        </is>
      </c>
      <c r="D720" s="22" t="n">
        <v>0</v>
      </c>
      <c r="E720" s="22" t="inlineStr">
        <is>
          <t>Nairaland: Nairaland</t>
        </is>
      </c>
      <c r="F720" s="22" t="inlineStr">
        <is>
          <t>nairaland:Nairaland</t>
        </is>
      </c>
      <c r="G720" s="22" t="n">
        <v>-0.581</v>
      </c>
      <c r="H720" s="22" t="n">
        <v>1</v>
      </c>
      <c r="I720" s="22" t="n">
        <v>0</v>
      </c>
      <c r="J720" s="22" t="n">
        <v>0</v>
      </c>
      <c r="K720" s="22" t="n">
        <v>0</v>
      </c>
      <c r="L720" s="22" t="n">
        <v>0</v>
      </c>
      <c r="M720" s="22" t="n">
        <v>0</v>
      </c>
      <c r="N720" s="22" t="n">
        <v>0</v>
      </c>
      <c r="O720" s="22" t="n">
        <v>0</v>
      </c>
      <c r="P720" s="22" t="n">
        <v>0</v>
      </c>
      <c r="Q720" s="22" t="n">
        <v>0</v>
      </c>
      <c r="R720" s="22" t="n">
        <v>0</v>
      </c>
      <c r="S720" s="22" t="n">
        <v>0</v>
      </c>
      <c r="T720" s="22" t="n">
        <v>0</v>
      </c>
      <c r="U720" s="3">
        <f>IF(OR(N720=1,Q720=1),1,0)</f>
        <v/>
      </c>
      <c r="V720" s="3">
        <f>IF(OR(T720=1,P720=1),1,0)</f>
        <v/>
      </c>
      <c r="W720" s="3">
        <f>IF(OR(J720=1),1,0)</f>
        <v/>
      </c>
      <c r="X720" s="3">
        <f>IF(OR(I720=1,H720=1),1,0)</f>
        <v/>
      </c>
      <c r="Y720" s="3">
        <f>IF(OR(G720=1),1,0)</f>
        <v/>
      </c>
      <c r="Z720" s="3">
        <f>IF(OR(F720=1),1,0)</f>
        <v/>
      </c>
      <c r="AA720" s="3">
        <f>IF(OR(M720=1),1,0)</f>
        <v/>
      </c>
    </row>
    <row r="721">
      <c r="A721" s="22" t="inlineStr">
        <is>
          <t>aaccd8f33eee610396f3ceac381d033fd7264f50</t>
        </is>
      </c>
      <c r="B721" s="22" t="inlineStr">
        <is>
          <t>2026-06</t>
        </is>
      </c>
      <c r="C721" s="22" t="inlineStr">
        <is>
          <t>Nairaland</t>
        </is>
      </c>
      <c r="D721" s="22" t="n">
        <v>0</v>
      </c>
      <c r="E721" s="22" t="inlineStr">
        <is>
          <t>Nairaland: Nairaland</t>
        </is>
      </c>
      <c r="F721" s="22" t="inlineStr">
        <is>
          <t>nairaland:Nairaland</t>
        </is>
      </c>
      <c r="G721" s="22" t="n">
        <v>-0.204</v>
      </c>
      <c r="H721" s="22" t="n">
        <v>1</v>
      </c>
      <c r="I721" s="22" t="n">
        <v>1</v>
      </c>
      <c r="J721" s="22" t="n">
        <v>0</v>
      </c>
      <c r="K721" s="22" t="n">
        <v>0</v>
      </c>
      <c r="L721" s="22" t="n">
        <v>0</v>
      </c>
      <c r="M721" s="22" t="n">
        <v>0</v>
      </c>
      <c r="N721" s="22" t="n">
        <v>0</v>
      </c>
      <c r="O721" s="22" t="n">
        <v>1</v>
      </c>
      <c r="P721" s="22" t="n">
        <v>0</v>
      </c>
      <c r="Q721" s="22" t="n">
        <v>0</v>
      </c>
      <c r="R721" s="22" t="n">
        <v>0</v>
      </c>
      <c r="S721" s="22" t="n">
        <v>0</v>
      </c>
      <c r="T721" s="22" t="n">
        <v>0</v>
      </c>
      <c r="U721" s="3">
        <f>IF(OR(N721=1,Q721=1),1,0)</f>
        <v/>
      </c>
      <c r="V721" s="3">
        <f>IF(OR(T721=1,P721=1),1,0)</f>
        <v/>
      </c>
      <c r="W721" s="3">
        <f>IF(OR(J721=1),1,0)</f>
        <v/>
      </c>
      <c r="X721" s="3">
        <f>IF(OR(I721=1,H721=1),1,0)</f>
        <v/>
      </c>
      <c r="Y721" s="3">
        <f>IF(OR(G721=1),1,0)</f>
        <v/>
      </c>
      <c r="Z721" s="3">
        <f>IF(OR(F721=1),1,0)</f>
        <v/>
      </c>
      <c r="AA721" s="3">
        <f>IF(OR(M721=1),1,0)</f>
        <v/>
      </c>
    </row>
    <row r="722">
      <c r="A722" s="22" t="inlineStr">
        <is>
          <t>33eaef921e50d5898f9fb987265116ab75bb11d6</t>
        </is>
      </c>
      <c r="B722" s="22" t="inlineStr">
        <is>
          <t>2026-06</t>
        </is>
      </c>
      <c r="C722" s="22" t="inlineStr">
        <is>
          <t>Nairaland</t>
        </is>
      </c>
      <c r="D722" s="22" t="n">
        <v>0</v>
      </c>
      <c r="E722" s="22" t="inlineStr">
        <is>
          <t>Nairaland: Nairaland</t>
        </is>
      </c>
      <c r="F722" s="22" t="inlineStr">
        <is>
          <t>nairaland:Nairaland</t>
        </is>
      </c>
      <c r="G722" s="22" t="n">
        <v>0.542</v>
      </c>
      <c r="H722" s="22" t="n">
        <v>1</v>
      </c>
      <c r="I722" s="22" t="n">
        <v>0</v>
      </c>
      <c r="J722" s="22" t="n">
        <v>0</v>
      </c>
      <c r="K722" s="22" t="n">
        <v>0</v>
      </c>
      <c r="L722" s="22" t="n">
        <v>0</v>
      </c>
      <c r="M722" s="22" t="n">
        <v>0</v>
      </c>
      <c r="N722" s="22" t="n">
        <v>0</v>
      </c>
      <c r="O722" s="22" t="n">
        <v>0</v>
      </c>
      <c r="P722" s="22" t="n">
        <v>0</v>
      </c>
      <c r="Q722" s="22" t="n">
        <v>0</v>
      </c>
      <c r="R722" s="22" t="n">
        <v>0</v>
      </c>
      <c r="S722" s="22" t="n">
        <v>0</v>
      </c>
      <c r="T722" s="22" t="n">
        <v>0</v>
      </c>
      <c r="U722" s="3">
        <f>IF(OR(N722=1,Q722=1),1,0)</f>
        <v/>
      </c>
      <c r="V722" s="3">
        <f>IF(OR(T722=1,P722=1),1,0)</f>
        <v/>
      </c>
      <c r="W722" s="3">
        <f>IF(OR(J722=1),1,0)</f>
        <v/>
      </c>
      <c r="X722" s="3">
        <f>IF(OR(I722=1,H722=1),1,0)</f>
        <v/>
      </c>
      <c r="Y722" s="3">
        <f>IF(OR(G722=1),1,0)</f>
        <v/>
      </c>
      <c r="Z722" s="3">
        <f>IF(OR(F722=1),1,0)</f>
        <v/>
      </c>
      <c r="AA722" s="3">
        <f>IF(OR(M722=1),1,0)</f>
        <v/>
      </c>
    </row>
    <row r="723">
      <c r="A723" s="22" t="inlineStr">
        <is>
          <t>92d769d87ec37aeef44c9514d6037d24263dd940</t>
        </is>
      </c>
      <c r="B723" s="22" t="inlineStr">
        <is>
          <t>2026-06</t>
        </is>
      </c>
      <c r="C723" s="22" t="inlineStr">
        <is>
          <t>Nairaland</t>
        </is>
      </c>
      <c r="D723" s="22" t="n">
        <v>0</v>
      </c>
      <c r="E723" s="22" t="inlineStr">
        <is>
          <t>Nairaland: Nairaland</t>
        </is>
      </c>
      <c r="F723" s="22" t="inlineStr">
        <is>
          <t>nairaland:Nairaland</t>
        </is>
      </c>
      <c r="G723" s="22" t="n">
        <v>-0.494</v>
      </c>
      <c r="H723" s="22" t="n">
        <v>1</v>
      </c>
      <c r="I723" s="22" t="n">
        <v>0</v>
      </c>
      <c r="J723" s="22" t="n">
        <v>0</v>
      </c>
      <c r="K723" s="22" t="n">
        <v>0</v>
      </c>
      <c r="L723" s="22" t="n">
        <v>0</v>
      </c>
      <c r="M723" s="22" t="n">
        <v>0</v>
      </c>
      <c r="N723" s="22" t="n">
        <v>0</v>
      </c>
      <c r="O723" s="22" t="n">
        <v>0</v>
      </c>
      <c r="P723" s="22" t="n">
        <v>0</v>
      </c>
      <c r="Q723" s="22" t="n">
        <v>0</v>
      </c>
      <c r="R723" s="22" t="n">
        <v>0</v>
      </c>
      <c r="S723" s="22" t="n">
        <v>0</v>
      </c>
      <c r="T723" s="22" t="n">
        <v>0</v>
      </c>
      <c r="U723" s="3">
        <f>IF(OR(N723=1,Q723=1),1,0)</f>
        <v/>
      </c>
      <c r="V723" s="3">
        <f>IF(OR(T723=1,P723=1),1,0)</f>
        <v/>
      </c>
      <c r="W723" s="3">
        <f>IF(OR(J723=1),1,0)</f>
        <v/>
      </c>
      <c r="X723" s="3">
        <f>IF(OR(I723=1,H723=1),1,0)</f>
        <v/>
      </c>
      <c r="Y723" s="3">
        <f>IF(OR(G723=1),1,0)</f>
        <v/>
      </c>
      <c r="Z723" s="3">
        <f>IF(OR(F723=1),1,0)</f>
        <v/>
      </c>
      <c r="AA723" s="3">
        <f>IF(OR(M723=1),1,0)</f>
        <v/>
      </c>
    </row>
    <row r="724">
      <c r="A724" s="22" t="inlineStr">
        <is>
          <t>77cc1fbe7f94eb6388a44d027d3ff6f9c57e21db</t>
        </is>
      </c>
      <c r="B724" s="22" t="inlineStr">
        <is>
          <t>2026-06</t>
        </is>
      </c>
      <c r="C724" s="22" t="inlineStr">
        <is>
          <t>Nairaland</t>
        </is>
      </c>
      <c r="D724" s="22" t="n">
        <v>0</v>
      </c>
      <c r="E724" s="22" t="inlineStr">
        <is>
          <t>Nairaland: Nairaland</t>
        </is>
      </c>
      <c r="F724" s="22" t="inlineStr">
        <is>
          <t>nairaland:Nairaland</t>
        </is>
      </c>
      <c r="G724" s="22" t="n">
        <v>0.178</v>
      </c>
      <c r="H724" s="22" t="n">
        <v>1</v>
      </c>
      <c r="I724" s="22" t="n">
        <v>0</v>
      </c>
      <c r="J724" s="22" t="n">
        <v>0</v>
      </c>
      <c r="K724" s="22" t="n">
        <v>0</v>
      </c>
      <c r="L724" s="22" t="n">
        <v>0</v>
      </c>
      <c r="M724" s="22" t="n">
        <v>0</v>
      </c>
      <c r="N724" s="22" t="n">
        <v>0</v>
      </c>
      <c r="O724" s="22" t="n">
        <v>0</v>
      </c>
      <c r="P724" s="22" t="n">
        <v>0</v>
      </c>
      <c r="Q724" s="22" t="n">
        <v>0</v>
      </c>
      <c r="R724" s="22" t="n">
        <v>0</v>
      </c>
      <c r="S724" s="22" t="n">
        <v>0</v>
      </c>
      <c r="T724" s="22" t="n">
        <v>0</v>
      </c>
      <c r="U724" s="3">
        <f>IF(OR(N724=1,Q724=1),1,0)</f>
        <v/>
      </c>
      <c r="V724" s="3">
        <f>IF(OR(T724=1,P724=1),1,0)</f>
        <v/>
      </c>
      <c r="W724" s="3">
        <f>IF(OR(J724=1),1,0)</f>
        <v/>
      </c>
      <c r="X724" s="3">
        <f>IF(OR(I724=1,H724=1),1,0)</f>
        <v/>
      </c>
      <c r="Y724" s="3">
        <f>IF(OR(G724=1),1,0)</f>
        <v/>
      </c>
      <c r="Z724" s="3">
        <f>IF(OR(F724=1),1,0)</f>
        <v/>
      </c>
      <c r="AA724" s="3">
        <f>IF(OR(M724=1),1,0)</f>
        <v/>
      </c>
    </row>
    <row r="725">
      <c r="A725" s="22" t="inlineStr">
        <is>
          <t>d5ce26d780f434798de8f8e1750b5fa098822177</t>
        </is>
      </c>
      <c r="B725" s="22" t="inlineStr">
        <is>
          <t>2026-06</t>
        </is>
      </c>
      <c r="C725" s="22" t="inlineStr">
        <is>
          <t>Nairaland</t>
        </is>
      </c>
      <c r="D725" s="22" t="n">
        <v>0</v>
      </c>
      <c r="E725" s="22" t="inlineStr">
        <is>
          <t>Nairaland: Nairaland</t>
        </is>
      </c>
      <c r="F725" s="22" t="inlineStr">
        <is>
          <t>nairaland:Nairaland</t>
        </is>
      </c>
      <c r="G725" s="22" t="n">
        <v>-0.494</v>
      </c>
      <c r="H725" s="22" t="n">
        <v>0</v>
      </c>
      <c r="I725" s="22" t="n">
        <v>1</v>
      </c>
      <c r="J725" s="22" t="n">
        <v>0</v>
      </c>
      <c r="K725" s="22" t="n">
        <v>0</v>
      </c>
      <c r="L725" s="22" t="n">
        <v>0</v>
      </c>
      <c r="M725" s="22" t="n">
        <v>0</v>
      </c>
      <c r="N725" s="22" t="n">
        <v>0</v>
      </c>
      <c r="O725" s="22" t="n">
        <v>0</v>
      </c>
      <c r="P725" s="22" t="n">
        <v>1</v>
      </c>
      <c r="Q725" s="22" t="n">
        <v>0</v>
      </c>
      <c r="R725" s="22" t="n">
        <v>0</v>
      </c>
      <c r="S725" s="22" t="n">
        <v>0</v>
      </c>
      <c r="T725" s="22" t="n">
        <v>0</v>
      </c>
      <c r="U725" s="3">
        <f>IF(OR(N725=1,Q725=1),1,0)</f>
        <v/>
      </c>
      <c r="V725" s="3">
        <f>IF(OR(T725=1,P725=1),1,0)</f>
        <v/>
      </c>
      <c r="W725" s="3">
        <f>IF(OR(J725=1),1,0)</f>
        <v/>
      </c>
      <c r="X725" s="3">
        <f>IF(OR(I725=1,H725=1),1,0)</f>
        <v/>
      </c>
      <c r="Y725" s="3">
        <f>IF(OR(G725=1),1,0)</f>
        <v/>
      </c>
      <c r="Z725" s="3">
        <f>IF(OR(F725=1),1,0)</f>
        <v/>
      </c>
      <c r="AA725" s="3">
        <f>IF(OR(M725=1),1,0)</f>
        <v/>
      </c>
    </row>
    <row r="726">
      <c r="A726" s="22" t="inlineStr">
        <is>
          <t>ed9a9fa9bfbf03458b4b7f43819f228b2c0e4264</t>
        </is>
      </c>
      <c r="B726" s="22" t="inlineStr">
        <is>
          <t>2026-06</t>
        </is>
      </c>
      <c r="C726" s="22" t="inlineStr">
        <is>
          <t>Nairaland</t>
        </is>
      </c>
      <c r="D726" s="22" t="n">
        <v>0</v>
      </c>
      <c r="E726" s="22" t="inlineStr">
        <is>
          <t>Nairaland: Nairaland</t>
        </is>
      </c>
      <c r="F726" s="22" t="inlineStr">
        <is>
          <t>nairaland:Nairaland</t>
        </is>
      </c>
      <c r="G726" s="22" t="n">
        <v>0</v>
      </c>
      <c r="H726" s="22" t="n">
        <v>0</v>
      </c>
      <c r="I726" s="22" t="n">
        <v>1</v>
      </c>
      <c r="J726" s="22" t="n">
        <v>0</v>
      </c>
      <c r="K726" s="22" t="n">
        <v>0</v>
      </c>
      <c r="L726" s="22" t="n">
        <v>0</v>
      </c>
      <c r="M726" s="22" t="n">
        <v>0</v>
      </c>
      <c r="N726" s="22" t="n">
        <v>0</v>
      </c>
      <c r="O726" s="22" t="n">
        <v>0</v>
      </c>
      <c r="P726" s="22" t="n">
        <v>0</v>
      </c>
      <c r="Q726" s="22" t="n">
        <v>0</v>
      </c>
      <c r="R726" s="22" t="n">
        <v>0</v>
      </c>
      <c r="S726" s="22" t="n">
        <v>0</v>
      </c>
      <c r="T726" s="22" t="n">
        <v>0</v>
      </c>
      <c r="U726" s="3">
        <f>IF(OR(N726=1,Q726=1),1,0)</f>
        <v/>
      </c>
      <c r="V726" s="3">
        <f>IF(OR(T726=1,P726=1),1,0)</f>
        <v/>
      </c>
      <c r="W726" s="3">
        <f>IF(OR(J726=1),1,0)</f>
        <v/>
      </c>
      <c r="X726" s="3">
        <f>IF(OR(I726=1,H726=1),1,0)</f>
        <v/>
      </c>
      <c r="Y726" s="3">
        <f>IF(OR(G726=1),1,0)</f>
        <v/>
      </c>
      <c r="Z726" s="3">
        <f>IF(OR(F726=1),1,0)</f>
        <v/>
      </c>
      <c r="AA726" s="3">
        <f>IF(OR(M726=1),1,0)</f>
        <v/>
      </c>
    </row>
    <row r="727">
      <c r="A727" s="22" t="inlineStr">
        <is>
          <t>e887b215618d8432518704109842d9e0954062d1</t>
        </is>
      </c>
      <c r="B727" s="22" t="inlineStr">
        <is>
          <t>2026-06</t>
        </is>
      </c>
      <c r="C727" s="22" t="inlineStr">
        <is>
          <t>Nairaland</t>
        </is>
      </c>
      <c r="D727" s="22" t="n">
        <v>0</v>
      </c>
      <c r="E727" s="22" t="inlineStr">
        <is>
          <t>Nairaland: Nairaland</t>
        </is>
      </c>
      <c r="F727" s="22" t="inlineStr">
        <is>
          <t>nairaland:Nairaland</t>
        </is>
      </c>
      <c r="G727" s="22" t="n">
        <v>-0.586</v>
      </c>
      <c r="H727" s="22" t="n">
        <v>1</v>
      </c>
      <c r="I727" s="22" t="n">
        <v>0</v>
      </c>
      <c r="J727" s="22" t="n">
        <v>0</v>
      </c>
      <c r="K727" s="22" t="n">
        <v>0</v>
      </c>
      <c r="L727" s="22" t="n">
        <v>0</v>
      </c>
      <c r="M727" s="22" t="n">
        <v>0</v>
      </c>
      <c r="N727" s="22" t="n">
        <v>0</v>
      </c>
      <c r="O727" s="22" t="n">
        <v>0</v>
      </c>
      <c r="P727" s="22" t="n">
        <v>0</v>
      </c>
      <c r="Q727" s="22" t="n">
        <v>0</v>
      </c>
      <c r="R727" s="22" t="n">
        <v>0</v>
      </c>
      <c r="S727" s="22" t="n">
        <v>0</v>
      </c>
      <c r="T727" s="22" t="n">
        <v>0</v>
      </c>
      <c r="U727" s="3">
        <f>IF(OR(N727=1,Q727=1),1,0)</f>
        <v/>
      </c>
      <c r="V727" s="3">
        <f>IF(OR(T727=1,P727=1),1,0)</f>
        <v/>
      </c>
      <c r="W727" s="3">
        <f>IF(OR(J727=1),1,0)</f>
        <v/>
      </c>
      <c r="X727" s="3">
        <f>IF(OR(I727=1,H727=1),1,0)</f>
        <v/>
      </c>
      <c r="Y727" s="3">
        <f>IF(OR(G727=1),1,0)</f>
        <v/>
      </c>
      <c r="Z727" s="3">
        <f>IF(OR(F727=1),1,0)</f>
        <v/>
      </c>
      <c r="AA727" s="3">
        <f>IF(OR(M727=1),1,0)</f>
        <v/>
      </c>
    </row>
    <row r="728">
      <c r="A728" s="22" t="inlineStr">
        <is>
          <t>c94b4f2c36125c2ccadcaea3fc884fd567fcf9cb</t>
        </is>
      </c>
      <c r="B728" s="22" t="inlineStr">
        <is>
          <t>2026-06</t>
        </is>
      </c>
      <c r="C728" s="22" t="inlineStr">
        <is>
          <t>Nairaland</t>
        </is>
      </c>
      <c r="D728" s="22" t="n">
        <v>0</v>
      </c>
      <c r="E728" s="22" t="inlineStr">
        <is>
          <t>Nairaland: Nairaland</t>
        </is>
      </c>
      <c r="F728" s="22" t="inlineStr">
        <is>
          <t>nairaland:Nairaland</t>
        </is>
      </c>
      <c r="G728" s="22" t="n">
        <v>-0.586</v>
      </c>
      <c r="H728" s="22" t="n">
        <v>1</v>
      </c>
      <c r="I728" s="22" t="n">
        <v>0</v>
      </c>
      <c r="J728" s="22" t="n">
        <v>0</v>
      </c>
      <c r="K728" s="22" t="n">
        <v>0</v>
      </c>
      <c r="L728" s="22" t="n">
        <v>0</v>
      </c>
      <c r="M728" s="22" t="n">
        <v>0</v>
      </c>
      <c r="N728" s="22" t="n">
        <v>0</v>
      </c>
      <c r="O728" s="22" t="n">
        <v>0</v>
      </c>
      <c r="P728" s="22" t="n">
        <v>0</v>
      </c>
      <c r="Q728" s="22" t="n">
        <v>0</v>
      </c>
      <c r="R728" s="22" t="n">
        <v>0</v>
      </c>
      <c r="S728" s="22" t="n">
        <v>0</v>
      </c>
      <c r="T728" s="22" t="n">
        <v>0</v>
      </c>
      <c r="U728" s="3">
        <f>IF(OR(N728=1,Q728=1),1,0)</f>
        <v/>
      </c>
      <c r="V728" s="3">
        <f>IF(OR(T728=1,P728=1),1,0)</f>
        <v/>
      </c>
      <c r="W728" s="3">
        <f>IF(OR(J728=1),1,0)</f>
        <v/>
      </c>
      <c r="X728" s="3">
        <f>IF(OR(I728=1,H728=1),1,0)</f>
        <v/>
      </c>
      <c r="Y728" s="3">
        <f>IF(OR(G728=1),1,0)</f>
        <v/>
      </c>
      <c r="Z728" s="3">
        <f>IF(OR(F728=1),1,0)</f>
        <v/>
      </c>
      <c r="AA728" s="3">
        <f>IF(OR(M728=1),1,0)</f>
        <v/>
      </c>
    </row>
    <row r="729">
      <c r="A729" s="22" t="inlineStr">
        <is>
          <t>f1c9d62773e38211b22bbaab082f89c3e37d262e</t>
        </is>
      </c>
      <c r="B729" s="22" t="inlineStr">
        <is>
          <t>2026-06</t>
        </is>
      </c>
      <c r="C729" s="22" t="inlineStr">
        <is>
          <t>Nairaland</t>
        </is>
      </c>
      <c r="D729" s="22" t="n">
        <v>0</v>
      </c>
      <c r="E729" s="22" t="inlineStr">
        <is>
          <t>Nairaland: Nairaland</t>
        </is>
      </c>
      <c r="F729" s="22" t="inlineStr">
        <is>
          <t>nairaland:Nairaland</t>
        </is>
      </c>
      <c r="G729" s="22" t="n">
        <v>-0.955</v>
      </c>
      <c r="H729" s="22" t="n">
        <v>1</v>
      </c>
      <c r="I729" s="22" t="n">
        <v>0</v>
      </c>
      <c r="J729" s="22" t="n">
        <v>0</v>
      </c>
      <c r="K729" s="22" t="n">
        <v>0</v>
      </c>
      <c r="L729" s="22" t="n">
        <v>0</v>
      </c>
      <c r="M729" s="22" t="n">
        <v>0</v>
      </c>
      <c r="N729" s="22" t="n">
        <v>0</v>
      </c>
      <c r="O729" s="22" t="n">
        <v>0</v>
      </c>
      <c r="P729" s="22" t="n">
        <v>0</v>
      </c>
      <c r="Q729" s="22" t="n">
        <v>0</v>
      </c>
      <c r="R729" s="22" t="n">
        <v>0</v>
      </c>
      <c r="S729" s="22" t="n">
        <v>0</v>
      </c>
      <c r="T729" s="22" t="n">
        <v>0</v>
      </c>
      <c r="U729" s="3">
        <f>IF(OR(N729=1,Q729=1),1,0)</f>
        <v/>
      </c>
      <c r="V729" s="3">
        <f>IF(OR(T729=1,P729=1),1,0)</f>
        <v/>
      </c>
      <c r="W729" s="3">
        <f>IF(OR(J729=1),1,0)</f>
        <v/>
      </c>
      <c r="X729" s="3">
        <f>IF(OR(I729=1,H729=1),1,0)</f>
        <v/>
      </c>
      <c r="Y729" s="3">
        <f>IF(OR(G729=1),1,0)</f>
        <v/>
      </c>
      <c r="Z729" s="3">
        <f>IF(OR(F729=1),1,0)</f>
        <v/>
      </c>
      <c r="AA729" s="3">
        <f>IF(OR(M729=1),1,0)</f>
        <v/>
      </c>
    </row>
    <row r="730">
      <c r="A730" s="22" t="inlineStr">
        <is>
          <t>dcc2588b8248fb3d807199d69e7b1195bd11ab75</t>
        </is>
      </c>
      <c r="B730" s="22" t="inlineStr">
        <is>
          <t>2026-06</t>
        </is>
      </c>
      <c r="C730" s="22" t="inlineStr">
        <is>
          <t>Nairaland</t>
        </is>
      </c>
      <c r="D730" s="22" t="n">
        <v>0</v>
      </c>
      <c r="E730" s="22" t="inlineStr">
        <is>
          <t>Nairaland: Nairaland</t>
        </is>
      </c>
      <c r="F730" s="22" t="inlineStr">
        <is>
          <t>nairaland:Nairaland</t>
        </is>
      </c>
      <c r="G730" s="22" t="n">
        <v>-0.271</v>
      </c>
      <c r="H730" s="22" t="n">
        <v>1</v>
      </c>
      <c r="I730" s="22" t="n">
        <v>0</v>
      </c>
      <c r="J730" s="22" t="n">
        <v>0</v>
      </c>
      <c r="K730" s="22" t="n">
        <v>0</v>
      </c>
      <c r="L730" s="22" t="n">
        <v>0</v>
      </c>
      <c r="M730" s="22" t="n">
        <v>0</v>
      </c>
      <c r="N730" s="22" t="n">
        <v>0</v>
      </c>
      <c r="O730" s="22" t="n">
        <v>0</v>
      </c>
      <c r="P730" s="22" t="n">
        <v>0</v>
      </c>
      <c r="Q730" s="22" t="n">
        <v>0</v>
      </c>
      <c r="R730" s="22" t="n">
        <v>0</v>
      </c>
      <c r="S730" s="22" t="n">
        <v>0</v>
      </c>
      <c r="T730" s="22" t="n">
        <v>0</v>
      </c>
      <c r="U730" s="3">
        <f>IF(OR(N730=1,Q730=1),1,0)</f>
        <v/>
      </c>
      <c r="V730" s="3">
        <f>IF(OR(T730=1,P730=1),1,0)</f>
        <v/>
      </c>
      <c r="W730" s="3">
        <f>IF(OR(J730=1),1,0)</f>
        <v/>
      </c>
      <c r="X730" s="3">
        <f>IF(OR(I730=1,H730=1),1,0)</f>
        <v/>
      </c>
      <c r="Y730" s="3">
        <f>IF(OR(G730=1),1,0)</f>
        <v/>
      </c>
      <c r="Z730" s="3">
        <f>IF(OR(F730=1),1,0)</f>
        <v/>
      </c>
      <c r="AA730" s="3">
        <f>IF(OR(M730=1),1,0)</f>
        <v/>
      </c>
    </row>
    <row r="731">
      <c r="A731" s="22" t="inlineStr">
        <is>
          <t>bb6c00d3c3b823b60c4a0335bc815678842eafe8</t>
        </is>
      </c>
      <c r="B731" s="22" t="inlineStr">
        <is>
          <t>2026-06</t>
        </is>
      </c>
      <c r="C731" s="22" t="inlineStr">
        <is>
          <t>Nairaland</t>
        </is>
      </c>
      <c r="D731" s="22" t="n">
        <v>0</v>
      </c>
      <c r="E731" s="22" t="inlineStr">
        <is>
          <t>Nairaland: Nairaland</t>
        </is>
      </c>
      <c r="F731" s="22" t="inlineStr">
        <is>
          <t>nairaland:Nairaland</t>
        </is>
      </c>
      <c r="G731" s="22" t="n">
        <v>0.852</v>
      </c>
      <c r="H731" s="22" t="n">
        <v>0</v>
      </c>
      <c r="I731" s="22" t="n">
        <v>0</v>
      </c>
      <c r="J731" s="22" t="n">
        <v>0</v>
      </c>
      <c r="K731" s="22" t="n">
        <v>0</v>
      </c>
      <c r="L731" s="22" t="n">
        <v>1</v>
      </c>
      <c r="M731" s="22" t="n">
        <v>0</v>
      </c>
      <c r="N731" s="22" t="n">
        <v>0</v>
      </c>
      <c r="O731" s="22" t="n">
        <v>0</v>
      </c>
      <c r="P731" s="22" t="n">
        <v>0</v>
      </c>
      <c r="Q731" s="22" t="n">
        <v>0</v>
      </c>
      <c r="R731" s="22" t="n">
        <v>0</v>
      </c>
      <c r="S731" s="22" t="n">
        <v>0</v>
      </c>
      <c r="T731" s="22" t="n">
        <v>0</v>
      </c>
      <c r="U731" s="3">
        <f>IF(OR(N731=1,Q731=1),1,0)</f>
        <v/>
      </c>
      <c r="V731" s="3">
        <f>IF(OR(T731=1,P731=1),1,0)</f>
        <v/>
      </c>
      <c r="W731" s="3">
        <f>IF(OR(J731=1),1,0)</f>
        <v/>
      </c>
      <c r="X731" s="3">
        <f>IF(OR(I731=1,H731=1),1,0)</f>
        <v/>
      </c>
      <c r="Y731" s="3">
        <f>IF(OR(G731=1),1,0)</f>
        <v/>
      </c>
      <c r="Z731" s="3">
        <f>IF(OR(F731=1),1,0)</f>
        <v/>
      </c>
      <c r="AA731" s="3">
        <f>IF(OR(M731=1),1,0)</f>
        <v/>
      </c>
    </row>
    <row r="732">
      <c r="A732" s="22" t="inlineStr">
        <is>
          <t>b281e62434bd27635bfdcc419778a2d5c8781238</t>
        </is>
      </c>
      <c r="B732" s="22" t="inlineStr">
        <is>
          <t>2026-06</t>
        </is>
      </c>
      <c r="C732" s="22" t="inlineStr">
        <is>
          <t>Nairaland</t>
        </is>
      </c>
      <c r="D732" s="22" t="n">
        <v>0</v>
      </c>
      <c r="E732" s="22" t="inlineStr">
        <is>
          <t>Nairaland: Nairaland</t>
        </is>
      </c>
      <c r="F732" s="22" t="inlineStr">
        <is>
          <t>nairaland:Nairaland</t>
        </is>
      </c>
      <c r="G732" s="22" t="n">
        <v>-0.408</v>
      </c>
      <c r="H732" s="22" t="n">
        <v>0</v>
      </c>
      <c r="I732" s="22" t="n">
        <v>0</v>
      </c>
      <c r="J732" s="22" t="n">
        <v>0</v>
      </c>
      <c r="K732" s="22" t="n">
        <v>0</v>
      </c>
      <c r="L732" s="22" t="n">
        <v>0</v>
      </c>
      <c r="M732" s="22" t="n">
        <v>0</v>
      </c>
      <c r="N732" s="22" t="n">
        <v>0</v>
      </c>
      <c r="O732" s="22" t="n">
        <v>0</v>
      </c>
      <c r="P732" s="22" t="n">
        <v>1</v>
      </c>
      <c r="Q732" s="22" t="n">
        <v>0</v>
      </c>
      <c r="R732" s="22" t="n">
        <v>0</v>
      </c>
      <c r="S732" s="22" t="n">
        <v>0</v>
      </c>
      <c r="T732" s="22" t="n">
        <v>0</v>
      </c>
      <c r="U732" s="3">
        <f>IF(OR(N732=1,Q732=1),1,0)</f>
        <v/>
      </c>
      <c r="V732" s="3">
        <f>IF(OR(T732=1,P732=1),1,0)</f>
        <v/>
      </c>
      <c r="W732" s="3">
        <f>IF(OR(J732=1),1,0)</f>
        <v/>
      </c>
      <c r="X732" s="3">
        <f>IF(OR(I732=1,H732=1),1,0)</f>
        <v/>
      </c>
      <c r="Y732" s="3">
        <f>IF(OR(G732=1),1,0)</f>
        <v/>
      </c>
      <c r="Z732" s="3">
        <f>IF(OR(F732=1),1,0)</f>
        <v/>
      </c>
      <c r="AA732" s="3">
        <f>IF(OR(M732=1),1,0)</f>
        <v/>
      </c>
    </row>
    <row r="733">
      <c r="A733" s="22" t="inlineStr">
        <is>
          <t>8c5f0f6475d149ece6529a8c15348c5f79d01343</t>
        </is>
      </c>
      <c r="B733" s="22" t="inlineStr">
        <is>
          <t>2026-06</t>
        </is>
      </c>
      <c r="C733" s="22" t="inlineStr">
        <is>
          <t>Nairaland</t>
        </is>
      </c>
      <c r="D733" s="22" t="n">
        <v>0</v>
      </c>
      <c r="E733" s="22" t="inlineStr">
        <is>
          <t>Nairaland: Nairaland</t>
        </is>
      </c>
      <c r="F733" s="22" t="inlineStr">
        <is>
          <t>nairaland:Nairaland</t>
        </is>
      </c>
      <c r="G733" s="22" t="n">
        <v>-0.077</v>
      </c>
      <c r="H733" s="22" t="n">
        <v>0</v>
      </c>
      <c r="I733" s="22" t="n">
        <v>0</v>
      </c>
      <c r="J733" s="22" t="n">
        <v>0</v>
      </c>
      <c r="K733" s="22" t="n">
        <v>0</v>
      </c>
      <c r="L733" s="22" t="n">
        <v>0</v>
      </c>
      <c r="M733" s="22" t="n">
        <v>1</v>
      </c>
      <c r="N733" s="22" t="n">
        <v>0</v>
      </c>
      <c r="O733" s="22" t="n">
        <v>0</v>
      </c>
      <c r="P733" s="22" t="n">
        <v>0</v>
      </c>
      <c r="Q733" s="22" t="n">
        <v>0</v>
      </c>
      <c r="R733" s="22" t="n">
        <v>0</v>
      </c>
      <c r="S733" s="22" t="n">
        <v>0</v>
      </c>
      <c r="T733" s="22" t="n">
        <v>0</v>
      </c>
      <c r="U733" s="3">
        <f>IF(OR(N733=1,Q733=1),1,0)</f>
        <v/>
      </c>
      <c r="V733" s="3">
        <f>IF(OR(T733=1,P733=1),1,0)</f>
        <v/>
      </c>
      <c r="W733" s="3">
        <f>IF(OR(J733=1),1,0)</f>
        <v/>
      </c>
      <c r="X733" s="3">
        <f>IF(OR(I733=1,H733=1),1,0)</f>
        <v/>
      </c>
      <c r="Y733" s="3">
        <f>IF(OR(G733=1),1,0)</f>
        <v/>
      </c>
      <c r="Z733" s="3">
        <f>IF(OR(F733=1),1,0)</f>
        <v/>
      </c>
      <c r="AA733" s="3">
        <f>IF(OR(M733=1),1,0)</f>
        <v/>
      </c>
    </row>
    <row r="734">
      <c r="A734" s="22" t="inlineStr">
        <is>
          <t>9aee2eba91ff8c35d3545b0fd0d5fc025a0f0b87</t>
        </is>
      </c>
      <c r="B734" s="22" t="inlineStr">
        <is>
          <t>2026-05</t>
        </is>
      </c>
      <c r="C734" s="22" t="inlineStr">
        <is>
          <t>Nairaland</t>
        </is>
      </c>
      <c r="D734" s="22" t="n">
        <v>0</v>
      </c>
      <c r="E734" s="22" t="inlineStr">
        <is>
          <t>Nairaland: Nairaland</t>
        </is>
      </c>
      <c r="F734" s="22" t="inlineStr">
        <is>
          <t>nairaland:Nairaland</t>
        </is>
      </c>
      <c r="G734" s="22" t="n">
        <v>-0.901</v>
      </c>
      <c r="H734" s="22" t="n">
        <v>1</v>
      </c>
      <c r="I734" s="22" t="n">
        <v>0</v>
      </c>
      <c r="J734" s="22" t="n">
        <v>0</v>
      </c>
      <c r="K734" s="22" t="n">
        <v>0</v>
      </c>
      <c r="L734" s="22" t="n">
        <v>0</v>
      </c>
      <c r="M734" s="22" t="n">
        <v>0</v>
      </c>
      <c r="N734" s="22" t="n">
        <v>0</v>
      </c>
      <c r="O734" s="22" t="n">
        <v>0</v>
      </c>
      <c r="P734" s="22" t="n">
        <v>0</v>
      </c>
      <c r="Q734" s="22" t="n">
        <v>0</v>
      </c>
      <c r="R734" s="22" t="n">
        <v>0</v>
      </c>
      <c r="S734" s="22" t="n">
        <v>0</v>
      </c>
      <c r="T734" s="22" t="n">
        <v>0</v>
      </c>
      <c r="U734" s="3">
        <f>IF(OR(N734=1,Q734=1),1,0)</f>
        <v/>
      </c>
      <c r="V734" s="3">
        <f>IF(OR(T734=1,P734=1),1,0)</f>
        <v/>
      </c>
      <c r="W734" s="3">
        <f>IF(OR(J734=1),1,0)</f>
        <v/>
      </c>
      <c r="X734" s="3">
        <f>IF(OR(I734=1,H734=1),1,0)</f>
        <v/>
      </c>
      <c r="Y734" s="3">
        <f>IF(OR(G734=1),1,0)</f>
        <v/>
      </c>
      <c r="Z734" s="3">
        <f>IF(OR(F734=1),1,0)</f>
        <v/>
      </c>
      <c r="AA734" s="3">
        <f>IF(OR(M734=1),1,0)</f>
        <v/>
      </c>
    </row>
    <row r="735">
      <c r="A735" s="22" t="inlineStr">
        <is>
          <t>55c938273bc0b092a2cf78c8041beb491dd323fb</t>
        </is>
      </c>
      <c r="B735" s="22" t="inlineStr">
        <is>
          <t>2026-05</t>
        </is>
      </c>
      <c r="C735" s="22" t="inlineStr">
        <is>
          <t>Nairaland</t>
        </is>
      </c>
      <c r="D735" s="22" t="n">
        <v>0</v>
      </c>
      <c r="E735" s="22" t="inlineStr">
        <is>
          <t>Nairaland: Nairaland</t>
        </is>
      </c>
      <c r="F735" s="22" t="inlineStr">
        <is>
          <t>nairaland:Nairaland</t>
        </is>
      </c>
      <c r="G735" s="22" t="n">
        <v>-0.103</v>
      </c>
      <c r="H735" s="22" t="n">
        <v>0</v>
      </c>
      <c r="I735" s="22" t="n">
        <v>0</v>
      </c>
      <c r="J735" s="22" t="n">
        <v>0</v>
      </c>
      <c r="K735" s="22" t="n">
        <v>0</v>
      </c>
      <c r="L735" s="22" t="n">
        <v>0</v>
      </c>
      <c r="M735" s="22" t="n">
        <v>0</v>
      </c>
      <c r="N735" s="22" t="n">
        <v>0</v>
      </c>
      <c r="O735" s="22" t="n">
        <v>0</v>
      </c>
      <c r="P735" s="22" t="n">
        <v>0</v>
      </c>
      <c r="Q735" s="22" t="n">
        <v>0</v>
      </c>
      <c r="R735" s="22" t="n">
        <v>0</v>
      </c>
      <c r="S735" s="22" t="n">
        <v>0</v>
      </c>
      <c r="T735" s="22" t="n">
        <v>0</v>
      </c>
      <c r="U735" s="3">
        <f>IF(OR(N735=1,Q735=1),1,0)</f>
        <v/>
      </c>
      <c r="V735" s="3">
        <f>IF(OR(T735=1,P735=1),1,0)</f>
        <v/>
      </c>
      <c r="W735" s="3">
        <f>IF(OR(J735=1),1,0)</f>
        <v/>
      </c>
      <c r="X735" s="3">
        <f>IF(OR(I735=1,H735=1),1,0)</f>
        <v/>
      </c>
      <c r="Y735" s="3">
        <f>IF(OR(G735=1),1,0)</f>
        <v/>
      </c>
      <c r="Z735" s="3">
        <f>IF(OR(F735=1),1,0)</f>
        <v/>
      </c>
      <c r="AA735" s="3">
        <f>IF(OR(M735=1),1,0)</f>
        <v/>
      </c>
    </row>
    <row r="736">
      <c r="A736" s="22" t="inlineStr">
        <is>
          <t>2df0235ece482639fae8b9ff65a7275dcddf2527</t>
        </is>
      </c>
      <c r="B736" s="22" t="inlineStr">
        <is>
          <t>2026-05</t>
        </is>
      </c>
      <c r="C736" s="22" t="inlineStr">
        <is>
          <t>Nairaland</t>
        </is>
      </c>
      <c r="D736" s="22" t="n">
        <v>0</v>
      </c>
      <c r="E736" s="22" t="inlineStr">
        <is>
          <t>Nairaland: Nairaland</t>
        </is>
      </c>
      <c r="F736" s="22" t="inlineStr">
        <is>
          <t>nairaland:Nairaland</t>
        </is>
      </c>
      <c r="G736" s="22" t="n">
        <v>-0.526</v>
      </c>
      <c r="H736" s="22" t="n">
        <v>1</v>
      </c>
      <c r="I736" s="22" t="n">
        <v>0</v>
      </c>
      <c r="J736" s="22" t="n">
        <v>0</v>
      </c>
      <c r="K736" s="22" t="n">
        <v>0</v>
      </c>
      <c r="L736" s="22" t="n">
        <v>0</v>
      </c>
      <c r="M736" s="22" t="n">
        <v>0</v>
      </c>
      <c r="N736" s="22" t="n">
        <v>0</v>
      </c>
      <c r="O736" s="22" t="n">
        <v>0</v>
      </c>
      <c r="P736" s="22" t="n">
        <v>0</v>
      </c>
      <c r="Q736" s="22" t="n">
        <v>0</v>
      </c>
      <c r="R736" s="22" t="n">
        <v>0</v>
      </c>
      <c r="S736" s="22" t="n">
        <v>0</v>
      </c>
      <c r="T736" s="22" t="n">
        <v>0</v>
      </c>
      <c r="U736" s="3">
        <f>IF(OR(N736=1,Q736=1),1,0)</f>
        <v/>
      </c>
      <c r="V736" s="3">
        <f>IF(OR(T736=1,P736=1),1,0)</f>
        <v/>
      </c>
      <c r="W736" s="3">
        <f>IF(OR(J736=1),1,0)</f>
        <v/>
      </c>
      <c r="X736" s="3">
        <f>IF(OR(I736=1,H736=1),1,0)</f>
        <v/>
      </c>
      <c r="Y736" s="3">
        <f>IF(OR(G736=1),1,0)</f>
        <v/>
      </c>
      <c r="Z736" s="3">
        <f>IF(OR(F736=1),1,0)</f>
        <v/>
      </c>
      <c r="AA736" s="3">
        <f>IF(OR(M736=1),1,0)</f>
        <v/>
      </c>
    </row>
    <row r="737">
      <c r="A737" s="22" t="inlineStr">
        <is>
          <t>2edc776f18c9d1ac38ba8f74ce3020901a3844ab</t>
        </is>
      </c>
      <c r="B737" s="22" t="inlineStr">
        <is>
          <t>2026-06</t>
        </is>
      </c>
      <c r="C737" s="22" t="inlineStr">
        <is>
          <t>Nairaland</t>
        </is>
      </c>
      <c r="D737" s="22" t="n">
        <v>0</v>
      </c>
      <c r="E737" s="22" t="inlineStr">
        <is>
          <t>Nairaland: Nairaland</t>
        </is>
      </c>
      <c r="F737" s="22" t="inlineStr">
        <is>
          <t>nairaland:Nairaland</t>
        </is>
      </c>
      <c r="G737" s="22" t="n">
        <v>0.44</v>
      </c>
      <c r="H737" s="22" t="n">
        <v>0</v>
      </c>
      <c r="I737" s="22" t="n">
        <v>0</v>
      </c>
      <c r="J737" s="22" t="n">
        <v>0</v>
      </c>
      <c r="K737" s="22" t="n">
        <v>0</v>
      </c>
      <c r="L737" s="22" t="n">
        <v>0</v>
      </c>
      <c r="M737" s="22" t="n">
        <v>0</v>
      </c>
      <c r="N737" s="22" t="n">
        <v>0</v>
      </c>
      <c r="O737" s="22" t="n">
        <v>0</v>
      </c>
      <c r="P737" s="22" t="n">
        <v>1</v>
      </c>
      <c r="Q737" s="22" t="n">
        <v>0</v>
      </c>
      <c r="R737" s="22" t="n">
        <v>0</v>
      </c>
      <c r="S737" s="22" t="n">
        <v>0</v>
      </c>
      <c r="T737" s="22" t="n">
        <v>0</v>
      </c>
      <c r="U737" s="3">
        <f>IF(OR(N737=1,Q737=1),1,0)</f>
        <v/>
      </c>
      <c r="V737" s="3">
        <f>IF(OR(T737=1,P737=1),1,0)</f>
        <v/>
      </c>
      <c r="W737" s="3">
        <f>IF(OR(J737=1),1,0)</f>
        <v/>
      </c>
      <c r="X737" s="3">
        <f>IF(OR(I737=1,H737=1),1,0)</f>
        <v/>
      </c>
      <c r="Y737" s="3">
        <f>IF(OR(G737=1),1,0)</f>
        <v/>
      </c>
      <c r="Z737" s="3">
        <f>IF(OR(F737=1),1,0)</f>
        <v/>
      </c>
      <c r="AA737" s="3">
        <f>IF(OR(M737=1),1,0)</f>
        <v/>
      </c>
    </row>
    <row r="738">
      <c r="A738" s="22" t="inlineStr">
        <is>
          <t>7cd73af42999498056fbe78d0c4c0c78a00118e9</t>
        </is>
      </c>
      <c r="B738" s="22" t="inlineStr">
        <is>
          <t>2026-01</t>
        </is>
      </c>
      <c r="C738" s="22" t="inlineStr">
        <is>
          <t>X</t>
        </is>
      </c>
      <c r="D738" s="22" t="n">
        <v>1</v>
      </c>
      <c r="E738" s="22" t="inlineStr">
        <is>
          <t>X: X search (Top): Ekiti governorship election INEC 2026</t>
        </is>
      </c>
      <c r="F738" s="22" t="inlineStr">
        <is>
          <t>x:X search (Top): Ekiti governorship election INEC 2026</t>
        </is>
      </c>
      <c r="G738" s="22" t="n">
        <v>-0.802</v>
      </c>
      <c r="H738" s="22" t="n">
        <v>0</v>
      </c>
      <c r="I738" s="22" t="n">
        <v>0</v>
      </c>
      <c r="J738" s="22" t="n">
        <v>0</v>
      </c>
      <c r="K738" s="22" t="n">
        <v>0</v>
      </c>
      <c r="L738" s="22" t="n">
        <v>0</v>
      </c>
      <c r="M738" s="22" t="n">
        <v>1</v>
      </c>
      <c r="N738" s="22" t="n">
        <v>0</v>
      </c>
      <c r="O738" s="22" t="n">
        <v>0</v>
      </c>
      <c r="P738" s="22" t="n">
        <v>0</v>
      </c>
      <c r="Q738" s="22" t="n">
        <v>0</v>
      </c>
      <c r="R738" s="22" t="n">
        <v>0</v>
      </c>
      <c r="S738" s="22" t="n">
        <v>0</v>
      </c>
      <c r="T738" s="22" t="n">
        <v>0</v>
      </c>
      <c r="U738" s="3">
        <f>IF(OR(N738=1,Q738=1),1,0)</f>
        <v/>
      </c>
      <c r="V738" s="3">
        <f>IF(OR(T738=1,P738=1),1,0)</f>
        <v/>
      </c>
      <c r="W738" s="3">
        <f>IF(OR(J738=1),1,0)</f>
        <v/>
      </c>
      <c r="X738" s="3">
        <f>IF(OR(I738=1,H738=1),1,0)</f>
        <v/>
      </c>
      <c r="Y738" s="3">
        <f>IF(OR(G738=1),1,0)</f>
        <v/>
      </c>
      <c r="Z738" s="3">
        <f>IF(OR(F738=1),1,0)</f>
        <v/>
      </c>
      <c r="AA738" s="3">
        <f>IF(OR(M738=1),1,0)</f>
        <v/>
      </c>
    </row>
    <row r="739">
      <c r="A739" s="22" t="inlineStr">
        <is>
          <t>d5331c4b9ecdea28032d8efc364ed74fe4705562</t>
        </is>
      </c>
      <c r="B739" s="22" t="inlineStr">
        <is>
          <t>2026-10</t>
        </is>
      </c>
      <c r="C739" s="22" t="inlineStr">
        <is>
          <t>X</t>
        </is>
      </c>
      <c r="D739" s="22" t="n">
        <v>1</v>
      </c>
      <c r="E739" s="22" t="inlineStr">
        <is>
          <t>X: X search (Top): Ekiti governorship election INEC 2026</t>
        </is>
      </c>
      <c r="F739" s="22" t="inlineStr">
        <is>
          <t>x:X search (Top): Ekiti governorship election INEC 2026</t>
        </is>
      </c>
      <c r="G739" s="22" t="n">
        <v>-0.5570000000000001</v>
      </c>
      <c r="H739" s="22" t="n">
        <v>0</v>
      </c>
      <c r="I739" s="22" t="n">
        <v>0</v>
      </c>
      <c r="J739" s="22" t="n">
        <v>1</v>
      </c>
      <c r="K739" s="22" t="n">
        <v>0</v>
      </c>
      <c r="L739" s="22" t="n">
        <v>0</v>
      </c>
      <c r="M739" s="22" t="n">
        <v>1</v>
      </c>
      <c r="N739" s="22" t="n">
        <v>0</v>
      </c>
      <c r="O739" s="22" t="n">
        <v>0</v>
      </c>
      <c r="P739" s="22" t="n">
        <v>0</v>
      </c>
      <c r="Q739" s="22" t="n">
        <v>0</v>
      </c>
      <c r="R739" s="22" t="n">
        <v>0</v>
      </c>
      <c r="S739" s="22" t="n">
        <v>0</v>
      </c>
      <c r="T739" s="22" t="n">
        <v>0</v>
      </c>
      <c r="U739" s="3">
        <f>IF(OR(N739=1,Q739=1),1,0)</f>
        <v/>
      </c>
      <c r="V739" s="3">
        <f>IF(OR(T739=1,P739=1),1,0)</f>
        <v/>
      </c>
      <c r="W739" s="3">
        <f>IF(OR(J739=1),1,0)</f>
        <v/>
      </c>
      <c r="X739" s="3">
        <f>IF(OR(I739=1,H739=1),1,0)</f>
        <v/>
      </c>
      <c r="Y739" s="3">
        <f>IF(OR(G739=1),1,0)</f>
        <v/>
      </c>
      <c r="Z739" s="3">
        <f>IF(OR(F739=1),1,0)</f>
        <v/>
      </c>
      <c r="AA739" s="3">
        <f>IF(OR(M739=1),1,0)</f>
        <v/>
      </c>
    </row>
    <row r="740">
      <c r="A740" s="22" t="inlineStr">
        <is>
          <t>f7d7ea2aafd9a2c153d6c1af62c561d8081ee024</t>
        </is>
      </c>
      <c r="B740" s="22" t="inlineStr">
        <is>
          <t>2026-03</t>
        </is>
      </c>
      <c r="C740" s="22" t="inlineStr">
        <is>
          <t>X</t>
        </is>
      </c>
      <c r="D740" s="22" t="n">
        <v>1</v>
      </c>
      <c r="E740" s="22" t="inlineStr">
        <is>
          <t>X: X search (Top): Ekiti governorship election INEC 2026</t>
        </is>
      </c>
      <c r="F740" s="22" t="inlineStr">
        <is>
          <t>x:X search (Top): Ekiti governorship election INEC 2026</t>
        </is>
      </c>
      <c r="G740" s="22" t="n">
        <v>0.67</v>
      </c>
      <c r="H740" s="22" t="n">
        <v>0</v>
      </c>
      <c r="I740" s="22" t="n">
        <v>0</v>
      </c>
      <c r="J740" s="22" t="n">
        <v>0</v>
      </c>
      <c r="K740" s="22" t="n">
        <v>0</v>
      </c>
      <c r="L740" s="22" t="n">
        <v>0</v>
      </c>
      <c r="M740" s="22" t="n">
        <v>0</v>
      </c>
      <c r="N740" s="22" t="n">
        <v>0</v>
      </c>
      <c r="O740" s="22" t="n">
        <v>1</v>
      </c>
      <c r="P740" s="22" t="n">
        <v>0</v>
      </c>
      <c r="Q740" s="22" t="n">
        <v>0</v>
      </c>
      <c r="R740" s="22" t="n">
        <v>0</v>
      </c>
      <c r="S740" s="22" t="n">
        <v>0</v>
      </c>
      <c r="T740" s="22" t="n">
        <v>0</v>
      </c>
      <c r="U740" s="3">
        <f>IF(OR(N740=1,Q740=1),1,0)</f>
        <v/>
      </c>
      <c r="V740" s="3">
        <f>IF(OR(T740=1,P740=1),1,0)</f>
        <v/>
      </c>
      <c r="W740" s="3">
        <f>IF(OR(J740=1),1,0)</f>
        <v/>
      </c>
      <c r="X740" s="3">
        <f>IF(OR(I740=1,H740=1),1,0)</f>
        <v/>
      </c>
      <c r="Y740" s="3">
        <f>IF(OR(G740=1),1,0)</f>
        <v/>
      </c>
      <c r="Z740" s="3">
        <f>IF(OR(F740=1),1,0)</f>
        <v/>
      </c>
      <c r="AA740" s="3">
        <f>IF(OR(M740=1),1,0)</f>
        <v/>
      </c>
    </row>
    <row r="741">
      <c r="A741" s="22" t="inlineStr">
        <is>
          <t>84f5f7bcbaff477fc4b4262daf8a5950060874e0</t>
        </is>
      </c>
      <c r="B741" s="22" t="inlineStr">
        <is>
          <t>2026-06</t>
        </is>
      </c>
      <c r="C741" s="22" t="inlineStr">
        <is>
          <t>X</t>
        </is>
      </c>
      <c r="D741" s="22" t="n">
        <v>1</v>
      </c>
      <c r="E741" s="22" t="inlineStr">
        <is>
          <t>X: X search (Top): Ekiti governorship election INEC 2026</t>
        </is>
      </c>
      <c r="F741" s="22" t="inlineStr">
        <is>
          <t>x:X search (Top): Ekiti governorship election INEC 2026</t>
        </is>
      </c>
      <c r="G741" s="22" t="n">
        <v>0.527</v>
      </c>
      <c r="H741" s="22" t="n">
        <v>0</v>
      </c>
      <c r="I741" s="22" t="n">
        <v>0</v>
      </c>
      <c r="J741" s="22" t="n">
        <v>0</v>
      </c>
      <c r="K741" s="22" t="n">
        <v>0</v>
      </c>
      <c r="L741" s="22" t="n">
        <v>0</v>
      </c>
      <c r="M741" s="22" t="n">
        <v>0</v>
      </c>
      <c r="N741" s="22" t="n">
        <v>0</v>
      </c>
      <c r="O741" s="22" t="n">
        <v>0</v>
      </c>
      <c r="P741" s="22" t="n">
        <v>1</v>
      </c>
      <c r="Q741" s="22" t="n">
        <v>0</v>
      </c>
      <c r="R741" s="22" t="n">
        <v>0</v>
      </c>
      <c r="S741" s="22" t="n">
        <v>0</v>
      </c>
      <c r="T741" s="22" t="n">
        <v>0</v>
      </c>
      <c r="U741" s="3">
        <f>IF(OR(N741=1,Q741=1),1,0)</f>
        <v/>
      </c>
      <c r="V741" s="3">
        <f>IF(OR(T741=1,P741=1),1,0)</f>
        <v/>
      </c>
      <c r="W741" s="3">
        <f>IF(OR(J741=1),1,0)</f>
        <v/>
      </c>
      <c r="X741" s="3">
        <f>IF(OR(I741=1,H741=1),1,0)</f>
        <v/>
      </c>
      <c r="Y741" s="3">
        <f>IF(OR(G741=1),1,0)</f>
        <v/>
      </c>
      <c r="Z741" s="3">
        <f>IF(OR(F741=1),1,0)</f>
        <v/>
      </c>
      <c r="AA741" s="3">
        <f>IF(OR(M741=1),1,0)</f>
        <v/>
      </c>
    </row>
    <row r="742">
      <c r="A742" s="22" t="inlineStr">
        <is>
          <t>70bea2cd90ad3b8045d891cbde84ee623344641f</t>
        </is>
      </c>
      <c r="B742" s="22" t="inlineStr">
        <is>
          <t>2026-06</t>
        </is>
      </c>
      <c r="C742" s="22" t="inlineStr">
        <is>
          <t>X</t>
        </is>
      </c>
      <c r="D742" s="22" t="n">
        <v>1</v>
      </c>
      <c r="E742" s="22" t="inlineStr">
        <is>
          <t>X: X search (Top): Ekiti governorship election INEC 2026</t>
        </is>
      </c>
      <c r="F742" s="22" t="inlineStr">
        <is>
          <t>x:X search (Top): Ekiti governorship election INEC 2026</t>
        </is>
      </c>
      <c r="G742" s="22" t="n">
        <v>0</v>
      </c>
      <c r="H742" s="22" t="n">
        <v>0</v>
      </c>
      <c r="I742" s="22" t="n">
        <v>1</v>
      </c>
      <c r="J742" s="22" t="n">
        <v>0</v>
      </c>
      <c r="K742" s="22" t="n">
        <v>0</v>
      </c>
      <c r="L742" s="22" t="n">
        <v>1</v>
      </c>
      <c r="M742" s="22" t="n">
        <v>0</v>
      </c>
      <c r="N742" s="22" t="n">
        <v>0</v>
      </c>
      <c r="O742" s="22" t="n">
        <v>0</v>
      </c>
      <c r="P742" s="22" t="n">
        <v>0</v>
      </c>
      <c r="Q742" s="22" t="n">
        <v>0</v>
      </c>
      <c r="R742" s="22" t="n">
        <v>0</v>
      </c>
      <c r="S742" s="22" t="n">
        <v>0</v>
      </c>
      <c r="T742" s="22" t="n">
        <v>0</v>
      </c>
      <c r="U742" s="3">
        <f>IF(OR(N742=1,Q742=1),1,0)</f>
        <v/>
      </c>
      <c r="V742" s="3">
        <f>IF(OR(T742=1,P742=1),1,0)</f>
        <v/>
      </c>
      <c r="W742" s="3">
        <f>IF(OR(J742=1),1,0)</f>
        <v/>
      </c>
      <c r="X742" s="3">
        <f>IF(OR(I742=1,H742=1),1,0)</f>
        <v/>
      </c>
      <c r="Y742" s="3">
        <f>IF(OR(G742=1),1,0)</f>
        <v/>
      </c>
      <c r="Z742" s="3">
        <f>IF(OR(F742=1),1,0)</f>
        <v/>
      </c>
      <c r="AA742" s="3">
        <f>IF(OR(M742=1),1,0)</f>
        <v/>
      </c>
    </row>
    <row r="743">
      <c r="A743" s="22" t="inlineStr">
        <is>
          <t>ed759f0f26f291df852bbed1e7b639e6a8c27d22</t>
        </is>
      </c>
      <c r="B743" s="22" t="inlineStr">
        <is>
          <t>2026-10</t>
        </is>
      </c>
      <c r="C743" s="22" t="inlineStr">
        <is>
          <t>Facebook</t>
        </is>
      </c>
      <c r="D743" s="22" t="n">
        <v>0</v>
      </c>
      <c r="E743" s="22" t="inlineStr">
        <is>
          <t>Facebook: INEC Nigeria</t>
        </is>
      </c>
      <c r="F743" s="22" t="inlineStr">
        <is>
          <t>facebook:INEC Nigeria</t>
        </is>
      </c>
      <c r="G743" s="22" t="n">
        <v>0.493</v>
      </c>
      <c r="H743" s="22" t="n">
        <v>0</v>
      </c>
      <c r="I743" s="22" t="n">
        <v>0</v>
      </c>
      <c r="J743" s="22" t="n">
        <v>0</v>
      </c>
      <c r="K743" s="22" t="n">
        <v>0</v>
      </c>
      <c r="L743" s="22" t="n">
        <v>0</v>
      </c>
      <c r="M743" s="22" t="n">
        <v>0</v>
      </c>
      <c r="N743" s="22" t="n">
        <v>0</v>
      </c>
      <c r="O743" s="22" t="n">
        <v>0</v>
      </c>
      <c r="P743" s="22" t="n">
        <v>0</v>
      </c>
      <c r="Q743" s="22" t="n">
        <v>0</v>
      </c>
      <c r="R743" s="22" t="n">
        <v>1</v>
      </c>
      <c r="S743" s="22" t="n">
        <v>0</v>
      </c>
      <c r="T743" s="22" t="n">
        <v>0</v>
      </c>
      <c r="U743" s="3">
        <f>IF(OR(N743=1,Q743=1),1,0)</f>
        <v/>
      </c>
      <c r="V743" s="3">
        <f>IF(OR(T743=1,P743=1),1,0)</f>
        <v/>
      </c>
      <c r="W743" s="3">
        <f>IF(OR(J743=1),1,0)</f>
        <v/>
      </c>
      <c r="X743" s="3">
        <f>IF(OR(I743=1,H743=1),1,0)</f>
        <v/>
      </c>
      <c r="Y743" s="3">
        <f>IF(OR(G743=1),1,0)</f>
        <v/>
      </c>
      <c r="Z743" s="3">
        <f>IF(OR(F743=1),1,0)</f>
        <v/>
      </c>
      <c r="AA743" s="3">
        <f>IF(OR(M743=1),1,0)</f>
        <v/>
      </c>
    </row>
    <row r="744">
      <c r="A744" s="22" t="inlineStr">
        <is>
          <t>e89172b28dd9cd86beb848067d789f1c8ba87550</t>
        </is>
      </c>
      <c r="B744" s="22" t="inlineStr">
        <is>
          <t>2026-10</t>
        </is>
      </c>
      <c r="C744" s="22" t="inlineStr">
        <is>
          <t>Facebook</t>
        </is>
      </c>
      <c r="D744" s="22" t="n">
        <v>0</v>
      </c>
      <c r="E744" s="22" t="inlineStr">
        <is>
          <t>Facebook: INEC Nigeria</t>
        </is>
      </c>
      <c r="F744" s="22" t="inlineStr">
        <is>
          <t>facebook:INEC Nigeria</t>
        </is>
      </c>
      <c r="G744" s="22" t="n">
        <v>-0.19</v>
      </c>
      <c r="H744" s="22" t="n">
        <v>0</v>
      </c>
      <c r="I744" s="22" t="n">
        <v>0</v>
      </c>
      <c r="J744" s="22" t="n">
        <v>0</v>
      </c>
      <c r="K744" s="22" t="n">
        <v>0</v>
      </c>
      <c r="L744" s="22" t="n">
        <v>0</v>
      </c>
      <c r="M744" s="22" t="n">
        <v>0</v>
      </c>
      <c r="N744" s="22" t="n">
        <v>0</v>
      </c>
      <c r="O744" s="22" t="n">
        <v>0</v>
      </c>
      <c r="P744" s="22" t="n">
        <v>0</v>
      </c>
      <c r="Q744" s="22" t="n">
        <v>0</v>
      </c>
      <c r="R744" s="22" t="n">
        <v>1</v>
      </c>
      <c r="S744" s="22" t="n">
        <v>0</v>
      </c>
      <c r="T744" s="22" t="n">
        <v>0</v>
      </c>
      <c r="U744" s="3">
        <f>IF(OR(N744=1,Q744=1),1,0)</f>
        <v/>
      </c>
      <c r="V744" s="3">
        <f>IF(OR(T744=1,P744=1),1,0)</f>
        <v/>
      </c>
      <c r="W744" s="3">
        <f>IF(OR(J744=1),1,0)</f>
        <v/>
      </c>
      <c r="X744" s="3">
        <f>IF(OR(I744=1,H744=1),1,0)</f>
        <v/>
      </c>
      <c r="Y744" s="3">
        <f>IF(OR(G744=1),1,0)</f>
        <v/>
      </c>
      <c r="Z744" s="3">
        <f>IF(OR(F744=1),1,0)</f>
        <v/>
      </c>
      <c r="AA744" s="3">
        <f>IF(OR(M744=1),1,0)</f>
        <v/>
      </c>
    </row>
    <row r="745">
      <c r="A745" s="22" t="inlineStr">
        <is>
          <t>c41b19554e5ce3d4fdc87fbaae255a2b921f8b27</t>
        </is>
      </c>
      <c r="B745" s="22" t="inlineStr">
        <is>
          <t>2026-10</t>
        </is>
      </c>
      <c r="C745" s="22" t="inlineStr">
        <is>
          <t>Facebook</t>
        </is>
      </c>
      <c r="D745" s="22" t="n">
        <v>0</v>
      </c>
      <c r="E745" s="22" t="inlineStr">
        <is>
          <t>Facebook: INEC Nigeria</t>
        </is>
      </c>
      <c r="F745" s="22" t="inlineStr">
        <is>
          <t>facebook:INEC Nigeria</t>
        </is>
      </c>
      <c r="G745" s="22" t="n">
        <v>0.743</v>
      </c>
      <c r="H745" s="22" t="n">
        <v>0</v>
      </c>
      <c r="I745" s="22" t="n">
        <v>0</v>
      </c>
      <c r="J745" s="22" t="n">
        <v>0</v>
      </c>
      <c r="K745" s="22" t="n">
        <v>0</v>
      </c>
      <c r="L745" s="22" t="n">
        <v>0</v>
      </c>
      <c r="M745" s="22" t="n">
        <v>0</v>
      </c>
      <c r="N745" s="22" t="n">
        <v>0</v>
      </c>
      <c r="O745" s="22" t="n">
        <v>1</v>
      </c>
      <c r="P745" s="22" t="n">
        <v>0</v>
      </c>
      <c r="Q745" s="22" t="n">
        <v>0</v>
      </c>
      <c r="R745" s="22" t="n">
        <v>0</v>
      </c>
      <c r="S745" s="22" t="n">
        <v>0</v>
      </c>
      <c r="T745" s="22" t="n">
        <v>0</v>
      </c>
      <c r="U745" s="3">
        <f>IF(OR(N745=1,Q745=1),1,0)</f>
        <v/>
      </c>
      <c r="V745" s="3">
        <f>IF(OR(T745=1,P745=1),1,0)</f>
        <v/>
      </c>
      <c r="W745" s="3">
        <f>IF(OR(J745=1),1,0)</f>
        <v/>
      </c>
      <c r="X745" s="3">
        <f>IF(OR(I745=1,H745=1),1,0)</f>
        <v/>
      </c>
      <c r="Y745" s="3">
        <f>IF(OR(G745=1),1,0)</f>
        <v/>
      </c>
      <c r="Z745" s="3">
        <f>IF(OR(F745=1),1,0)</f>
        <v/>
      </c>
      <c r="AA745" s="3">
        <f>IF(OR(M745=1),1,0)</f>
        <v/>
      </c>
    </row>
    <row r="746">
      <c r="A746" s="22" t="inlineStr">
        <is>
          <t>8182c0b34fd4946a0c7b5561cd3410326c567f7a</t>
        </is>
      </c>
      <c r="B746" s="22" t="inlineStr">
        <is>
          <t>2026-10</t>
        </is>
      </c>
      <c r="C746" s="22" t="inlineStr">
        <is>
          <t>Facebook</t>
        </is>
      </c>
      <c r="D746" s="22" t="n">
        <v>0</v>
      </c>
      <c r="E746" s="22" t="inlineStr">
        <is>
          <t>Facebook: INEC Nigeria</t>
        </is>
      </c>
      <c r="F746" s="22" t="inlineStr">
        <is>
          <t>facebook:INEC Nigeria</t>
        </is>
      </c>
      <c r="G746" s="22" t="n">
        <v>0.861</v>
      </c>
      <c r="H746" s="22" t="n">
        <v>0</v>
      </c>
      <c r="I746" s="22" t="n">
        <v>0</v>
      </c>
      <c r="J746" s="22" t="n">
        <v>0</v>
      </c>
      <c r="K746" s="22" t="n">
        <v>0</v>
      </c>
      <c r="L746" s="22" t="n">
        <v>0</v>
      </c>
      <c r="M746" s="22" t="n">
        <v>0</v>
      </c>
      <c r="N746" s="22" t="n">
        <v>0</v>
      </c>
      <c r="O746" s="22" t="n">
        <v>1</v>
      </c>
      <c r="P746" s="22" t="n">
        <v>0</v>
      </c>
      <c r="Q746" s="22" t="n">
        <v>0</v>
      </c>
      <c r="R746" s="22" t="n">
        <v>0</v>
      </c>
      <c r="S746" s="22" t="n">
        <v>0</v>
      </c>
      <c r="T746" s="22" t="n">
        <v>0</v>
      </c>
      <c r="U746" s="3">
        <f>IF(OR(N746=1,Q746=1),1,0)</f>
        <v/>
      </c>
      <c r="V746" s="3">
        <f>IF(OR(T746=1,P746=1),1,0)</f>
        <v/>
      </c>
      <c r="W746" s="3">
        <f>IF(OR(J746=1),1,0)</f>
        <v/>
      </c>
      <c r="X746" s="3">
        <f>IF(OR(I746=1,H746=1),1,0)</f>
        <v/>
      </c>
      <c r="Y746" s="3">
        <f>IF(OR(G746=1),1,0)</f>
        <v/>
      </c>
      <c r="Z746" s="3">
        <f>IF(OR(F746=1),1,0)</f>
        <v/>
      </c>
      <c r="AA746" s="3">
        <f>IF(OR(M746=1),1,0)</f>
        <v/>
      </c>
    </row>
    <row r="747">
      <c r="A747" s="22" t="inlineStr">
        <is>
          <t>cf7b24f85e6f60f58d00014ee3a84d1c7dd422d7</t>
        </is>
      </c>
      <c r="B747" s="22" t="inlineStr">
        <is>
          <t>2026-10</t>
        </is>
      </c>
      <c r="C747" s="22" t="inlineStr">
        <is>
          <t>Facebook</t>
        </is>
      </c>
      <c r="D747" s="22" t="n">
        <v>0</v>
      </c>
      <c r="E747" s="22" t="inlineStr">
        <is>
          <t>Facebook: INEC Nigeria</t>
        </is>
      </c>
      <c r="F747" s="22" t="inlineStr">
        <is>
          <t>facebook:INEC Nigeria</t>
        </is>
      </c>
      <c r="G747" s="22" t="n">
        <v>0.9360000000000001</v>
      </c>
      <c r="H747" s="22" t="n">
        <v>0</v>
      </c>
      <c r="I747" s="22" t="n">
        <v>0</v>
      </c>
      <c r="J747" s="22" t="n">
        <v>0</v>
      </c>
      <c r="K747" s="22" t="n">
        <v>0</v>
      </c>
      <c r="L747" s="22" t="n">
        <v>0</v>
      </c>
      <c r="M747" s="22" t="n">
        <v>0</v>
      </c>
      <c r="N747" s="22" t="n">
        <v>0</v>
      </c>
      <c r="O747" s="22" t="n">
        <v>1</v>
      </c>
      <c r="P747" s="22" t="n">
        <v>0</v>
      </c>
      <c r="Q747" s="22" t="n">
        <v>0</v>
      </c>
      <c r="R747" s="22" t="n">
        <v>0</v>
      </c>
      <c r="S747" s="22" t="n">
        <v>0</v>
      </c>
      <c r="T747" s="22" t="n">
        <v>0</v>
      </c>
      <c r="U747" s="3">
        <f>IF(OR(N747=1,Q747=1),1,0)</f>
        <v/>
      </c>
      <c r="V747" s="3">
        <f>IF(OR(T747=1,P747=1),1,0)</f>
        <v/>
      </c>
      <c r="W747" s="3">
        <f>IF(OR(J747=1),1,0)</f>
        <v/>
      </c>
      <c r="X747" s="3">
        <f>IF(OR(I747=1,H747=1),1,0)</f>
        <v/>
      </c>
      <c r="Y747" s="3">
        <f>IF(OR(G747=1),1,0)</f>
        <v/>
      </c>
      <c r="Z747" s="3">
        <f>IF(OR(F747=1),1,0)</f>
        <v/>
      </c>
      <c r="AA747" s="3">
        <f>IF(OR(M747=1),1,0)</f>
        <v/>
      </c>
    </row>
    <row r="748">
      <c r="A748" s="22" t="inlineStr">
        <is>
          <t>1ebbbd84ed1d8b1e839b68bc5e5006dd37b1590b</t>
        </is>
      </c>
      <c r="B748" s="22" t="inlineStr">
        <is>
          <t>2026-10</t>
        </is>
      </c>
      <c r="C748" s="22" t="inlineStr">
        <is>
          <t>Facebook</t>
        </is>
      </c>
      <c r="D748" s="22" t="n">
        <v>0</v>
      </c>
      <c r="E748" s="22" t="inlineStr">
        <is>
          <t>Facebook: INEC Nigeria</t>
        </is>
      </c>
      <c r="F748" s="22" t="inlineStr">
        <is>
          <t>facebook:INEC Nigeria</t>
        </is>
      </c>
      <c r="G748" s="22" t="n">
        <v>0.883</v>
      </c>
      <c r="H748" s="22" t="n">
        <v>0</v>
      </c>
      <c r="I748" s="22" t="n">
        <v>0</v>
      </c>
      <c r="J748" s="22" t="n">
        <v>0</v>
      </c>
      <c r="K748" s="22" t="n">
        <v>0</v>
      </c>
      <c r="L748" s="22" t="n">
        <v>0</v>
      </c>
      <c r="M748" s="22" t="n">
        <v>0</v>
      </c>
      <c r="N748" s="22" t="n">
        <v>0</v>
      </c>
      <c r="O748" s="22" t="n">
        <v>1</v>
      </c>
      <c r="P748" s="22" t="n">
        <v>0</v>
      </c>
      <c r="Q748" s="22" t="n">
        <v>0</v>
      </c>
      <c r="R748" s="22" t="n">
        <v>0</v>
      </c>
      <c r="S748" s="22" t="n">
        <v>0</v>
      </c>
      <c r="T748" s="22" t="n">
        <v>0</v>
      </c>
      <c r="U748" s="3">
        <f>IF(OR(N748=1,Q748=1),1,0)</f>
        <v/>
      </c>
      <c r="V748" s="3">
        <f>IF(OR(T748=1,P748=1),1,0)</f>
        <v/>
      </c>
      <c r="W748" s="3">
        <f>IF(OR(J748=1),1,0)</f>
        <v/>
      </c>
      <c r="X748" s="3">
        <f>IF(OR(I748=1,H748=1),1,0)</f>
        <v/>
      </c>
      <c r="Y748" s="3">
        <f>IF(OR(G748=1),1,0)</f>
        <v/>
      </c>
      <c r="Z748" s="3">
        <f>IF(OR(F748=1),1,0)</f>
        <v/>
      </c>
      <c r="AA748" s="3">
        <f>IF(OR(M748=1),1,0)</f>
        <v/>
      </c>
    </row>
    <row r="749">
      <c r="A749" s="22" t="inlineStr">
        <is>
          <t>17bd42f8e5dce54fa6284d7c233c7deb5274dfac</t>
        </is>
      </c>
      <c r="B749" s="22" t="inlineStr">
        <is>
          <t>2026-10</t>
        </is>
      </c>
      <c r="C749" s="22" t="inlineStr">
        <is>
          <t>Facebook</t>
        </is>
      </c>
      <c r="D749" s="22" t="n">
        <v>0</v>
      </c>
      <c r="E749" s="22" t="inlineStr">
        <is>
          <t>Facebook: INEC Nigeria</t>
        </is>
      </c>
      <c r="F749" s="22" t="inlineStr">
        <is>
          <t>facebook:INEC Nigeria</t>
        </is>
      </c>
      <c r="G749" s="22" t="n">
        <v>0.914</v>
      </c>
      <c r="H749" s="22" t="n">
        <v>0</v>
      </c>
      <c r="I749" s="22" t="n">
        <v>0</v>
      </c>
      <c r="J749" s="22" t="n">
        <v>0</v>
      </c>
      <c r="K749" s="22" t="n">
        <v>0</v>
      </c>
      <c r="L749" s="22" t="n">
        <v>0</v>
      </c>
      <c r="M749" s="22" t="n">
        <v>0</v>
      </c>
      <c r="N749" s="22" t="n">
        <v>0</v>
      </c>
      <c r="O749" s="22" t="n">
        <v>1</v>
      </c>
      <c r="P749" s="22" t="n">
        <v>0</v>
      </c>
      <c r="Q749" s="22" t="n">
        <v>0</v>
      </c>
      <c r="R749" s="22" t="n">
        <v>0</v>
      </c>
      <c r="S749" s="22" t="n">
        <v>0</v>
      </c>
      <c r="T749" s="22" t="n">
        <v>0</v>
      </c>
      <c r="U749" s="3">
        <f>IF(OR(N749=1,Q749=1),1,0)</f>
        <v/>
      </c>
      <c r="V749" s="3">
        <f>IF(OR(T749=1,P749=1),1,0)</f>
        <v/>
      </c>
      <c r="W749" s="3">
        <f>IF(OR(J749=1),1,0)</f>
        <v/>
      </c>
      <c r="X749" s="3">
        <f>IF(OR(I749=1,H749=1),1,0)</f>
        <v/>
      </c>
      <c r="Y749" s="3">
        <f>IF(OR(G749=1),1,0)</f>
        <v/>
      </c>
      <c r="Z749" s="3">
        <f>IF(OR(F749=1),1,0)</f>
        <v/>
      </c>
      <c r="AA749" s="3">
        <f>IF(OR(M749=1),1,0)</f>
        <v/>
      </c>
    </row>
    <row r="750">
      <c r="A750" s="22" t="inlineStr">
        <is>
          <t>189ab86b19a7726b66b38b999143f00ca5233c68</t>
        </is>
      </c>
      <c r="B750" s="22" t="inlineStr">
        <is>
          <t>2026-10</t>
        </is>
      </c>
      <c r="C750" s="22" t="inlineStr">
        <is>
          <t>Facebook</t>
        </is>
      </c>
      <c r="D750" s="22" t="n">
        <v>0</v>
      </c>
      <c r="E750" s="22" t="inlineStr">
        <is>
          <t>Facebook: INEC Nigeria</t>
        </is>
      </c>
      <c r="F750" s="22" t="inlineStr">
        <is>
          <t>facebook:INEC Nigeria</t>
        </is>
      </c>
      <c r="G750" s="22" t="n">
        <v>-0.422</v>
      </c>
      <c r="H750" s="22" t="n">
        <v>0</v>
      </c>
      <c r="I750" s="22" t="n">
        <v>0</v>
      </c>
      <c r="J750" s="22" t="n">
        <v>0</v>
      </c>
      <c r="K750" s="22" t="n">
        <v>0</v>
      </c>
      <c r="L750" s="22" t="n">
        <v>0</v>
      </c>
      <c r="M750" s="22" t="n">
        <v>1</v>
      </c>
      <c r="N750" s="22" t="n">
        <v>0</v>
      </c>
      <c r="O750" s="22" t="n">
        <v>0</v>
      </c>
      <c r="P750" s="22" t="n">
        <v>0</v>
      </c>
      <c r="Q750" s="22" t="n">
        <v>0</v>
      </c>
      <c r="R750" s="22" t="n">
        <v>1</v>
      </c>
      <c r="S750" s="22" t="n">
        <v>0</v>
      </c>
      <c r="T750" s="22" t="n">
        <v>0</v>
      </c>
      <c r="U750" s="3">
        <f>IF(OR(N750=1,Q750=1),1,0)</f>
        <v/>
      </c>
      <c r="V750" s="3">
        <f>IF(OR(T750=1,P750=1),1,0)</f>
        <v/>
      </c>
      <c r="W750" s="3">
        <f>IF(OR(J750=1),1,0)</f>
        <v/>
      </c>
      <c r="X750" s="3">
        <f>IF(OR(I750=1,H750=1),1,0)</f>
        <v/>
      </c>
      <c r="Y750" s="3">
        <f>IF(OR(G750=1),1,0)</f>
        <v/>
      </c>
      <c r="Z750" s="3">
        <f>IF(OR(F750=1),1,0)</f>
        <v/>
      </c>
      <c r="AA750" s="3">
        <f>IF(OR(M750=1),1,0)</f>
        <v/>
      </c>
    </row>
    <row r="751">
      <c r="A751" s="22" t="inlineStr">
        <is>
          <t>3a2a202920da0c10a50353d07deae8410a824c58</t>
        </is>
      </c>
      <c r="B751" s="22" t="inlineStr">
        <is>
          <t>2026-10</t>
        </is>
      </c>
      <c r="C751" s="22" t="inlineStr">
        <is>
          <t>Facebook</t>
        </is>
      </c>
      <c r="D751" s="22" t="n">
        <v>0</v>
      </c>
      <c r="E751" s="22" t="inlineStr">
        <is>
          <t>Facebook: INEC Nigeria</t>
        </is>
      </c>
      <c r="F751" s="22" t="inlineStr">
        <is>
          <t>facebook:INEC Nigeria</t>
        </is>
      </c>
      <c r="G751" s="22" t="n">
        <v>0.482</v>
      </c>
      <c r="H751" s="22" t="n">
        <v>0</v>
      </c>
      <c r="I751" s="22" t="n">
        <v>0</v>
      </c>
      <c r="J751" s="22" t="n">
        <v>0</v>
      </c>
      <c r="K751" s="22" t="n">
        <v>0</v>
      </c>
      <c r="L751" s="22" t="n">
        <v>0</v>
      </c>
      <c r="M751" s="22" t="n">
        <v>0</v>
      </c>
      <c r="N751" s="22" t="n">
        <v>0</v>
      </c>
      <c r="O751" s="22" t="n">
        <v>1</v>
      </c>
      <c r="P751" s="22" t="n">
        <v>0</v>
      </c>
      <c r="Q751" s="22" t="n">
        <v>0</v>
      </c>
      <c r="R751" s="22" t="n">
        <v>0</v>
      </c>
      <c r="S751" s="22" t="n">
        <v>0</v>
      </c>
      <c r="T751" s="22" t="n">
        <v>0</v>
      </c>
      <c r="U751" s="3">
        <f>IF(OR(N751=1,Q751=1),1,0)</f>
        <v/>
      </c>
      <c r="V751" s="3">
        <f>IF(OR(T751=1,P751=1),1,0)</f>
        <v/>
      </c>
      <c r="W751" s="3">
        <f>IF(OR(J751=1),1,0)</f>
        <v/>
      </c>
      <c r="X751" s="3">
        <f>IF(OR(I751=1,H751=1),1,0)</f>
        <v/>
      </c>
      <c r="Y751" s="3">
        <f>IF(OR(G751=1),1,0)</f>
        <v/>
      </c>
      <c r="Z751" s="3">
        <f>IF(OR(F751=1),1,0)</f>
        <v/>
      </c>
      <c r="AA751" s="3">
        <f>IF(OR(M751=1),1,0)</f>
        <v/>
      </c>
    </row>
    <row r="752">
      <c r="A752" s="22" t="inlineStr">
        <is>
          <t>246c0bcecad7aadc8352e95cff728bb6d6ac35ec</t>
        </is>
      </c>
      <c r="B752" s="22" t="inlineStr">
        <is>
          <t>2026-10</t>
        </is>
      </c>
      <c r="C752" s="22" t="inlineStr">
        <is>
          <t>Facebook</t>
        </is>
      </c>
      <c r="D752" s="22" t="n">
        <v>0</v>
      </c>
      <c r="E752" s="22" t="inlineStr">
        <is>
          <t>Facebook: INEC Nigeria</t>
        </is>
      </c>
      <c r="F752" s="22" t="inlineStr">
        <is>
          <t>facebook:INEC Nigeria</t>
        </is>
      </c>
      <c r="G752" s="22" t="n">
        <v>0.477</v>
      </c>
      <c r="H752" s="22" t="n">
        <v>0</v>
      </c>
      <c r="I752" s="22" t="n">
        <v>0</v>
      </c>
      <c r="J752" s="22" t="n">
        <v>0</v>
      </c>
      <c r="K752" s="22" t="n">
        <v>0</v>
      </c>
      <c r="L752" s="22" t="n">
        <v>0</v>
      </c>
      <c r="M752" s="22" t="n">
        <v>0</v>
      </c>
      <c r="N752" s="22" t="n">
        <v>0</v>
      </c>
      <c r="O752" s="22" t="n">
        <v>1</v>
      </c>
      <c r="P752" s="22" t="n">
        <v>0</v>
      </c>
      <c r="Q752" s="22" t="n">
        <v>0</v>
      </c>
      <c r="R752" s="22" t="n">
        <v>0</v>
      </c>
      <c r="S752" s="22" t="n">
        <v>0</v>
      </c>
      <c r="T752" s="22" t="n">
        <v>0</v>
      </c>
      <c r="U752" s="3">
        <f>IF(OR(N752=1,Q752=1),1,0)</f>
        <v/>
      </c>
      <c r="V752" s="3">
        <f>IF(OR(T752=1,P752=1),1,0)</f>
        <v/>
      </c>
      <c r="W752" s="3">
        <f>IF(OR(J752=1),1,0)</f>
        <v/>
      </c>
      <c r="X752" s="3">
        <f>IF(OR(I752=1,H752=1),1,0)</f>
        <v/>
      </c>
      <c r="Y752" s="3">
        <f>IF(OR(G752=1),1,0)</f>
        <v/>
      </c>
      <c r="Z752" s="3">
        <f>IF(OR(F752=1),1,0)</f>
        <v/>
      </c>
      <c r="AA752" s="3">
        <f>IF(OR(M752=1),1,0)</f>
        <v/>
      </c>
    </row>
    <row r="753">
      <c r="A753" s="22" t="inlineStr">
        <is>
          <t>5db4a7b3ce55e5aaaebabbd9db7ca43157f3f0cd</t>
        </is>
      </c>
      <c r="B753" s="22" t="inlineStr">
        <is>
          <t>2026-10</t>
        </is>
      </c>
      <c r="C753" s="22" t="inlineStr">
        <is>
          <t>Facebook</t>
        </is>
      </c>
      <c r="D753" s="22" t="n">
        <v>0</v>
      </c>
      <c r="E753" s="22" t="inlineStr">
        <is>
          <t>Facebook: INEC Nigeria</t>
        </is>
      </c>
      <c r="F753" s="22" t="inlineStr">
        <is>
          <t>facebook:INEC Nigeria</t>
        </is>
      </c>
      <c r="G753" s="22" t="n">
        <v>-0.37</v>
      </c>
      <c r="H753" s="22" t="n">
        <v>0</v>
      </c>
      <c r="I753" s="22" t="n">
        <v>0</v>
      </c>
      <c r="J753" s="22" t="n">
        <v>0</v>
      </c>
      <c r="K753" s="22" t="n">
        <v>0</v>
      </c>
      <c r="L753" s="22" t="n">
        <v>0</v>
      </c>
      <c r="M753" s="22" t="n">
        <v>0</v>
      </c>
      <c r="N753" s="22" t="n">
        <v>0</v>
      </c>
      <c r="O753" s="22" t="n">
        <v>0</v>
      </c>
      <c r="P753" s="22" t="n">
        <v>0</v>
      </c>
      <c r="Q753" s="22" t="n">
        <v>0</v>
      </c>
      <c r="R753" s="22" t="n">
        <v>1</v>
      </c>
      <c r="S753" s="22" t="n">
        <v>0</v>
      </c>
      <c r="T753" s="22" t="n">
        <v>0</v>
      </c>
      <c r="U753" s="3">
        <f>IF(OR(N753=1,Q753=1),1,0)</f>
        <v/>
      </c>
      <c r="V753" s="3">
        <f>IF(OR(T753=1,P753=1),1,0)</f>
        <v/>
      </c>
      <c r="W753" s="3">
        <f>IF(OR(J753=1),1,0)</f>
        <v/>
      </c>
      <c r="X753" s="3">
        <f>IF(OR(I753=1,H753=1),1,0)</f>
        <v/>
      </c>
      <c r="Y753" s="3">
        <f>IF(OR(G753=1),1,0)</f>
        <v/>
      </c>
      <c r="Z753" s="3">
        <f>IF(OR(F753=1),1,0)</f>
        <v/>
      </c>
      <c r="AA753" s="3">
        <f>IF(OR(M753=1),1,0)</f>
        <v/>
      </c>
    </row>
    <row r="754">
      <c r="A754" s="22" t="inlineStr">
        <is>
          <t>ca81eae2a6afceb457da8f69edc82a533429e289</t>
        </is>
      </c>
      <c r="B754" s="22" t="inlineStr">
        <is>
          <t>2026-10</t>
        </is>
      </c>
      <c r="C754" s="22" t="inlineStr">
        <is>
          <t>Facebook</t>
        </is>
      </c>
      <c r="D754" s="22" t="n">
        <v>0</v>
      </c>
      <c r="E754" s="22" t="inlineStr">
        <is>
          <t>Facebook: INEC Nigeria</t>
        </is>
      </c>
      <c r="F754" s="22" t="inlineStr">
        <is>
          <t>facebook:INEC Nigeria</t>
        </is>
      </c>
      <c r="G754" s="22" t="n">
        <v>-0.325</v>
      </c>
      <c r="H754" s="22" t="n">
        <v>0</v>
      </c>
      <c r="I754" s="22" t="n">
        <v>0</v>
      </c>
      <c r="J754" s="22" t="n">
        <v>0</v>
      </c>
      <c r="K754" s="22" t="n">
        <v>0</v>
      </c>
      <c r="L754" s="22" t="n">
        <v>0</v>
      </c>
      <c r="M754" s="22" t="n">
        <v>1</v>
      </c>
      <c r="N754" s="22" t="n">
        <v>0</v>
      </c>
      <c r="O754" s="22" t="n">
        <v>0</v>
      </c>
      <c r="P754" s="22" t="n">
        <v>0</v>
      </c>
      <c r="Q754" s="22" t="n">
        <v>0</v>
      </c>
      <c r="R754" s="22" t="n">
        <v>0</v>
      </c>
      <c r="S754" s="22" t="n">
        <v>0</v>
      </c>
      <c r="T754" s="22" t="n">
        <v>0</v>
      </c>
      <c r="U754" s="3">
        <f>IF(OR(N754=1,Q754=1),1,0)</f>
        <v/>
      </c>
      <c r="V754" s="3">
        <f>IF(OR(T754=1,P754=1),1,0)</f>
        <v/>
      </c>
      <c r="W754" s="3">
        <f>IF(OR(J754=1),1,0)</f>
        <v/>
      </c>
      <c r="X754" s="3">
        <f>IF(OR(I754=1,H754=1),1,0)</f>
        <v/>
      </c>
      <c r="Y754" s="3">
        <f>IF(OR(G754=1),1,0)</f>
        <v/>
      </c>
      <c r="Z754" s="3">
        <f>IF(OR(F754=1),1,0)</f>
        <v/>
      </c>
      <c r="AA754" s="3">
        <f>IF(OR(M754=1),1,0)</f>
        <v/>
      </c>
    </row>
    <row r="755">
      <c r="A755" s="22" t="inlineStr">
        <is>
          <t>5440b56f68dbcd5c0c926294b60ce5ad3aecd329</t>
        </is>
      </c>
      <c r="B755" s="22" t="inlineStr">
        <is>
          <t>2026-08</t>
        </is>
      </c>
      <c r="C755" s="22" t="inlineStr">
        <is>
          <t>X</t>
        </is>
      </c>
      <c r="D755" s="22" t="n">
        <v>1</v>
      </c>
      <c r="E755" s="22" t="inlineStr">
        <is>
          <t>X: X search (Top): Osun governorship election INEC rigging</t>
        </is>
      </c>
      <c r="F755" s="22" t="inlineStr">
        <is>
          <t>x:X search (Top): Osun governorship election INEC rigging</t>
        </is>
      </c>
      <c r="G755" s="22" t="n">
        <v>-0.445</v>
      </c>
      <c r="H755" s="22" t="n">
        <v>0</v>
      </c>
      <c r="I755" s="22" t="n">
        <v>0</v>
      </c>
      <c r="J755" s="22" t="n">
        <v>0</v>
      </c>
      <c r="K755" s="22" t="n">
        <v>0</v>
      </c>
      <c r="L755" s="22" t="n">
        <v>0</v>
      </c>
      <c r="M755" s="22" t="n">
        <v>1</v>
      </c>
      <c r="N755" s="22" t="n">
        <v>0</v>
      </c>
      <c r="O755" s="22" t="n">
        <v>0</v>
      </c>
      <c r="P755" s="22" t="n">
        <v>0</v>
      </c>
      <c r="Q755" s="22" t="n">
        <v>0</v>
      </c>
      <c r="R755" s="22" t="n">
        <v>0</v>
      </c>
      <c r="S755" s="22" t="n">
        <v>0</v>
      </c>
      <c r="T755" s="22" t="n">
        <v>0</v>
      </c>
      <c r="U755" s="3">
        <f>IF(OR(N755=1,Q755=1),1,0)</f>
        <v/>
      </c>
      <c r="V755" s="3">
        <f>IF(OR(T755=1,P755=1),1,0)</f>
        <v/>
      </c>
      <c r="W755" s="3">
        <f>IF(OR(J755=1),1,0)</f>
        <v/>
      </c>
      <c r="X755" s="3">
        <f>IF(OR(I755=1,H755=1),1,0)</f>
        <v/>
      </c>
      <c r="Y755" s="3">
        <f>IF(OR(G755=1),1,0)</f>
        <v/>
      </c>
      <c r="Z755" s="3">
        <f>IF(OR(F755=1),1,0)</f>
        <v/>
      </c>
      <c r="AA755" s="3">
        <f>IF(OR(M755=1),1,0)</f>
        <v/>
      </c>
    </row>
    <row r="756">
      <c r="A756" s="22" t="inlineStr">
        <is>
          <t>e53976204d133fb0bc36a31a740aa30f0ced002b</t>
        </is>
      </c>
      <c r="B756" s="22" t="inlineStr">
        <is>
          <t>2026-08</t>
        </is>
      </c>
      <c r="C756" s="22" t="inlineStr">
        <is>
          <t>X</t>
        </is>
      </c>
      <c r="D756" s="22" t="n">
        <v>1</v>
      </c>
      <c r="E756" s="22" t="inlineStr">
        <is>
          <t>X: X search (Top): Osun governorship election INEC rigging</t>
        </is>
      </c>
      <c r="F756" s="22" t="inlineStr">
        <is>
          <t>x:X search (Top): Osun governorship election INEC rigging</t>
        </is>
      </c>
      <c r="G756" s="22" t="n">
        <v>0.056</v>
      </c>
      <c r="H756" s="22" t="n">
        <v>1</v>
      </c>
      <c r="I756" s="22" t="n">
        <v>0</v>
      </c>
      <c r="J756" s="22" t="n">
        <v>0</v>
      </c>
      <c r="K756" s="22" t="n">
        <v>0</v>
      </c>
      <c r="L756" s="22" t="n">
        <v>0</v>
      </c>
      <c r="M756" s="22" t="n">
        <v>0</v>
      </c>
      <c r="N756" s="22" t="n">
        <v>0</v>
      </c>
      <c r="O756" s="22" t="n">
        <v>0</v>
      </c>
      <c r="P756" s="22" t="n">
        <v>0</v>
      </c>
      <c r="Q756" s="22" t="n">
        <v>0</v>
      </c>
      <c r="R756" s="22" t="n">
        <v>0</v>
      </c>
      <c r="S756" s="22" t="n">
        <v>0</v>
      </c>
      <c r="T756" s="22" t="n">
        <v>0</v>
      </c>
      <c r="U756" s="3">
        <f>IF(OR(N756=1,Q756=1),1,0)</f>
        <v/>
      </c>
      <c r="V756" s="3">
        <f>IF(OR(T756=1,P756=1),1,0)</f>
        <v/>
      </c>
      <c r="W756" s="3">
        <f>IF(OR(J756=1),1,0)</f>
        <v/>
      </c>
      <c r="X756" s="3">
        <f>IF(OR(I756=1,H756=1),1,0)</f>
        <v/>
      </c>
      <c r="Y756" s="3">
        <f>IF(OR(G756=1),1,0)</f>
        <v/>
      </c>
      <c r="Z756" s="3">
        <f>IF(OR(F756=1),1,0)</f>
        <v/>
      </c>
      <c r="AA756" s="3">
        <f>IF(OR(M756=1),1,0)</f>
        <v/>
      </c>
    </row>
    <row r="757">
      <c r="A757" s="22" t="inlineStr">
        <is>
          <t>bc93baa4de394b360be7777480d3a7ecb63ef7c1</t>
        </is>
      </c>
      <c r="B757" s="22" t="inlineStr">
        <is>
          <t>2026-10</t>
        </is>
      </c>
      <c r="C757" s="22" t="inlineStr">
        <is>
          <t>X</t>
        </is>
      </c>
      <c r="D757" s="22" t="n">
        <v>1</v>
      </c>
      <c r="E757" s="22" t="inlineStr">
        <is>
          <t>X: X search (Top): Osun governorship election INEC rigging</t>
        </is>
      </c>
      <c r="F757" s="22" t="inlineStr">
        <is>
          <t>x:X search (Top): Osun governorship election INEC rigging</t>
        </is>
      </c>
      <c r="G757" s="22" t="n">
        <v>0.732</v>
      </c>
      <c r="H757" s="22" t="n">
        <v>1</v>
      </c>
      <c r="I757" s="22" t="n">
        <v>0</v>
      </c>
      <c r="J757" s="22" t="n">
        <v>0</v>
      </c>
      <c r="K757" s="22" t="n">
        <v>0</v>
      </c>
      <c r="L757" s="22" t="n">
        <v>0</v>
      </c>
      <c r="M757" s="22" t="n">
        <v>0</v>
      </c>
      <c r="N757" s="22" t="n">
        <v>0</v>
      </c>
      <c r="O757" s="22" t="n">
        <v>0</v>
      </c>
      <c r="P757" s="22" t="n">
        <v>0</v>
      </c>
      <c r="Q757" s="22" t="n">
        <v>0</v>
      </c>
      <c r="R757" s="22" t="n">
        <v>0</v>
      </c>
      <c r="S757" s="22" t="n">
        <v>0</v>
      </c>
      <c r="T757" s="22" t="n">
        <v>0</v>
      </c>
      <c r="U757" s="3">
        <f>IF(OR(N757=1,Q757=1),1,0)</f>
        <v/>
      </c>
      <c r="V757" s="3">
        <f>IF(OR(T757=1,P757=1),1,0)</f>
        <v/>
      </c>
      <c r="W757" s="3">
        <f>IF(OR(J757=1),1,0)</f>
        <v/>
      </c>
      <c r="X757" s="3">
        <f>IF(OR(I757=1,H757=1),1,0)</f>
        <v/>
      </c>
      <c r="Y757" s="3">
        <f>IF(OR(G757=1),1,0)</f>
        <v/>
      </c>
      <c r="Z757" s="3">
        <f>IF(OR(F757=1),1,0)</f>
        <v/>
      </c>
      <c r="AA757" s="3">
        <f>IF(OR(M757=1),1,0)</f>
        <v/>
      </c>
    </row>
    <row r="758">
      <c r="A758" s="22" t="inlineStr">
        <is>
          <t>c641de96eb88c0f4026cde84febd56fd77cc58a1</t>
        </is>
      </c>
      <c r="B758" s="22" t="inlineStr">
        <is>
          <t>2026-10</t>
        </is>
      </c>
      <c r="C758" s="22" t="inlineStr">
        <is>
          <t>X</t>
        </is>
      </c>
      <c r="D758" s="22" t="n">
        <v>1</v>
      </c>
      <c r="E758" s="22" t="inlineStr">
        <is>
          <t>X: X search (Top): Osun governorship election INEC rigging</t>
        </is>
      </c>
      <c r="F758" s="22" t="inlineStr">
        <is>
          <t>x:X search (Top): Osun governorship election INEC rigging</t>
        </is>
      </c>
      <c r="G758" s="22" t="n">
        <v>0.068</v>
      </c>
      <c r="H758" s="22" t="n">
        <v>1</v>
      </c>
      <c r="I758" s="22" t="n">
        <v>0</v>
      </c>
      <c r="J758" s="22" t="n">
        <v>0</v>
      </c>
      <c r="K758" s="22" t="n">
        <v>0</v>
      </c>
      <c r="L758" s="22" t="n">
        <v>0</v>
      </c>
      <c r="M758" s="22" t="n">
        <v>0</v>
      </c>
      <c r="N758" s="22" t="n">
        <v>0</v>
      </c>
      <c r="O758" s="22" t="n">
        <v>0</v>
      </c>
      <c r="P758" s="22" t="n">
        <v>1</v>
      </c>
      <c r="Q758" s="22" t="n">
        <v>0</v>
      </c>
      <c r="R758" s="22" t="n">
        <v>0</v>
      </c>
      <c r="S758" s="22" t="n">
        <v>0</v>
      </c>
      <c r="T758" s="22" t="n">
        <v>0</v>
      </c>
      <c r="U758" s="3">
        <f>IF(OR(N758=1,Q758=1),1,0)</f>
        <v/>
      </c>
      <c r="V758" s="3">
        <f>IF(OR(T758=1,P758=1),1,0)</f>
        <v/>
      </c>
      <c r="W758" s="3">
        <f>IF(OR(J758=1),1,0)</f>
        <v/>
      </c>
      <c r="X758" s="3">
        <f>IF(OR(I758=1,H758=1),1,0)</f>
        <v/>
      </c>
      <c r="Y758" s="3">
        <f>IF(OR(G758=1),1,0)</f>
        <v/>
      </c>
      <c r="Z758" s="3">
        <f>IF(OR(F758=1),1,0)</f>
        <v/>
      </c>
      <c r="AA758" s="3">
        <f>IF(OR(M758=1),1,0)</f>
        <v/>
      </c>
    </row>
    <row r="759">
      <c r="A759" s="22" t="inlineStr">
        <is>
          <t>e903ffe0dadff334647895e1d94b59648d998819</t>
        </is>
      </c>
      <c r="B759" s="22" t="inlineStr">
        <is>
          <t>2026-10</t>
        </is>
      </c>
      <c r="C759" s="22" t="inlineStr">
        <is>
          <t>X</t>
        </is>
      </c>
      <c r="D759" s="22" t="n">
        <v>1</v>
      </c>
      <c r="E759" s="22" t="inlineStr">
        <is>
          <t>X: X search (Top): Osun governorship election INEC rigging</t>
        </is>
      </c>
      <c r="F759" s="22" t="inlineStr">
        <is>
          <t>x:X search (Top): Osun governorship election INEC rigging</t>
        </is>
      </c>
      <c r="G759" s="22" t="n">
        <v>-0.318</v>
      </c>
      <c r="H759" s="22" t="n">
        <v>1</v>
      </c>
      <c r="I759" s="22" t="n">
        <v>0</v>
      </c>
      <c r="J759" s="22" t="n">
        <v>0</v>
      </c>
      <c r="K759" s="22" t="n">
        <v>0</v>
      </c>
      <c r="L759" s="22" t="n">
        <v>0</v>
      </c>
      <c r="M759" s="22" t="n">
        <v>0</v>
      </c>
      <c r="N759" s="22" t="n">
        <v>0</v>
      </c>
      <c r="O759" s="22" t="n">
        <v>0</v>
      </c>
      <c r="P759" s="22" t="n">
        <v>0</v>
      </c>
      <c r="Q759" s="22" t="n">
        <v>0</v>
      </c>
      <c r="R759" s="22" t="n">
        <v>0</v>
      </c>
      <c r="S759" s="22" t="n">
        <v>0</v>
      </c>
      <c r="T759" s="22" t="n">
        <v>0</v>
      </c>
      <c r="U759" s="3">
        <f>IF(OR(N759=1,Q759=1),1,0)</f>
        <v/>
      </c>
      <c r="V759" s="3">
        <f>IF(OR(T759=1,P759=1),1,0)</f>
        <v/>
      </c>
      <c r="W759" s="3">
        <f>IF(OR(J759=1),1,0)</f>
        <v/>
      </c>
      <c r="X759" s="3">
        <f>IF(OR(I759=1,H759=1),1,0)</f>
        <v/>
      </c>
      <c r="Y759" s="3">
        <f>IF(OR(G759=1),1,0)</f>
        <v/>
      </c>
      <c r="Z759" s="3">
        <f>IF(OR(F759=1),1,0)</f>
        <v/>
      </c>
      <c r="AA759" s="3">
        <f>IF(OR(M759=1),1,0)</f>
        <v/>
      </c>
    </row>
    <row r="760">
      <c r="A760" s="22" t="inlineStr">
        <is>
          <t>7f180a65c18f9d0e349583b2126a9abacb6d9412</t>
        </is>
      </c>
      <c r="B760" s="22" t="inlineStr">
        <is>
          <t>2026-10</t>
        </is>
      </c>
      <c r="C760" s="22" t="inlineStr">
        <is>
          <t>X</t>
        </is>
      </c>
      <c r="D760" s="22" t="n">
        <v>1</v>
      </c>
      <c r="E760" s="22" t="inlineStr">
        <is>
          <t>X: X search (Top): Osun governorship election INEC rigging</t>
        </is>
      </c>
      <c r="F760" s="22" t="inlineStr">
        <is>
          <t>x:X search (Top): Osun governorship election INEC rigging</t>
        </is>
      </c>
      <c r="G760" s="22" t="n">
        <v>-0.791</v>
      </c>
      <c r="H760" s="22" t="n">
        <v>1</v>
      </c>
      <c r="I760" s="22" t="n">
        <v>0</v>
      </c>
      <c r="J760" s="22" t="n">
        <v>0</v>
      </c>
      <c r="K760" s="22" t="n">
        <v>0</v>
      </c>
      <c r="L760" s="22" t="n">
        <v>0</v>
      </c>
      <c r="M760" s="22" t="n">
        <v>1</v>
      </c>
      <c r="N760" s="22" t="n">
        <v>0</v>
      </c>
      <c r="O760" s="22" t="n">
        <v>0</v>
      </c>
      <c r="P760" s="22" t="n">
        <v>0</v>
      </c>
      <c r="Q760" s="22" t="n">
        <v>0</v>
      </c>
      <c r="R760" s="22" t="n">
        <v>0</v>
      </c>
      <c r="S760" s="22" t="n">
        <v>0</v>
      </c>
      <c r="T760" s="22" t="n">
        <v>0</v>
      </c>
      <c r="U760" s="3">
        <f>IF(OR(N760=1,Q760=1),1,0)</f>
        <v/>
      </c>
      <c r="V760" s="3">
        <f>IF(OR(T760=1,P760=1),1,0)</f>
        <v/>
      </c>
      <c r="W760" s="3">
        <f>IF(OR(J760=1),1,0)</f>
        <v/>
      </c>
      <c r="X760" s="3">
        <f>IF(OR(I760=1,H760=1),1,0)</f>
        <v/>
      </c>
      <c r="Y760" s="3">
        <f>IF(OR(G760=1),1,0)</f>
        <v/>
      </c>
      <c r="Z760" s="3">
        <f>IF(OR(F760=1),1,0)</f>
        <v/>
      </c>
      <c r="AA760" s="3">
        <f>IF(OR(M760=1),1,0)</f>
        <v/>
      </c>
    </row>
    <row r="761">
      <c r="A761" s="22" t="inlineStr">
        <is>
          <t>c0f6dc1fc8bbfa5284ef3da17fefde98cbc36237</t>
        </is>
      </c>
      <c r="B761" s="22" t="inlineStr">
        <is>
          <t>2026-10</t>
        </is>
      </c>
      <c r="C761" s="22" t="inlineStr">
        <is>
          <t>X</t>
        </is>
      </c>
      <c r="D761" s="22" t="n">
        <v>1</v>
      </c>
      <c r="E761" s="22" t="inlineStr">
        <is>
          <t>X: X search (Top): Osun governorship election INEC rigging</t>
        </is>
      </c>
      <c r="F761" s="22" t="inlineStr">
        <is>
          <t>x:X search (Top): Osun governorship election INEC rigging</t>
        </is>
      </c>
      <c r="G761" s="22" t="n">
        <v>0.726</v>
      </c>
      <c r="H761" s="22" t="n">
        <v>0</v>
      </c>
      <c r="I761" s="22" t="n">
        <v>0</v>
      </c>
      <c r="J761" s="22" t="n">
        <v>0</v>
      </c>
      <c r="K761" s="22" t="n">
        <v>0</v>
      </c>
      <c r="L761" s="22" t="n">
        <v>0</v>
      </c>
      <c r="M761" s="22" t="n">
        <v>0</v>
      </c>
      <c r="N761" s="22" t="n">
        <v>0</v>
      </c>
      <c r="O761" s="22" t="n">
        <v>1</v>
      </c>
      <c r="P761" s="22" t="n">
        <v>0</v>
      </c>
      <c r="Q761" s="22" t="n">
        <v>0</v>
      </c>
      <c r="R761" s="22" t="n">
        <v>0</v>
      </c>
      <c r="S761" s="22" t="n">
        <v>0</v>
      </c>
      <c r="T761" s="22" t="n">
        <v>0</v>
      </c>
      <c r="U761" s="3">
        <f>IF(OR(N761=1,Q761=1),1,0)</f>
        <v/>
      </c>
      <c r="V761" s="3">
        <f>IF(OR(T761=1,P761=1),1,0)</f>
        <v/>
      </c>
      <c r="W761" s="3">
        <f>IF(OR(J761=1),1,0)</f>
        <v/>
      </c>
      <c r="X761" s="3">
        <f>IF(OR(I761=1,H761=1),1,0)</f>
        <v/>
      </c>
      <c r="Y761" s="3">
        <f>IF(OR(G761=1),1,0)</f>
        <v/>
      </c>
      <c r="Z761" s="3">
        <f>IF(OR(F761=1),1,0)</f>
        <v/>
      </c>
      <c r="AA761" s="3">
        <f>IF(OR(M761=1),1,0)</f>
        <v/>
      </c>
    </row>
    <row r="762">
      <c r="A762" s="22" t="inlineStr">
        <is>
          <t>0e7e924fc83f7c436128a44c834af295dd6ecb75</t>
        </is>
      </c>
      <c r="B762" s="22" t="inlineStr">
        <is>
          <t>2026-10</t>
        </is>
      </c>
      <c r="C762" s="22" t="inlineStr">
        <is>
          <t>X</t>
        </is>
      </c>
      <c r="D762" s="22" t="n">
        <v>1</v>
      </c>
      <c r="E762" s="22" t="inlineStr">
        <is>
          <t>X: X search (Top): Osun governorship election INEC rigging</t>
        </is>
      </c>
      <c r="F762" s="22" t="inlineStr">
        <is>
          <t>x:X search (Top): Osun governorship election INEC rigging</t>
        </is>
      </c>
      <c r="G762" s="22" t="n">
        <v>0</v>
      </c>
      <c r="H762" s="22" t="n">
        <v>0</v>
      </c>
      <c r="I762" s="22" t="n">
        <v>0</v>
      </c>
      <c r="J762" s="22" t="n">
        <v>0</v>
      </c>
      <c r="K762" s="22" t="n">
        <v>0</v>
      </c>
      <c r="L762" s="22" t="n">
        <v>0</v>
      </c>
      <c r="M762" s="22" t="n">
        <v>0</v>
      </c>
      <c r="N762" s="22" t="n">
        <v>0</v>
      </c>
      <c r="O762" s="22" t="n">
        <v>1</v>
      </c>
      <c r="P762" s="22" t="n">
        <v>0</v>
      </c>
      <c r="Q762" s="22" t="n">
        <v>0</v>
      </c>
      <c r="R762" s="22" t="n">
        <v>0</v>
      </c>
      <c r="S762" s="22" t="n">
        <v>0</v>
      </c>
      <c r="T762" s="22" t="n">
        <v>0</v>
      </c>
      <c r="U762" s="3">
        <f>IF(OR(N762=1,Q762=1),1,0)</f>
        <v/>
      </c>
      <c r="V762" s="3">
        <f>IF(OR(T762=1,P762=1),1,0)</f>
        <v/>
      </c>
      <c r="W762" s="3">
        <f>IF(OR(J762=1),1,0)</f>
        <v/>
      </c>
      <c r="X762" s="3">
        <f>IF(OR(I762=1,H762=1),1,0)</f>
        <v/>
      </c>
      <c r="Y762" s="3">
        <f>IF(OR(G762=1),1,0)</f>
        <v/>
      </c>
      <c r="Z762" s="3">
        <f>IF(OR(F762=1),1,0)</f>
        <v/>
      </c>
      <c r="AA762" s="3">
        <f>IF(OR(M762=1),1,0)</f>
        <v/>
      </c>
    </row>
    <row r="763">
      <c r="A763" s="22" t="inlineStr">
        <is>
          <t>96f4661011acd2bd90a99d3300f875381e4c1fab</t>
        </is>
      </c>
      <c r="B763" s="22" t="inlineStr">
        <is>
          <t>2026-10</t>
        </is>
      </c>
      <c r="C763" s="22" t="inlineStr">
        <is>
          <t>X</t>
        </is>
      </c>
      <c r="D763" s="22" t="n">
        <v>1</v>
      </c>
      <c r="E763" s="22" t="inlineStr">
        <is>
          <t>X: X search (Top): Osun governorship election INEC rigging</t>
        </is>
      </c>
      <c r="F763" s="22" t="inlineStr">
        <is>
          <t>x:X search (Top): Osun governorship election INEC rigging</t>
        </is>
      </c>
      <c r="G763" s="22" t="n">
        <v>-0.849</v>
      </c>
      <c r="H763" s="22" t="n">
        <v>1</v>
      </c>
      <c r="I763" s="22" t="n">
        <v>0</v>
      </c>
      <c r="J763" s="22" t="n">
        <v>0</v>
      </c>
      <c r="K763" s="22" t="n">
        <v>0</v>
      </c>
      <c r="L763" s="22" t="n">
        <v>0</v>
      </c>
      <c r="M763" s="22" t="n">
        <v>1</v>
      </c>
      <c r="N763" s="22" t="n">
        <v>0</v>
      </c>
      <c r="O763" s="22" t="n">
        <v>0</v>
      </c>
      <c r="P763" s="22" t="n">
        <v>0</v>
      </c>
      <c r="Q763" s="22" t="n">
        <v>0</v>
      </c>
      <c r="R763" s="22" t="n">
        <v>0</v>
      </c>
      <c r="S763" s="22" t="n">
        <v>0</v>
      </c>
      <c r="T763" s="22" t="n">
        <v>0</v>
      </c>
      <c r="U763" s="3">
        <f>IF(OR(N763=1,Q763=1),1,0)</f>
        <v/>
      </c>
      <c r="V763" s="3">
        <f>IF(OR(T763=1,P763=1),1,0)</f>
        <v/>
      </c>
      <c r="W763" s="3">
        <f>IF(OR(J763=1),1,0)</f>
        <v/>
      </c>
      <c r="X763" s="3">
        <f>IF(OR(I763=1,H763=1),1,0)</f>
        <v/>
      </c>
      <c r="Y763" s="3">
        <f>IF(OR(G763=1),1,0)</f>
        <v/>
      </c>
      <c r="Z763" s="3">
        <f>IF(OR(F763=1),1,0)</f>
        <v/>
      </c>
      <c r="AA763" s="3">
        <f>IF(OR(M763=1),1,0)</f>
        <v/>
      </c>
    </row>
    <row r="764">
      <c r="A764" s="22" t="inlineStr">
        <is>
          <t>3e695d4d7fdf64830257a3f47edab39c888ce6b8</t>
        </is>
      </c>
      <c r="B764" s="22" t="inlineStr">
        <is>
          <t>2026-10</t>
        </is>
      </c>
      <c r="C764" s="22" t="inlineStr">
        <is>
          <t>X</t>
        </is>
      </c>
      <c r="D764" s="22" t="n">
        <v>1</v>
      </c>
      <c r="E764" s="22" t="inlineStr">
        <is>
          <t>X: X search (Top): Osun governorship election INEC rigging</t>
        </is>
      </c>
      <c r="F764" s="22" t="inlineStr">
        <is>
          <t>x:X search (Top): Osun governorship election INEC rigging</t>
        </is>
      </c>
      <c r="G764" s="22" t="n">
        <v>0.077</v>
      </c>
      <c r="H764" s="22" t="n">
        <v>1</v>
      </c>
      <c r="I764" s="22" t="n">
        <v>0</v>
      </c>
      <c r="J764" s="22" t="n">
        <v>0</v>
      </c>
      <c r="K764" s="22" t="n">
        <v>0</v>
      </c>
      <c r="L764" s="22" t="n">
        <v>0</v>
      </c>
      <c r="M764" s="22" t="n">
        <v>0</v>
      </c>
      <c r="N764" s="22" t="n">
        <v>0</v>
      </c>
      <c r="O764" s="22" t="n">
        <v>0</v>
      </c>
      <c r="P764" s="22" t="n">
        <v>0</v>
      </c>
      <c r="Q764" s="22" t="n">
        <v>0</v>
      </c>
      <c r="R764" s="22" t="n">
        <v>0</v>
      </c>
      <c r="S764" s="22" t="n">
        <v>0</v>
      </c>
      <c r="T764" s="22" t="n">
        <v>0</v>
      </c>
      <c r="U764" s="3">
        <f>IF(OR(N764=1,Q764=1),1,0)</f>
        <v/>
      </c>
      <c r="V764" s="3">
        <f>IF(OR(T764=1,P764=1),1,0)</f>
        <v/>
      </c>
      <c r="W764" s="3">
        <f>IF(OR(J764=1),1,0)</f>
        <v/>
      </c>
      <c r="X764" s="3">
        <f>IF(OR(I764=1,H764=1),1,0)</f>
        <v/>
      </c>
      <c r="Y764" s="3">
        <f>IF(OR(G764=1),1,0)</f>
        <v/>
      </c>
      <c r="Z764" s="3">
        <f>IF(OR(F764=1),1,0)</f>
        <v/>
      </c>
      <c r="AA764" s="3">
        <f>IF(OR(M764=1),1,0)</f>
        <v/>
      </c>
    </row>
    <row r="765">
      <c r="A765" s="22" t="inlineStr">
        <is>
          <t>2c2dca526c8d23e7a8a1c342fc9e96fddcc2d77d</t>
        </is>
      </c>
      <c r="B765" s="22" t="inlineStr">
        <is>
          <t>2026-10</t>
        </is>
      </c>
      <c r="C765" s="22" t="inlineStr">
        <is>
          <t>X</t>
        </is>
      </c>
      <c r="D765" s="22" t="n">
        <v>1</v>
      </c>
      <c r="E765" s="22" t="inlineStr">
        <is>
          <t>X: X search (Top): Osun governorship election INEC rigging</t>
        </is>
      </c>
      <c r="F765" s="22" t="inlineStr">
        <is>
          <t>x:X search (Top): Osun governorship election INEC rigging</t>
        </is>
      </c>
      <c r="G765" s="22" t="n">
        <v>-0.222</v>
      </c>
      <c r="H765" s="22" t="n">
        <v>0</v>
      </c>
      <c r="I765" s="22" t="n">
        <v>1</v>
      </c>
      <c r="J765" s="22" t="n">
        <v>0</v>
      </c>
      <c r="K765" s="22" t="n">
        <v>0</v>
      </c>
      <c r="L765" s="22" t="n">
        <v>0</v>
      </c>
      <c r="M765" s="22" t="n">
        <v>0</v>
      </c>
      <c r="N765" s="22" t="n">
        <v>0</v>
      </c>
      <c r="O765" s="22" t="n">
        <v>0</v>
      </c>
      <c r="P765" s="22" t="n">
        <v>0</v>
      </c>
      <c r="Q765" s="22" t="n">
        <v>0</v>
      </c>
      <c r="R765" s="22" t="n">
        <v>0</v>
      </c>
      <c r="S765" s="22" t="n">
        <v>0</v>
      </c>
      <c r="T765" s="22" t="n">
        <v>0</v>
      </c>
      <c r="U765" s="3">
        <f>IF(OR(N765=1,Q765=1),1,0)</f>
        <v/>
      </c>
      <c r="V765" s="3">
        <f>IF(OR(T765=1,P765=1),1,0)</f>
        <v/>
      </c>
      <c r="W765" s="3">
        <f>IF(OR(J765=1),1,0)</f>
        <v/>
      </c>
      <c r="X765" s="3">
        <f>IF(OR(I765=1,H765=1),1,0)</f>
        <v/>
      </c>
      <c r="Y765" s="3">
        <f>IF(OR(G765=1),1,0)</f>
        <v/>
      </c>
      <c r="Z765" s="3">
        <f>IF(OR(F765=1),1,0)</f>
        <v/>
      </c>
      <c r="AA765" s="3">
        <f>IF(OR(M765=1),1,0)</f>
        <v/>
      </c>
    </row>
    <row r="766">
      <c r="A766" s="22" t="inlineStr">
        <is>
          <t>93aa562e1e11c80fa13de76bbbd69d307c104a11</t>
        </is>
      </c>
      <c r="B766" s="22" t="inlineStr">
        <is>
          <t>2026-10</t>
        </is>
      </c>
      <c r="C766" s="22" t="inlineStr">
        <is>
          <t>X</t>
        </is>
      </c>
      <c r="D766" s="22" t="n">
        <v>1</v>
      </c>
      <c r="E766" s="22" t="inlineStr">
        <is>
          <t>X: X search (Top): Osun governorship election INEC rigging</t>
        </is>
      </c>
      <c r="F766" s="22" t="inlineStr">
        <is>
          <t>x:X search (Top): Osun governorship election INEC rigging</t>
        </is>
      </c>
      <c r="G766" s="22" t="n">
        <v>0.032</v>
      </c>
      <c r="H766" s="22" t="n">
        <v>1</v>
      </c>
      <c r="I766" s="22" t="n">
        <v>0</v>
      </c>
      <c r="J766" s="22" t="n">
        <v>0</v>
      </c>
      <c r="K766" s="22" t="n">
        <v>0</v>
      </c>
      <c r="L766" s="22" t="n">
        <v>0</v>
      </c>
      <c r="M766" s="22" t="n">
        <v>0</v>
      </c>
      <c r="N766" s="22" t="n">
        <v>0</v>
      </c>
      <c r="O766" s="22" t="n">
        <v>0</v>
      </c>
      <c r="P766" s="22" t="n">
        <v>0</v>
      </c>
      <c r="Q766" s="22" t="n">
        <v>0</v>
      </c>
      <c r="R766" s="22" t="n">
        <v>0</v>
      </c>
      <c r="S766" s="22" t="n">
        <v>0</v>
      </c>
      <c r="T766" s="22" t="n">
        <v>0</v>
      </c>
      <c r="U766" s="3">
        <f>IF(OR(N766=1,Q766=1),1,0)</f>
        <v/>
      </c>
      <c r="V766" s="3">
        <f>IF(OR(T766=1,P766=1),1,0)</f>
        <v/>
      </c>
      <c r="W766" s="3">
        <f>IF(OR(J766=1),1,0)</f>
        <v/>
      </c>
      <c r="X766" s="3">
        <f>IF(OR(I766=1,H766=1),1,0)</f>
        <v/>
      </c>
      <c r="Y766" s="3">
        <f>IF(OR(G766=1),1,0)</f>
        <v/>
      </c>
      <c r="Z766" s="3">
        <f>IF(OR(F766=1),1,0)</f>
        <v/>
      </c>
      <c r="AA766" s="3">
        <f>IF(OR(M766=1),1,0)</f>
        <v/>
      </c>
    </row>
    <row r="767">
      <c r="A767" s="22" t="inlineStr">
        <is>
          <t>6f7b86cb7636cdf522eec8597c35fe827fdaf710</t>
        </is>
      </c>
      <c r="B767" s="22" t="inlineStr">
        <is>
          <t>2026-08</t>
        </is>
      </c>
      <c r="C767" s="22" t="inlineStr">
        <is>
          <t>X</t>
        </is>
      </c>
      <c r="D767" s="22" t="n">
        <v>1</v>
      </c>
      <c r="E767" s="22" t="inlineStr">
        <is>
          <t>X: X search (Top): Osun governorship election INEC rigging</t>
        </is>
      </c>
      <c r="F767" s="22" t="inlineStr">
        <is>
          <t>x:X search (Top): Osun governorship election INEC rigging</t>
        </is>
      </c>
      <c r="G767" s="22" t="n">
        <v>0.422</v>
      </c>
      <c r="H767" s="22" t="n">
        <v>1</v>
      </c>
      <c r="I767" s="22" t="n">
        <v>0</v>
      </c>
      <c r="J767" s="22" t="n">
        <v>0</v>
      </c>
      <c r="K767" s="22" t="n">
        <v>0</v>
      </c>
      <c r="L767" s="22" t="n">
        <v>0</v>
      </c>
      <c r="M767" s="22" t="n">
        <v>0</v>
      </c>
      <c r="N767" s="22" t="n">
        <v>0</v>
      </c>
      <c r="O767" s="22" t="n">
        <v>0</v>
      </c>
      <c r="P767" s="22" t="n">
        <v>0</v>
      </c>
      <c r="Q767" s="22" t="n">
        <v>0</v>
      </c>
      <c r="R767" s="22" t="n">
        <v>0</v>
      </c>
      <c r="S767" s="22" t="n">
        <v>0</v>
      </c>
      <c r="T767" s="22" t="n">
        <v>0</v>
      </c>
      <c r="U767" s="3">
        <f>IF(OR(N767=1,Q767=1),1,0)</f>
        <v/>
      </c>
      <c r="V767" s="3">
        <f>IF(OR(T767=1,P767=1),1,0)</f>
        <v/>
      </c>
      <c r="W767" s="3">
        <f>IF(OR(J767=1),1,0)</f>
        <v/>
      </c>
      <c r="X767" s="3">
        <f>IF(OR(I767=1,H767=1),1,0)</f>
        <v/>
      </c>
      <c r="Y767" s="3">
        <f>IF(OR(G767=1),1,0)</f>
        <v/>
      </c>
      <c r="Z767" s="3">
        <f>IF(OR(F767=1),1,0)</f>
        <v/>
      </c>
      <c r="AA767" s="3">
        <f>IF(OR(M767=1),1,0)</f>
        <v/>
      </c>
    </row>
    <row r="768">
      <c r="A768" s="22" t="inlineStr">
        <is>
          <t>84bac27179f47b268e8616332fc77cd1707bc2ab</t>
        </is>
      </c>
      <c r="B768" s="22" t="inlineStr">
        <is>
          <t>2026-02</t>
        </is>
      </c>
      <c r="C768" s="22" t="inlineStr">
        <is>
          <t>Nairaland</t>
        </is>
      </c>
      <c r="D768" s="22" t="n">
        <v>0</v>
      </c>
      <c r="E768" s="22" t="inlineStr">
        <is>
          <t>Nairaland: Nairaland</t>
        </is>
      </c>
      <c r="F768" s="22" t="inlineStr">
        <is>
          <t>nairaland:Nairaland</t>
        </is>
      </c>
      <c r="G768" s="22" t="n">
        <v>0.422</v>
      </c>
      <c r="H768" s="22" t="n">
        <v>0</v>
      </c>
      <c r="I768" s="22" t="n">
        <v>0</v>
      </c>
      <c r="J768" s="22" t="n">
        <v>0</v>
      </c>
      <c r="K768" s="22" t="n">
        <v>0</v>
      </c>
      <c r="L768" s="22" t="n">
        <v>1</v>
      </c>
      <c r="M768" s="22" t="n">
        <v>0</v>
      </c>
      <c r="N768" s="22" t="n">
        <v>0</v>
      </c>
      <c r="O768" s="22" t="n">
        <v>0</v>
      </c>
      <c r="P768" s="22" t="n">
        <v>1</v>
      </c>
      <c r="Q768" s="22" t="n">
        <v>0</v>
      </c>
      <c r="R768" s="22" t="n">
        <v>0</v>
      </c>
      <c r="S768" s="22" t="n">
        <v>0</v>
      </c>
      <c r="T768" s="22" t="n">
        <v>0</v>
      </c>
      <c r="U768" s="3">
        <f>IF(OR(N768=1,Q768=1),1,0)</f>
        <v/>
      </c>
      <c r="V768" s="3">
        <f>IF(OR(T768=1,P768=1),1,0)</f>
        <v/>
      </c>
      <c r="W768" s="3">
        <f>IF(OR(J768=1),1,0)</f>
        <v/>
      </c>
      <c r="X768" s="3">
        <f>IF(OR(I768=1,H768=1),1,0)</f>
        <v/>
      </c>
      <c r="Y768" s="3">
        <f>IF(OR(G768=1),1,0)</f>
        <v/>
      </c>
      <c r="Z768" s="3">
        <f>IF(OR(F768=1),1,0)</f>
        <v/>
      </c>
      <c r="AA768" s="3">
        <f>IF(OR(M768=1),1,0)</f>
        <v/>
      </c>
    </row>
    <row r="769">
      <c r="A769" s="22" t="inlineStr">
        <is>
          <t>3921d24fbdac6f8211a8feb9a8b74603ce139963</t>
        </is>
      </c>
      <c r="B769" s="22" t="inlineStr">
        <is>
          <t>2026-02</t>
        </is>
      </c>
      <c r="C769" s="22" t="inlineStr">
        <is>
          <t>Nairaland</t>
        </is>
      </c>
      <c r="D769" s="22" t="n">
        <v>0</v>
      </c>
      <c r="E769" s="22" t="inlineStr">
        <is>
          <t>Nairaland: Nairaland</t>
        </is>
      </c>
      <c r="F769" s="22" t="inlineStr">
        <is>
          <t>nairaland:Nairaland</t>
        </is>
      </c>
      <c r="G769" s="22" t="n">
        <v>-0.34</v>
      </c>
      <c r="H769" s="22" t="n">
        <v>0</v>
      </c>
      <c r="I769" s="22" t="n">
        <v>0</v>
      </c>
      <c r="J769" s="22" t="n">
        <v>0</v>
      </c>
      <c r="K769" s="22" t="n">
        <v>0</v>
      </c>
      <c r="L769" s="22" t="n">
        <v>0</v>
      </c>
      <c r="M769" s="22" t="n">
        <v>1</v>
      </c>
      <c r="N769" s="22" t="n">
        <v>0</v>
      </c>
      <c r="O769" s="22" t="n">
        <v>0</v>
      </c>
      <c r="P769" s="22" t="n">
        <v>0</v>
      </c>
      <c r="Q769" s="22" t="n">
        <v>0</v>
      </c>
      <c r="R769" s="22" t="n">
        <v>0</v>
      </c>
      <c r="S769" s="22" t="n">
        <v>0</v>
      </c>
      <c r="T769" s="22" t="n">
        <v>0</v>
      </c>
      <c r="U769" s="3">
        <f>IF(OR(N769=1,Q769=1),1,0)</f>
        <v/>
      </c>
      <c r="V769" s="3">
        <f>IF(OR(T769=1,P769=1),1,0)</f>
        <v/>
      </c>
      <c r="W769" s="3">
        <f>IF(OR(J769=1),1,0)</f>
        <v/>
      </c>
      <c r="X769" s="3">
        <f>IF(OR(I769=1,H769=1),1,0)</f>
        <v/>
      </c>
      <c r="Y769" s="3">
        <f>IF(OR(G769=1),1,0)</f>
        <v/>
      </c>
      <c r="Z769" s="3">
        <f>IF(OR(F769=1),1,0)</f>
        <v/>
      </c>
      <c r="AA769" s="3">
        <f>IF(OR(M769=1),1,0)</f>
        <v/>
      </c>
    </row>
    <row r="770">
      <c r="A770" s="22" t="inlineStr">
        <is>
          <t>857487c328a1c839accce8adac787b60c844deeb</t>
        </is>
      </c>
      <c r="B770" s="22" t="inlineStr">
        <is>
          <t>2025-10</t>
        </is>
      </c>
      <c r="C770" s="22" t="inlineStr">
        <is>
          <t>Nairaland</t>
        </is>
      </c>
      <c r="D770" s="22" t="n">
        <v>0</v>
      </c>
      <c r="E770" s="22" t="inlineStr">
        <is>
          <t>Nairaland: Nairaland</t>
        </is>
      </c>
      <c r="F770" s="22" t="inlineStr">
        <is>
          <t>nairaland:Nairaland</t>
        </is>
      </c>
      <c r="G770" s="22" t="n">
        <v>-0.296</v>
      </c>
      <c r="H770" s="22" t="n">
        <v>0</v>
      </c>
      <c r="I770" s="22" t="n">
        <v>0</v>
      </c>
      <c r="J770" s="22" t="n">
        <v>0</v>
      </c>
      <c r="K770" s="22" t="n">
        <v>0</v>
      </c>
      <c r="L770" s="22" t="n">
        <v>0</v>
      </c>
      <c r="M770" s="22" t="n">
        <v>0</v>
      </c>
      <c r="N770" s="22" t="n">
        <v>0</v>
      </c>
      <c r="O770" s="22" t="n">
        <v>0</v>
      </c>
      <c r="P770" s="22" t="n">
        <v>0</v>
      </c>
      <c r="Q770" s="22" t="n">
        <v>0</v>
      </c>
      <c r="R770" s="22" t="n">
        <v>0</v>
      </c>
      <c r="S770" s="22" t="n">
        <v>0</v>
      </c>
      <c r="T770" s="22" t="n">
        <v>0</v>
      </c>
      <c r="U770" s="3">
        <f>IF(OR(N770=1,Q770=1),1,0)</f>
        <v/>
      </c>
      <c r="V770" s="3">
        <f>IF(OR(T770=1,P770=1),1,0)</f>
        <v/>
      </c>
      <c r="W770" s="3">
        <f>IF(OR(J770=1),1,0)</f>
        <v/>
      </c>
      <c r="X770" s="3">
        <f>IF(OR(I770=1,H770=1),1,0)</f>
        <v/>
      </c>
      <c r="Y770" s="3">
        <f>IF(OR(G770=1),1,0)</f>
        <v/>
      </c>
      <c r="Z770" s="3">
        <f>IF(OR(F770=1),1,0)</f>
        <v/>
      </c>
      <c r="AA770" s="3">
        <f>IF(OR(M770=1),1,0)</f>
        <v/>
      </c>
    </row>
    <row r="771">
      <c r="A771" s="22" t="inlineStr">
        <is>
          <t>6ec32c4ea2eb3f5a0ca927f5081e65083cefd4d9</t>
        </is>
      </c>
      <c r="B771" s="22" t="inlineStr">
        <is>
          <t>2025-10</t>
        </is>
      </c>
      <c r="C771" s="22" t="inlineStr">
        <is>
          <t>Nairaland</t>
        </is>
      </c>
      <c r="D771" s="22" t="n">
        <v>0</v>
      </c>
      <c r="E771" s="22" t="inlineStr">
        <is>
          <t>Nairaland: Nairaland</t>
        </is>
      </c>
      <c r="F771" s="22" t="inlineStr">
        <is>
          <t>nairaland:Nairaland</t>
        </is>
      </c>
      <c r="G771" s="22" t="n">
        <v>0.077</v>
      </c>
      <c r="H771" s="22" t="n">
        <v>0</v>
      </c>
      <c r="I771" s="22" t="n">
        <v>0</v>
      </c>
      <c r="J771" s="22" t="n">
        <v>0</v>
      </c>
      <c r="K771" s="22" t="n">
        <v>1</v>
      </c>
      <c r="L771" s="22" t="n">
        <v>1</v>
      </c>
      <c r="M771" s="22" t="n">
        <v>0</v>
      </c>
      <c r="N771" s="22" t="n">
        <v>0</v>
      </c>
      <c r="O771" s="22" t="n">
        <v>0</v>
      </c>
      <c r="P771" s="22" t="n">
        <v>0</v>
      </c>
      <c r="Q771" s="22" t="n">
        <v>0</v>
      </c>
      <c r="R771" s="22" t="n">
        <v>0</v>
      </c>
      <c r="S771" s="22" t="n">
        <v>0</v>
      </c>
      <c r="T771" s="22" t="n">
        <v>0</v>
      </c>
      <c r="U771" s="3">
        <f>IF(OR(N771=1,Q771=1),1,0)</f>
        <v/>
      </c>
      <c r="V771" s="3">
        <f>IF(OR(T771=1,P771=1),1,0)</f>
        <v/>
      </c>
      <c r="W771" s="3">
        <f>IF(OR(J771=1),1,0)</f>
        <v/>
      </c>
      <c r="X771" s="3">
        <f>IF(OR(I771=1,H771=1),1,0)</f>
        <v/>
      </c>
      <c r="Y771" s="3">
        <f>IF(OR(G771=1),1,0)</f>
        <v/>
      </c>
      <c r="Z771" s="3">
        <f>IF(OR(F771=1),1,0)</f>
        <v/>
      </c>
      <c r="AA771" s="3">
        <f>IF(OR(M771=1),1,0)</f>
        <v/>
      </c>
    </row>
    <row r="772">
      <c r="A772" s="22" t="inlineStr">
        <is>
          <t>926ed4049f928038a939214efc1318b4b6c642f7</t>
        </is>
      </c>
      <c r="B772" s="22" t="inlineStr">
        <is>
          <t>2025-10</t>
        </is>
      </c>
      <c r="C772" s="22" t="inlineStr">
        <is>
          <t>Nairaland</t>
        </is>
      </c>
      <c r="D772" s="22" t="n">
        <v>0</v>
      </c>
      <c r="E772" s="22" t="inlineStr">
        <is>
          <t>Nairaland: Nairaland</t>
        </is>
      </c>
      <c r="F772" s="22" t="inlineStr">
        <is>
          <t>nairaland:Nairaland</t>
        </is>
      </c>
      <c r="G772" s="22" t="n">
        <v>0.202</v>
      </c>
      <c r="H772" s="22" t="n">
        <v>0</v>
      </c>
      <c r="I772" s="22" t="n">
        <v>0</v>
      </c>
      <c r="J772" s="22" t="n">
        <v>0</v>
      </c>
      <c r="K772" s="22" t="n">
        <v>0</v>
      </c>
      <c r="L772" s="22" t="n">
        <v>1</v>
      </c>
      <c r="M772" s="22" t="n">
        <v>0</v>
      </c>
      <c r="N772" s="22" t="n">
        <v>0</v>
      </c>
      <c r="O772" s="22" t="n">
        <v>0</v>
      </c>
      <c r="P772" s="22" t="n">
        <v>0</v>
      </c>
      <c r="Q772" s="22" t="n">
        <v>0</v>
      </c>
      <c r="R772" s="22" t="n">
        <v>0</v>
      </c>
      <c r="S772" s="22" t="n">
        <v>0</v>
      </c>
      <c r="T772" s="22" t="n">
        <v>0</v>
      </c>
      <c r="U772" s="3">
        <f>IF(OR(N772=1,Q772=1),1,0)</f>
        <v/>
      </c>
      <c r="V772" s="3">
        <f>IF(OR(T772=1,P772=1),1,0)</f>
        <v/>
      </c>
      <c r="W772" s="3">
        <f>IF(OR(J772=1),1,0)</f>
        <v/>
      </c>
      <c r="X772" s="3">
        <f>IF(OR(I772=1,H772=1),1,0)</f>
        <v/>
      </c>
      <c r="Y772" s="3">
        <f>IF(OR(G772=1),1,0)</f>
        <v/>
      </c>
      <c r="Z772" s="3">
        <f>IF(OR(F772=1),1,0)</f>
        <v/>
      </c>
      <c r="AA772" s="3">
        <f>IF(OR(M772=1),1,0)</f>
        <v/>
      </c>
    </row>
    <row r="773">
      <c r="A773" s="22" t="inlineStr">
        <is>
          <t>015e8686c54f5871f15a28de34142eb8bd64d6b2</t>
        </is>
      </c>
      <c r="B773" s="22" t="inlineStr">
        <is>
          <t>2025-10</t>
        </is>
      </c>
      <c r="C773" s="22" t="inlineStr">
        <is>
          <t>Nairaland</t>
        </is>
      </c>
      <c r="D773" s="22" t="n">
        <v>0</v>
      </c>
      <c r="E773" s="22" t="inlineStr">
        <is>
          <t>Nairaland: Nairaland</t>
        </is>
      </c>
      <c r="F773" s="22" t="inlineStr">
        <is>
          <t>nairaland:Nairaland</t>
        </is>
      </c>
      <c r="G773" s="22" t="n">
        <v>0</v>
      </c>
      <c r="H773" s="22" t="n">
        <v>0</v>
      </c>
      <c r="I773" s="22" t="n">
        <v>0</v>
      </c>
      <c r="J773" s="22" t="n">
        <v>0</v>
      </c>
      <c r="K773" s="22" t="n">
        <v>0</v>
      </c>
      <c r="L773" s="22" t="n">
        <v>1</v>
      </c>
      <c r="M773" s="22" t="n">
        <v>0</v>
      </c>
      <c r="N773" s="22" t="n">
        <v>0</v>
      </c>
      <c r="O773" s="22" t="n">
        <v>0</v>
      </c>
      <c r="P773" s="22" t="n">
        <v>0</v>
      </c>
      <c r="Q773" s="22" t="n">
        <v>0</v>
      </c>
      <c r="R773" s="22" t="n">
        <v>0</v>
      </c>
      <c r="S773" s="22" t="n">
        <v>0</v>
      </c>
      <c r="T773" s="22" t="n">
        <v>0</v>
      </c>
      <c r="U773" s="3">
        <f>IF(OR(N773=1,Q773=1),1,0)</f>
        <v/>
      </c>
      <c r="V773" s="3">
        <f>IF(OR(T773=1,P773=1),1,0)</f>
        <v/>
      </c>
      <c r="W773" s="3">
        <f>IF(OR(J773=1),1,0)</f>
        <v/>
      </c>
      <c r="X773" s="3">
        <f>IF(OR(I773=1,H773=1),1,0)</f>
        <v/>
      </c>
      <c r="Y773" s="3">
        <f>IF(OR(G773=1),1,0)</f>
        <v/>
      </c>
      <c r="Z773" s="3">
        <f>IF(OR(F773=1),1,0)</f>
        <v/>
      </c>
      <c r="AA773" s="3">
        <f>IF(OR(M773=1),1,0)</f>
        <v/>
      </c>
    </row>
    <row r="774">
      <c r="A774" s="22" t="inlineStr">
        <is>
          <t>a0791df8ac7462ce863c0657888a79d7fc15f106</t>
        </is>
      </c>
      <c r="B774" s="22" t="inlineStr">
        <is>
          <t>2025-10</t>
        </is>
      </c>
      <c r="C774" s="22" t="inlineStr">
        <is>
          <t>Nairaland</t>
        </is>
      </c>
      <c r="D774" s="22" t="n">
        <v>0</v>
      </c>
      <c r="E774" s="22" t="inlineStr">
        <is>
          <t>Nairaland: Nairaland</t>
        </is>
      </c>
      <c r="F774" s="22" t="inlineStr">
        <is>
          <t>nairaland:Nairaland</t>
        </is>
      </c>
      <c r="G774" s="22" t="n">
        <v>0</v>
      </c>
      <c r="H774" s="22" t="n">
        <v>0</v>
      </c>
      <c r="I774" s="22" t="n">
        <v>0</v>
      </c>
      <c r="J774" s="22" t="n">
        <v>0</v>
      </c>
      <c r="K774" s="22" t="n">
        <v>0</v>
      </c>
      <c r="L774" s="22" t="n">
        <v>1</v>
      </c>
      <c r="M774" s="22" t="n">
        <v>0</v>
      </c>
      <c r="N774" s="22" t="n">
        <v>0</v>
      </c>
      <c r="O774" s="22" t="n">
        <v>0</v>
      </c>
      <c r="P774" s="22" t="n">
        <v>0</v>
      </c>
      <c r="Q774" s="22" t="n">
        <v>0</v>
      </c>
      <c r="R774" s="22" t="n">
        <v>0</v>
      </c>
      <c r="S774" s="22" t="n">
        <v>0</v>
      </c>
      <c r="T774" s="22" t="n">
        <v>0</v>
      </c>
      <c r="U774" s="3">
        <f>IF(OR(N774=1,Q774=1),1,0)</f>
        <v/>
      </c>
      <c r="V774" s="3">
        <f>IF(OR(T774=1,P774=1),1,0)</f>
        <v/>
      </c>
      <c r="W774" s="3">
        <f>IF(OR(J774=1),1,0)</f>
        <v/>
      </c>
      <c r="X774" s="3">
        <f>IF(OR(I774=1,H774=1),1,0)</f>
        <v/>
      </c>
      <c r="Y774" s="3">
        <f>IF(OR(G774=1),1,0)</f>
        <v/>
      </c>
      <c r="Z774" s="3">
        <f>IF(OR(F774=1),1,0)</f>
        <v/>
      </c>
      <c r="AA774" s="3">
        <f>IF(OR(M774=1),1,0)</f>
        <v/>
      </c>
    </row>
    <row r="775">
      <c r="A775" s="22" t="inlineStr">
        <is>
          <t>47d7aad1c9dab1945e819de28cd5f126c5e1cd47</t>
        </is>
      </c>
      <c r="B775" s="22" t="inlineStr">
        <is>
          <t>2025-10</t>
        </is>
      </c>
      <c r="C775" s="22" t="inlineStr">
        <is>
          <t>Nairaland</t>
        </is>
      </c>
      <c r="D775" s="22" t="n">
        <v>0</v>
      </c>
      <c r="E775" s="22" t="inlineStr">
        <is>
          <t>Nairaland: Nairaland</t>
        </is>
      </c>
      <c r="F775" s="22" t="inlineStr">
        <is>
          <t>nairaland:Nairaland</t>
        </is>
      </c>
      <c r="G775" s="22" t="n">
        <v>0.82</v>
      </c>
      <c r="H775" s="22" t="n">
        <v>0</v>
      </c>
      <c r="I775" s="22" t="n">
        <v>0</v>
      </c>
      <c r="J775" s="22" t="n">
        <v>0</v>
      </c>
      <c r="K775" s="22" t="n">
        <v>0</v>
      </c>
      <c r="L775" s="22" t="n">
        <v>1</v>
      </c>
      <c r="M775" s="22" t="n">
        <v>0</v>
      </c>
      <c r="N775" s="22" t="n">
        <v>0</v>
      </c>
      <c r="O775" s="22" t="n">
        <v>0</v>
      </c>
      <c r="P775" s="22" t="n">
        <v>0</v>
      </c>
      <c r="Q775" s="22" t="n">
        <v>0</v>
      </c>
      <c r="R775" s="22" t="n">
        <v>0</v>
      </c>
      <c r="S775" s="22" t="n">
        <v>0</v>
      </c>
      <c r="T775" s="22" t="n">
        <v>0</v>
      </c>
      <c r="U775" s="3">
        <f>IF(OR(N775=1,Q775=1),1,0)</f>
        <v/>
      </c>
      <c r="V775" s="3">
        <f>IF(OR(T775=1,P775=1),1,0)</f>
        <v/>
      </c>
      <c r="W775" s="3">
        <f>IF(OR(J775=1),1,0)</f>
        <v/>
      </c>
      <c r="X775" s="3">
        <f>IF(OR(I775=1,H775=1),1,0)</f>
        <v/>
      </c>
      <c r="Y775" s="3">
        <f>IF(OR(G775=1),1,0)</f>
        <v/>
      </c>
      <c r="Z775" s="3">
        <f>IF(OR(F775=1),1,0)</f>
        <v/>
      </c>
      <c r="AA775" s="3">
        <f>IF(OR(M775=1),1,0)</f>
        <v/>
      </c>
    </row>
    <row r="776">
      <c r="A776" s="22" t="inlineStr">
        <is>
          <t>dc2a3f66fbbc7cb792789957d1f67d25a83ff4c8</t>
        </is>
      </c>
      <c r="B776" s="22" t="inlineStr">
        <is>
          <t>2025-10</t>
        </is>
      </c>
      <c r="C776" s="22" t="inlineStr">
        <is>
          <t>Nairaland</t>
        </is>
      </c>
      <c r="D776" s="22" t="n">
        <v>0</v>
      </c>
      <c r="E776" s="22" t="inlineStr">
        <is>
          <t>Nairaland: Nairaland</t>
        </is>
      </c>
      <c r="F776" s="22" t="inlineStr">
        <is>
          <t>nairaland:Nairaland</t>
        </is>
      </c>
      <c r="G776" s="22" t="n">
        <v>-0.019</v>
      </c>
      <c r="H776" s="22" t="n">
        <v>0</v>
      </c>
      <c r="I776" s="22" t="n">
        <v>0</v>
      </c>
      <c r="J776" s="22" t="n">
        <v>0</v>
      </c>
      <c r="K776" s="22" t="n">
        <v>0</v>
      </c>
      <c r="L776" s="22" t="n">
        <v>1</v>
      </c>
      <c r="M776" s="22" t="n">
        <v>0</v>
      </c>
      <c r="N776" s="22" t="n">
        <v>0</v>
      </c>
      <c r="O776" s="22" t="n">
        <v>0</v>
      </c>
      <c r="P776" s="22" t="n">
        <v>0</v>
      </c>
      <c r="Q776" s="22" t="n">
        <v>0</v>
      </c>
      <c r="R776" s="22" t="n">
        <v>0</v>
      </c>
      <c r="S776" s="22" t="n">
        <v>0</v>
      </c>
      <c r="T776" s="22" t="n">
        <v>0</v>
      </c>
      <c r="U776" s="3">
        <f>IF(OR(N776=1,Q776=1),1,0)</f>
        <v/>
      </c>
      <c r="V776" s="3">
        <f>IF(OR(T776=1,P776=1),1,0)</f>
        <v/>
      </c>
      <c r="W776" s="3">
        <f>IF(OR(J776=1),1,0)</f>
        <v/>
      </c>
      <c r="X776" s="3">
        <f>IF(OR(I776=1,H776=1),1,0)</f>
        <v/>
      </c>
      <c r="Y776" s="3">
        <f>IF(OR(G776=1),1,0)</f>
        <v/>
      </c>
      <c r="Z776" s="3">
        <f>IF(OR(F776=1),1,0)</f>
        <v/>
      </c>
      <c r="AA776" s="3">
        <f>IF(OR(M776=1),1,0)</f>
        <v/>
      </c>
    </row>
    <row r="777">
      <c r="A777" s="22" t="inlineStr">
        <is>
          <t>73ec67164d43c1b2592878adff0a334d5fec5429</t>
        </is>
      </c>
      <c r="B777" s="22" t="inlineStr">
        <is>
          <t>2025-10</t>
        </is>
      </c>
      <c r="C777" s="22" t="inlineStr">
        <is>
          <t>Nairaland</t>
        </is>
      </c>
      <c r="D777" s="22" t="n">
        <v>0</v>
      </c>
      <c r="E777" s="22" t="inlineStr">
        <is>
          <t>Nairaland: Nairaland</t>
        </is>
      </c>
      <c r="F777" s="22" t="inlineStr">
        <is>
          <t>nairaland:Nairaland</t>
        </is>
      </c>
      <c r="G777" s="22" t="n">
        <v>0.052</v>
      </c>
      <c r="H777" s="22" t="n">
        <v>0</v>
      </c>
      <c r="I777" s="22" t="n">
        <v>0</v>
      </c>
      <c r="J777" s="22" t="n">
        <v>0</v>
      </c>
      <c r="K777" s="22" t="n">
        <v>0</v>
      </c>
      <c r="L777" s="22" t="n">
        <v>1</v>
      </c>
      <c r="M777" s="22" t="n">
        <v>0</v>
      </c>
      <c r="N777" s="22" t="n">
        <v>0</v>
      </c>
      <c r="O777" s="22" t="n">
        <v>0</v>
      </c>
      <c r="P777" s="22" t="n">
        <v>0</v>
      </c>
      <c r="Q777" s="22" t="n">
        <v>0</v>
      </c>
      <c r="R777" s="22" t="n">
        <v>0</v>
      </c>
      <c r="S777" s="22" t="n">
        <v>0</v>
      </c>
      <c r="T777" s="22" t="n">
        <v>0</v>
      </c>
      <c r="U777" s="3">
        <f>IF(OR(N777=1,Q777=1),1,0)</f>
        <v/>
      </c>
      <c r="V777" s="3">
        <f>IF(OR(T777=1,P777=1),1,0)</f>
        <v/>
      </c>
      <c r="W777" s="3">
        <f>IF(OR(J777=1),1,0)</f>
        <v/>
      </c>
      <c r="X777" s="3">
        <f>IF(OR(I777=1,H777=1),1,0)</f>
        <v/>
      </c>
      <c r="Y777" s="3">
        <f>IF(OR(G777=1),1,0)</f>
        <v/>
      </c>
      <c r="Z777" s="3">
        <f>IF(OR(F777=1),1,0)</f>
        <v/>
      </c>
      <c r="AA777" s="3">
        <f>IF(OR(M777=1),1,0)</f>
        <v/>
      </c>
    </row>
    <row r="778">
      <c r="A778" s="22" t="inlineStr">
        <is>
          <t>4dde48d8f74a0e9450be3badc38dde15c848e2f5</t>
        </is>
      </c>
      <c r="B778" s="22" t="inlineStr">
        <is>
          <t>2025-10</t>
        </is>
      </c>
      <c r="C778" s="22" t="inlineStr">
        <is>
          <t>Nairaland</t>
        </is>
      </c>
      <c r="D778" s="22" t="n">
        <v>0</v>
      </c>
      <c r="E778" s="22" t="inlineStr">
        <is>
          <t>Nairaland: Nairaland</t>
        </is>
      </c>
      <c r="F778" s="22" t="inlineStr">
        <is>
          <t>nairaland:Nairaland</t>
        </is>
      </c>
      <c r="G778" s="22" t="n">
        <v>-0.444</v>
      </c>
      <c r="H778" s="22" t="n">
        <v>0</v>
      </c>
      <c r="I778" s="22" t="n">
        <v>0</v>
      </c>
      <c r="J778" s="22" t="n">
        <v>0</v>
      </c>
      <c r="K778" s="22" t="n">
        <v>0</v>
      </c>
      <c r="L778" s="22" t="n">
        <v>1</v>
      </c>
      <c r="M778" s="22" t="n">
        <v>0</v>
      </c>
      <c r="N778" s="22" t="n">
        <v>0</v>
      </c>
      <c r="O778" s="22" t="n">
        <v>0</v>
      </c>
      <c r="P778" s="22" t="n">
        <v>0</v>
      </c>
      <c r="Q778" s="22" t="n">
        <v>0</v>
      </c>
      <c r="R778" s="22" t="n">
        <v>0</v>
      </c>
      <c r="S778" s="22" t="n">
        <v>0</v>
      </c>
      <c r="T778" s="22" t="n">
        <v>0</v>
      </c>
      <c r="U778" s="3">
        <f>IF(OR(N778=1,Q778=1),1,0)</f>
        <v/>
      </c>
      <c r="V778" s="3">
        <f>IF(OR(T778=1,P778=1),1,0)</f>
        <v/>
      </c>
      <c r="W778" s="3">
        <f>IF(OR(J778=1),1,0)</f>
        <v/>
      </c>
      <c r="X778" s="3">
        <f>IF(OR(I778=1,H778=1),1,0)</f>
        <v/>
      </c>
      <c r="Y778" s="3">
        <f>IF(OR(G778=1),1,0)</f>
        <v/>
      </c>
      <c r="Z778" s="3">
        <f>IF(OR(F778=1),1,0)</f>
        <v/>
      </c>
      <c r="AA778" s="3">
        <f>IF(OR(M778=1),1,0)</f>
        <v/>
      </c>
    </row>
    <row r="779">
      <c r="A779" s="22" t="inlineStr">
        <is>
          <t>a8a85f55eab0b27aa19b5d7885252f68c3a5d821</t>
        </is>
      </c>
      <c r="B779" s="22" t="inlineStr">
        <is>
          <t>2025-10</t>
        </is>
      </c>
      <c r="C779" s="22" t="inlineStr">
        <is>
          <t>Nairaland</t>
        </is>
      </c>
      <c r="D779" s="22" t="n">
        <v>0</v>
      </c>
      <c r="E779" s="22" t="inlineStr">
        <is>
          <t>Nairaland: Nairaland</t>
        </is>
      </c>
      <c r="F779" s="22" t="inlineStr">
        <is>
          <t>nairaland:Nairaland</t>
        </is>
      </c>
      <c r="G779" s="22" t="n">
        <v>0</v>
      </c>
      <c r="H779" s="22" t="n">
        <v>0</v>
      </c>
      <c r="I779" s="22" t="n">
        <v>0</v>
      </c>
      <c r="J779" s="22" t="n">
        <v>0</v>
      </c>
      <c r="K779" s="22" t="n">
        <v>0</v>
      </c>
      <c r="L779" s="22" t="n">
        <v>1</v>
      </c>
      <c r="M779" s="22" t="n">
        <v>0</v>
      </c>
      <c r="N779" s="22" t="n">
        <v>0</v>
      </c>
      <c r="O779" s="22" t="n">
        <v>0</v>
      </c>
      <c r="P779" s="22" t="n">
        <v>0</v>
      </c>
      <c r="Q779" s="22" t="n">
        <v>0</v>
      </c>
      <c r="R779" s="22" t="n">
        <v>0</v>
      </c>
      <c r="S779" s="22" t="n">
        <v>0</v>
      </c>
      <c r="T779" s="22" t="n">
        <v>0</v>
      </c>
      <c r="U779" s="3">
        <f>IF(OR(N779=1,Q779=1),1,0)</f>
        <v/>
      </c>
      <c r="V779" s="3">
        <f>IF(OR(T779=1,P779=1),1,0)</f>
        <v/>
      </c>
      <c r="W779" s="3">
        <f>IF(OR(J779=1),1,0)</f>
        <v/>
      </c>
      <c r="X779" s="3">
        <f>IF(OR(I779=1,H779=1),1,0)</f>
        <v/>
      </c>
      <c r="Y779" s="3">
        <f>IF(OR(G779=1),1,0)</f>
        <v/>
      </c>
      <c r="Z779" s="3">
        <f>IF(OR(F779=1),1,0)</f>
        <v/>
      </c>
      <c r="AA779" s="3">
        <f>IF(OR(M779=1),1,0)</f>
        <v/>
      </c>
    </row>
    <row r="780">
      <c r="A780" s="22" t="inlineStr">
        <is>
          <t>1876dd8b32f64a2dbdc500ed24df2653cbcc846c</t>
        </is>
      </c>
      <c r="B780" s="22" t="inlineStr">
        <is>
          <t>2025-10</t>
        </is>
      </c>
      <c r="C780" s="22" t="inlineStr">
        <is>
          <t>Nairaland</t>
        </is>
      </c>
      <c r="D780" s="22" t="n">
        <v>0</v>
      </c>
      <c r="E780" s="22" t="inlineStr">
        <is>
          <t>Nairaland: Nairaland</t>
        </is>
      </c>
      <c r="F780" s="22" t="inlineStr">
        <is>
          <t>nairaland:Nairaland</t>
        </is>
      </c>
      <c r="G780" s="22" t="n">
        <v>-0.949</v>
      </c>
      <c r="H780" s="22" t="n">
        <v>1</v>
      </c>
      <c r="I780" s="22" t="n">
        <v>0</v>
      </c>
      <c r="J780" s="22" t="n">
        <v>0</v>
      </c>
      <c r="K780" s="22" t="n">
        <v>0</v>
      </c>
      <c r="L780" s="22" t="n">
        <v>0</v>
      </c>
      <c r="M780" s="22" t="n">
        <v>0</v>
      </c>
      <c r="N780" s="22" t="n">
        <v>0</v>
      </c>
      <c r="O780" s="22" t="n">
        <v>0</v>
      </c>
      <c r="P780" s="22" t="n">
        <v>0</v>
      </c>
      <c r="Q780" s="22" t="n">
        <v>0</v>
      </c>
      <c r="R780" s="22" t="n">
        <v>0</v>
      </c>
      <c r="S780" s="22" t="n">
        <v>0</v>
      </c>
      <c r="T780" s="22" t="n">
        <v>0</v>
      </c>
      <c r="U780" s="3">
        <f>IF(OR(N780=1,Q780=1),1,0)</f>
        <v/>
      </c>
      <c r="V780" s="3">
        <f>IF(OR(T780=1,P780=1),1,0)</f>
        <v/>
      </c>
      <c r="W780" s="3">
        <f>IF(OR(J780=1),1,0)</f>
        <v/>
      </c>
      <c r="X780" s="3">
        <f>IF(OR(I780=1,H780=1),1,0)</f>
        <v/>
      </c>
      <c r="Y780" s="3">
        <f>IF(OR(G780=1),1,0)</f>
        <v/>
      </c>
      <c r="Z780" s="3">
        <f>IF(OR(F780=1),1,0)</f>
        <v/>
      </c>
      <c r="AA780" s="3">
        <f>IF(OR(M780=1),1,0)</f>
        <v/>
      </c>
    </row>
    <row r="781">
      <c r="A781" s="22" t="inlineStr">
        <is>
          <t>e418575b68da4cc5e572281918c1aac0f625ff1a</t>
        </is>
      </c>
      <c r="B781" s="22" t="inlineStr">
        <is>
          <t>2025-10</t>
        </is>
      </c>
      <c r="C781" s="22" t="inlineStr">
        <is>
          <t>Nairaland</t>
        </is>
      </c>
      <c r="D781" s="22" t="n">
        <v>0</v>
      </c>
      <c r="E781" s="22" t="inlineStr">
        <is>
          <t>Nairaland: Nairaland</t>
        </is>
      </c>
      <c r="F781" s="22" t="inlineStr">
        <is>
          <t>nairaland:Nairaland</t>
        </is>
      </c>
      <c r="G781" s="22" t="n">
        <v>-0.586</v>
      </c>
      <c r="H781" s="22" t="n">
        <v>1</v>
      </c>
      <c r="I781" s="22" t="n">
        <v>0</v>
      </c>
      <c r="J781" s="22" t="n">
        <v>0</v>
      </c>
      <c r="K781" s="22" t="n">
        <v>0</v>
      </c>
      <c r="L781" s="22" t="n">
        <v>1</v>
      </c>
      <c r="M781" s="22" t="n">
        <v>0</v>
      </c>
      <c r="N781" s="22" t="n">
        <v>0</v>
      </c>
      <c r="O781" s="22" t="n">
        <v>0</v>
      </c>
      <c r="P781" s="22" t="n">
        <v>0</v>
      </c>
      <c r="Q781" s="22" t="n">
        <v>0</v>
      </c>
      <c r="R781" s="22" t="n">
        <v>0</v>
      </c>
      <c r="S781" s="22" t="n">
        <v>0</v>
      </c>
      <c r="T781" s="22" t="n">
        <v>0</v>
      </c>
      <c r="U781" s="3">
        <f>IF(OR(N781=1,Q781=1),1,0)</f>
        <v/>
      </c>
      <c r="V781" s="3">
        <f>IF(OR(T781=1,P781=1),1,0)</f>
        <v/>
      </c>
      <c r="W781" s="3">
        <f>IF(OR(J781=1),1,0)</f>
        <v/>
      </c>
      <c r="X781" s="3">
        <f>IF(OR(I781=1,H781=1),1,0)</f>
        <v/>
      </c>
      <c r="Y781" s="3">
        <f>IF(OR(G781=1),1,0)</f>
        <v/>
      </c>
      <c r="Z781" s="3">
        <f>IF(OR(F781=1),1,0)</f>
        <v/>
      </c>
      <c r="AA781" s="3">
        <f>IF(OR(M781=1),1,0)</f>
        <v/>
      </c>
    </row>
    <row r="782">
      <c r="A782" s="22" t="inlineStr">
        <is>
          <t>5db4fcf9e9e39e0b07f8d74dfdfd7697ab096f16</t>
        </is>
      </c>
      <c r="B782" s="22" t="inlineStr">
        <is>
          <t>2025-10</t>
        </is>
      </c>
      <c r="C782" s="22" t="inlineStr">
        <is>
          <t>Nairaland</t>
        </is>
      </c>
      <c r="D782" s="22" t="n">
        <v>0</v>
      </c>
      <c r="E782" s="22" t="inlineStr">
        <is>
          <t>Nairaland: Nairaland</t>
        </is>
      </c>
      <c r="F782" s="22" t="inlineStr">
        <is>
          <t>nairaland:Nairaland</t>
        </is>
      </c>
      <c r="G782" s="22" t="n">
        <v>-0.635</v>
      </c>
      <c r="H782" s="22" t="n">
        <v>1</v>
      </c>
      <c r="I782" s="22" t="n">
        <v>0</v>
      </c>
      <c r="J782" s="22" t="n">
        <v>0</v>
      </c>
      <c r="K782" s="22" t="n">
        <v>0</v>
      </c>
      <c r="L782" s="22" t="n">
        <v>1</v>
      </c>
      <c r="M782" s="22" t="n">
        <v>0</v>
      </c>
      <c r="N782" s="22" t="n">
        <v>0</v>
      </c>
      <c r="O782" s="22" t="n">
        <v>0</v>
      </c>
      <c r="P782" s="22" t="n">
        <v>0</v>
      </c>
      <c r="Q782" s="22" t="n">
        <v>0</v>
      </c>
      <c r="R782" s="22" t="n">
        <v>0</v>
      </c>
      <c r="S782" s="22" t="n">
        <v>0</v>
      </c>
      <c r="T782" s="22" t="n">
        <v>0</v>
      </c>
      <c r="U782" s="3">
        <f>IF(OR(N782=1,Q782=1),1,0)</f>
        <v/>
      </c>
      <c r="V782" s="3">
        <f>IF(OR(T782=1,P782=1),1,0)</f>
        <v/>
      </c>
      <c r="W782" s="3">
        <f>IF(OR(J782=1),1,0)</f>
        <v/>
      </c>
      <c r="X782" s="3">
        <f>IF(OR(I782=1,H782=1),1,0)</f>
        <v/>
      </c>
      <c r="Y782" s="3">
        <f>IF(OR(G782=1),1,0)</f>
        <v/>
      </c>
      <c r="Z782" s="3">
        <f>IF(OR(F782=1),1,0)</f>
        <v/>
      </c>
      <c r="AA782" s="3">
        <f>IF(OR(M782=1),1,0)</f>
        <v/>
      </c>
    </row>
    <row r="783">
      <c r="A783" s="22" t="inlineStr">
        <is>
          <t>a1a4c3457eb375d63c4f5d693bea3512d14a2a4a</t>
        </is>
      </c>
      <c r="B783" s="22" t="inlineStr">
        <is>
          <t>2025-10</t>
        </is>
      </c>
      <c r="C783" s="22" t="inlineStr">
        <is>
          <t>Nairaland</t>
        </is>
      </c>
      <c r="D783" s="22" t="n">
        <v>0</v>
      </c>
      <c r="E783" s="22" t="inlineStr">
        <is>
          <t>Nairaland: Nairaland</t>
        </is>
      </c>
      <c r="F783" s="22" t="inlineStr">
        <is>
          <t>nairaland:Nairaland</t>
        </is>
      </c>
      <c r="G783" s="22" t="n">
        <v>-0.531</v>
      </c>
      <c r="H783" s="22" t="n">
        <v>1</v>
      </c>
      <c r="I783" s="22" t="n">
        <v>0</v>
      </c>
      <c r="J783" s="22" t="n">
        <v>0</v>
      </c>
      <c r="K783" s="22" t="n">
        <v>0</v>
      </c>
      <c r="L783" s="22" t="n">
        <v>0</v>
      </c>
      <c r="M783" s="22" t="n">
        <v>0</v>
      </c>
      <c r="N783" s="22" t="n">
        <v>0</v>
      </c>
      <c r="O783" s="22" t="n">
        <v>0</v>
      </c>
      <c r="P783" s="22" t="n">
        <v>0</v>
      </c>
      <c r="Q783" s="22" t="n">
        <v>0</v>
      </c>
      <c r="R783" s="22" t="n">
        <v>0</v>
      </c>
      <c r="S783" s="22" t="n">
        <v>0</v>
      </c>
      <c r="T783" s="22" t="n">
        <v>0</v>
      </c>
      <c r="U783" s="3">
        <f>IF(OR(N783=1,Q783=1),1,0)</f>
        <v/>
      </c>
      <c r="V783" s="3">
        <f>IF(OR(T783=1,P783=1),1,0)</f>
        <v/>
      </c>
      <c r="W783" s="3">
        <f>IF(OR(J783=1),1,0)</f>
        <v/>
      </c>
      <c r="X783" s="3">
        <f>IF(OR(I783=1,H783=1),1,0)</f>
        <v/>
      </c>
      <c r="Y783" s="3">
        <f>IF(OR(G783=1),1,0)</f>
        <v/>
      </c>
      <c r="Z783" s="3">
        <f>IF(OR(F783=1),1,0)</f>
        <v/>
      </c>
      <c r="AA783" s="3">
        <f>IF(OR(M783=1),1,0)</f>
        <v/>
      </c>
    </row>
    <row r="784">
      <c r="A784" s="22" t="inlineStr">
        <is>
          <t>d563dee056d03b0bba6a978e33e3bba5e4da1f92</t>
        </is>
      </c>
      <c r="B784" s="22" t="inlineStr">
        <is>
          <t>2025-10</t>
        </is>
      </c>
      <c r="C784" s="22" t="inlineStr">
        <is>
          <t>Nairaland</t>
        </is>
      </c>
      <c r="D784" s="22" t="n">
        <v>0</v>
      </c>
      <c r="E784" s="22" t="inlineStr">
        <is>
          <t>Nairaland: Nairaland</t>
        </is>
      </c>
      <c r="F784" s="22" t="inlineStr">
        <is>
          <t>nairaland:Nairaland</t>
        </is>
      </c>
      <c r="G784" s="22" t="n">
        <v>0.671</v>
      </c>
      <c r="H784" s="22" t="n">
        <v>1</v>
      </c>
      <c r="I784" s="22" t="n">
        <v>0</v>
      </c>
      <c r="J784" s="22" t="n">
        <v>0</v>
      </c>
      <c r="K784" s="22" t="n">
        <v>1</v>
      </c>
      <c r="L784" s="22" t="n">
        <v>0</v>
      </c>
      <c r="M784" s="22" t="n">
        <v>0</v>
      </c>
      <c r="N784" s="22" t="n">
        <v>0</v>
      </c>
      <c r="O784" s="22" t="n">
        <v>0</v>
      </c>
      <c r="P784" s="22" t="n">
        <v>0</v>
      </c>
      <c r="Q784" s="22" t="n">
        <v>0</v>
      </c>
      <c r="R784" s="22" t="n">
        <v>0</v>
      </c>
      <c r="S784" s="22" t="n">
        <v>0</v>
      </c>
      <c r="T784" s="22" t="n">
        <v>0</v>
      </c>
      <c r="U784" s="3">
        <f>IF(OR(N784=1,Q784=1),1,0)</f>
        <v/>
      </c>
      <c r="V784" s="3">
        <f>IF(OR(T784=1,P784=1),1,0)</f>
        <v/>
      </c>
      <c r="W784" s="3">
        <f>IF(OR(J784=1),1,0)</f>
        <v/>
      </c>
      <c r="X784" s="3">
        <f>IF(OR(I784=1,H784=1),1,0)</f>
        <v/>
      </c>
      <c r="Y784" s="3">
        <f>IF(OR(G784=1),1,0)</f>
        <v/>
      </c>
      <c r="Z784" s="3">
        <f>IF(OR(F784=1),1,0)</f>
        <v/>
      </c>
      <c r="AA784" s="3">
        <f>IF(OR(M784=1),1,0)</f>
        <v/>
      </c>
    </row>
    <row r="785">
      <c r="A785" s="22" t="inlineStr">
        <is>
          <t>293bfe39c80166e015c4aad2d90c3d02ca784aee</t>
        </is>
      </c>
      <c r="B785" s="22" t="inlineStr">
        <is>
          <t>2026-10</t>
        </is>
      </c>
      <c r="C785" s="22" t="inlineStr">
        <is>
          <t>Nairaland</t>
        </is>
      </c>
      <c r="D785" s="22" t="n">
        <v>0</v>
      </c>
      <c r="E785" s="22" t="inlineStr">
        <is>
          <t>Nairaland: Nairaland</t>
        </is>
      </c>
      <c r="F785" s="22" t="inlineStr">
        <is>
          <t>nairaland:Nairaland</t>
        </is>
      </c>
      <c r="G785" s="22" t="n">
        <v>-0.151</v>
      </c>
      <c r="H785" s="22" t="n">
        <v>1</v>
      </c>
      <c r="I785" s="22" t="n">
        <v>0</v>
      </c>
      <c r="J785" s="22" t="n">
        <v>0</v>
      </c>
      <c r="K785" s="22" t="n">
        <v>0</v>
      </c>
      <c r="L785" s="22" t="n">
        <v>0</v>
      </c>
      <c r="M785" s="22" t="n">
        <v>1</v>
      </c>
      <c r="N785" s="22" t="n">
        <v>0</v>
      </c>
      <c r="O785" s="22" t="n">
        <v>0</v>
      </c>
      <c r="P785" s="22" t="n">
        <v>0</v>
      </c>
      <c r="Q785" s="22" t="n">
        <v>0</v>
      </c>
      <c r="R785" s="22" t="n">
        <v>0</v>
      </c>
      <c r="S785" s="22" t="n">
        <v>0</v>
      </c>
      <c r="T785" s="22" t="n">
        <v>0</v>
      </c>
      <c r="U785" s="3">
        <f>IF(OR(N785=1,Q785=1),1,0)</f>
        <v/>
      </c>
      <c r="V785" s="3">
        <f>IF(OR(T785=1,P785=1),1,0)</f>
        <v/>
      </c>
      <c r="W785" s="3">
        <f>IF(OR(J785=1),1,0)</f>
        <v/>
      </c>
      <c r="X785" s="3">
        <f>IF(OR(I785=1,H785=1),1,0)</f>
        <v/>
      </c>
      <c r="Y785" s="3">
        <f>IF(OR(G785=1),1,0)</f>
        <v/>
      </c>
      <c r="Z785" s="3">
        <f>IF(OR(F785=1),1,0)</f>
        <v/>
      </c>
      <c r="AA785" s="3">
        <f>IF(OR(M785=1),1,0)</f>
        <v/>
      </c>
    </row>
    <row r="786">
      <c r="A786" s="22" t="inlineStr">
        <is>
          <t>d37b9ecc6fd4f0653baf2de82f9d8d6a7746d4e5</t>
        </is>
      </c>
      <c r="B786" s="22" t="inlineStr">
        <is>
          <t>2026-10</t>
        </is>
      </c>
      <c r="C786" s="22" t="inlineStr">
        <is>
          <t>Nairaland</t>
        </is>
      </c>
      <c r="D786" s="22" t="n">
        <v>0</v>
      </c>
      <c r="E786" s="22" t="inlineStr">
        <is>
          <t>Nairaland: Nairaland</t>
        </is>
      </c>
      <c r="F786" s="22" t="inlineStr">
        <is>
          <t>nairaland:Nairaland</t>
        </is>
      </c>
      <c r="G786" s="22" t="n">
        <v>0.318</v>
      </c>
      <c r="H786" s="22" t="n">
        <v>0</v>
      </c>
      <c r="I786" s="22" t="n">
        <v>0</v>
      </c>
      <c r="J786" s="22" t="n">
        <v>0</v>
      </c>
      <c r="K786" s="22" t="n">
        <v>0</v>
      </c>
      <c r="L786" s="22" t="n">
        <v>0</v>
      </c>
      <c r="M786" s="22" t="n">
        <v>0</v>
      </c>
      <c r="N786" s="22" t="n">
        <v>0</v>
      </c>
      <c r="O786" s="22" t="n">
        <v>1</v>
      </c>
      <c r="P786" s="22" t="n">
        <v>0</v>
      </c>
      <c r="Q786" s="22" t="n">
        <v>0</v>
      </c>
      <c r="R786" s="22" t="n">
        <v>0</v>
      </c>
      <c r="S786" s="22" t="n">
        <v>0</v>
      </c>
      <c r="T786" s="22" t="n">
        <v>0</v>
      </c>
      <c r="U786" s="3">
        <f>IF(OR(N786=1,Q786=1),1,0)</f>
        <v/>
      </c>
      <c r="V786" s="3">
        <f>IF(OR(T786=1,P786=1),1,0)</f>
        <v/>
      </c>
      <c r="W786" s="3">
        <f>IF(OR(J786=1),1,0)</f>
        <v/>
      </c>
      <c r="X786" s="3">
        <f>IF(OR(I786=1,H786=1),1,0)</f>
        <v/>
      </c>
      <c r="Y786" s="3">
        <f>IF(OR(G786=1),1,0)</f>
        <v/>
      </c>
      <c r="Z786" s="3">
        <f>IF(OR(F786=1),1,0)</f>
        <v/>
      </c>
      <c r="AA786" s="3">
        <f>IF(OR(M786=1),1,0)</f>
        <v/>
      </c>
    </row>
    <row r="787">
      <c r="A787" s="22" t="inlineStr">
        <is>
          <t>a7cbc247b8a77438a0a288601933764e67939a9f</t>
        </is>
      </c>
      <c r="B787" s="22" t="inlineStr">
        <is>
          <t>2026-10</t>
        </is>
      </c>
      <c r="C787" s="22" t="inlineStr">
        <is>
          <t>Nairaland</t>
        </is>
      </c>
      <c r="D787" s="22" t="n">
        <v>0</v>
      </c>
      <c r="E787" s="22" t="inlineStr">
        <is>
          <t>Nairaland: Nairaland</t>
        </is>
      </c>
      <c r="F787" s="22" t="inlineStr">
        <is>
          <t>nairaland:Nairaland</t>
        </is>
      </c>
      <c r="G787" s="22" t="n">
        <v>0.296</v>
      </c>
      <c r="H787" s="22" t="n">
        <v>0</v>
      </c>
      <c r="I787" s="22" t="n">
        <v>0</v>
      </c>
      <c r="J787" s="22" t="n">
        <v>0</v>
      </c>
      <c r="K787" s="22" t="n">
        <v>0</v>
      </c>
      <c r="L787" s="22" t="n">
        <v>0</v>
      </c>
      <c r="M787" s="22" t="n">
        <v>0</v>
      </c>
      <c r="N787" s="22" t="n">
        <v>0</v>
      </c>
      <c r="O787" s="22" t="n">
        <v>1</v>
      </c>
      <c r="P787" s="22" t="n">
        <v>0</v>
      </c>
      <c r="Q787" s="22" t="n">
        <v>0</v>
      </c>
      <c r="R787" s="22" t="n">
        <v>0</v>
      </c>
      <c r="S787" s="22" t="n">
        <v>0</v>
      </c>
      <c r="T787" s="22" t="n">
        <v>0</v>
      </c>
      <c r="U787" s="3">
        <f>IF(OR(N787=1,Q787=1),1,0)</f>
        <v/>
      </c>
      <c r="V787" s="3">
        <f>IF(OR(T787=1,P787=1),1,0)</f>
        <v/>
      </c>
      <c r="W787" s="3">
        <f>IF(OR(J787=1),1,0)</f>
        <v/>
      </c>
      <c r="X787" s="3">
        <f>IF(OR(I787=1,H787=1),1,0)</f>
        <v/>
      </c>
      <c r="Y787" s="3">
        <f>IF(OR(G787=1),1,0)</f>
        <v/>
      </c>
      <c r="Z787" s="3">
        <f>IF(OR(F787=1),1,0)</f>
        <v/>
      </c>
      <c r="AA787" s="3">
        <f>IF(OR(M787=1),1,0)</f>
        <v/>
      </c>
    </row>
    <row r="788">
      <c r="A788" s="22" t="inlineStr">
        <is>
          <t>e42fb296866185247f9394e039bc18319c4b6a3e</t>
        </is>
      </c>
      <c r="B788" s="22" t="inlineStr">
        <is>
          <t>2026-10</t>
        </is>
      </c>
      <c r="C788" s="22" t="inlineStr">
        <is>
          <t>Nairaland</t>
        </is>
      </c>
      <c r="D788" s="22" t="n">
        <v>0</v>
      </c>
      <c r="E788" s="22" t="inlineStr">
        <is>
          <t>Nairaland: Nairaland</t>
        </is>
      </c>
      <c r="F788" s="22" t="inlineStr">
        <is>
          <t>nairaland:Nairaland</t>
        </is>
      </c>
      <c r="G788" s="22" t="n">
        <v>-0.62</v>
      </c>
      <c r="H788" s="22" t="n">
        <v>0</v>
      </c>
      <c r="I788" s="22" t="n">
        <v>0</v>
      </c>
      <c r="J788" s="22" t="n">
        <v>0</v>
      </c>
      <c r="K788" s="22" t="n">
        <v>0</v>
      </c>
      <c r="L788" s="22" t="n">
        <v>0</v>
      </c>
      <c r="M788" s="22" t="n">
        <v>1</v>
      </c>
      <c r="N788" s="22" t="n">
        <v>0</v>
      </c>
      <c r="O788" s="22" t="n">
        <v>0</v>
      </c>
      <c r="P788" s="22" t="n">
        <v>0</v>
      </c>
      <c r="Q788" s="22" t="n">
        <v>0</v>
      </c>
      <c r="R788" s="22" t="n">
        <v>0</v>
      </c>
      <c r="S788" s="22" t="n">
        <v>0</v>
      </c>
      <c r="T788" s="22" t="n">
        <v>0</v>
      </c>
      <c r="U788" s="3">
        <f>IF(OR(N788=1,Q788=1),1,0)</f>
        <v/>
      </c>
      <c r="V788" s="3">
        <f>IF(OR(T788=1,P788=1),1,0)</f>
        <v/>
      </c>
      <c r="W788" s="3">
        <f>IF(OR(J788=1),1,0)</f>
        <v/>
      </c>
      <c r="X788" s="3">
        <f>IF(OR(I788=1,H788=1),1,0)</f>
        <v/>
      </c>
      <c r="Y788" s="3">
        <f>IF(OR(G788=1),1,0)</f>
        <v/>
      </c>
      <c r="Z788" s="3">
        <f>IF(OR(F788=1),1,0)</f>
        <v/>
      </c>
      <c r="AA788" s="3">
        <f>IF(OR(M788=1),1,0)</f>
        <v/>
      </c>
    </row>
    <row r="789">
      <c r="A789" s="22" t="inlineStr">
        <is>
          <t>0348f89abd86c6d81b1b416f304f013df41b8738</t>
        </is>
      </c>
      <c r="B789" s="22" t="inlineStr">
        <is>
          <t>2026-10</t>
        </is>
      </c>
      <c r="C789" s="22" t="inlineStr">
        <is>
          <t>Nairaland</t>
        </is>
      </c>
      <c r="D789" s="22" t="n">
        <v>0</v>
      </c>
      <c r="E789" s="22" t="inlineStr">
        <is>
          <t>Nairaland: Nairaland</t>
        </is>
      </c>
      <c r="F789" s="22" t="inlineStr">
        <is>
          <t>nairaland:Nairaland</t>
        </is>
      </c>
      <c r="G789" s="22" t="n">
        <v>0.511</v>
      </c>
      <c r="H789" s="22" t="n">
        <v>0</v>
      </c>
      <c r="I789" s="22" t="n">
        <v>0</v>
      </c>
      <c r="J789" s="22" t="n">
        <v>0</v>
      </c>
      <c r="K789" s="22" t="n">
        <v>0</v>
      </c>
      <c r="L789" s="22" t="n">
        <v>0</v>
      </c>
      <c r="M789" s="22" t="n">
        <v>0</v>
      </c>
      <c r="N789" s="22" t="n">
        <v>0</v>
      </c>
      <c r="O789" s="22" t="n">
        <v>1</v>
      </c>
      <c r="P789" s="22" t="n">
        <v>0</v>
      </c>
      <c r="Q789" s="22" t="n">
        <v>0</v>
      </c>
      <c r="R789" s="22" t="n">
        <v>0</v>
      </c>
      <c r="S789" s="22" t="n">
        <v>0</v>
      </c>
      <c r="T789" s="22" t="n">
        <v>0</v>
      </c>
      <c r="U789" s="3">
        <f>IF(OR(N789=1,Q789=1),1,0)</f>
        <v/>
      </c>
      <c r="V789" s="3">
        <f>IF(OR(T789=1,P789=1),1,0)</f>
        <v/>
      </c>
      <c r="W789" s="3">
        <f>IF(OR(J789=1),1,0)</f>
        <v/>
      </c>
      <c r="X789" s="3">
        <f>IF(OR(I789=1,H789=1),1,0)</f>
        <v/>
      </c>
      <c r="Y789" s="3">
        <f>IF(OR(G789=1),1,0)</f>
        <v/>
      </c>
      <c r="Z789" s="3">
        <f>IF(OR(F789=1),1,0)</f>
        <v/>
      </c>
      <c r="AA789" s="3">
        <f>IF(OR(M789=1),1,0)</f>
        <v/>
      </c>
    </row>
    <row r="790">
      <c r="A790" s="22" t="inlineStr">
        <is>
          <t>09795232755d7976438aa12c019ce6506ccbedcc</t>
        </is>
      </c>
      <c r="B790" s="22" t="inlineStr">
        <is>
          <t>2026-10</t>
        </is>
      </c>
      <c r="C790" s="22" t="inlineStr">
        <is>
          <t>Nairaland</t>
        </is>
      </c>
      <c r="D790" s="22" t="n">
        <v>0</v>
      </c>
      <c r="E790" s="22" t="inlineStr">
        <is>
          <t>Nairaland: Nairaland</t>
        </is>
      </c>
      <c r="F790" s="22" t="inlineStr">
        <is>
          <t>nairaland:Nairaland</t>
        </is>
      </c>
      <c r="G790" s="22" t="n">
        <v>0.422</v>
      </c>
      <c r="H790" s="22" t="n">
        <v>0</v>
      </c>
      <c r="I790" s="22" t="n">
        <v>0</v>
      </c>
      <c r="J790" s="22" t="n">
        <v>0</v>
      </c>
      <c r="K790" s="22" t="n">
        <v>0</v>
      </c>
      <c r="L790" s="22" t="n">
        <v>1</v>
      </c>
      <c r="M790" s="22" t="n">
        <v>0</v>
      </c>
      <c r="N790" s="22" t="n">
        <v>0</v>
      </c>
      <c r="O790" s="22" t="n">
        <v>0</v>
      </c>
      <c r="P790" s="22" t="n">
        <v>0</v>
      </c>
      <c r="Q790" s="22" t="n">
        <v>0</v>
      </c>
      <c r="R790" s="22" t="n">
        <v>0</v>
      </c>
      <c r="S790" s="22" t="n">
        <v>0</v>
      </c>
      <c r="T790" s="22" t="n">
        <v>0</v>
      </c>
      <c r="U790" s="3">
        <f>IF(OR(N790=1,Q790=1),1,0)</f>
        <v/>
      </c>
      <c r="V790" s="3">
        <f>IF(OR(T790=1,P790=1),1,0)</f>
        <v/>
      </c>
      <c r="W790" s="3">
        <f>IF(OR(J790=1),1,0)</f>
        <v/>
      </c>
      <c r="X790" s="3">
        <f>IF(OR(I790=1,H790=1),1,0)</f>
        <v/>
      </c>
      <c r="Y790" s="3">
        <f>IF(OR(G790=1),1,0)</f>
        <v/>
      </c>
      <c r="Z790" s="3">
        <f>IF(OR(F790=1),1,0)</f>
        <v/>
      </c>
      <c r="AA790" s="3">
        <f>IF(OR(M790=1),1,0)</f>
        <v/>
      </c>
    </row>
    <row r="791">
      <c r="A791" s="22" t="inlineStr">
        <is>
          <t>d66f56059fd990a5c7b7ed40d836fb42991bedec</t>
        </is>
      </c>
      <c r="B791" s="22" t="inlineStr">
        <is>
          <t>2026-10</t>
        </is>
      </c>
      <c r="C791" s="22" t="inlineStr">
        <is>
          <t>Nairaland</t>
        </is>
      </c>
      <c r="D791" s="22" t="n">
        <v>0</v>
      </c>
      <c r="E791" s="22" t="inlineStr">
        <is>
          <t>Nairaland: Nairaland</t>
        </is>
      </c>
      <c r="F791" s="22" t="inlineStr">
        <is>
          <t>nairaland:Nairaland</t>
        </is>
      </c>
      <c r="G791" s="22" t="n">
        <v>0.296</v>
      </c>
      <c r="H791" s="22" t="n">
        <v>0</v>
      </c>
      <c r="I791" s="22" t="n">
        <v>0</v>
      </c>
      <c r="J791" s="22" t="n">
        <v>0</v>
      </c>
      <c r="K791" s="22" t="n">
        <v>0</v>
      </c>
      <c r="L791" s="22" t="n">
        <v>0</v>
      </c>
      <c r="M791" s="22" t="n">
        <v>0</v>
      </c>
      <c r="N791" s="22" t="n">
        <v>0</v>
      </c>
      <c r="O791" s="22" t="n">
        <v>1</v>
      </c>
      <c r="P791" s="22" t="n">
        <v>0</v>
      </c>
      <c r="Q791" s="22" t="n">
        <v>0</v>
      </c>
      <c r="R791" s="22" t="n">
        <v>0</v>
      </c>
      <c r="S791" s="22" t="n">
        <v>0</v>
      </c>
      <c r="T791" s="22" t="n">
        <v>0</v>
      </c>
      <c r="U791" s="3">
        <f>IF(OR(N791=1,Q791=1),1,0)</f>
        <v/>
      </c>
      <c r="V791" s="3">
        <f>IF(OR(T791=1,P791=1),1,0)</f>
        <v/>
      </c>
      <c r="W791" s="3">
        <f>IF(OR(J791=1),1,0)</f>
        <v/>
      </c>
      <c r="X791" s="3">
        <f>IF(OR(I791=1,H791=1),1,0)</f>
        <v/>
      </c>
      <c r="Y791" s="3">
        <f>IF(OR(G791=1),1,0)</f>
        <v/>
      </c>
      <c r="Z791" s="3">
        <f>IF(OR(F791=1),1,0)</f>
        <v/>
      </c>
      <c r="AA791" s="3">
        <f>IF(OR(M791=1),1,0)</f>
        <v/>
      </c>
    </row>
    <row r="792">
      <c r="A792" s="22" t="inlineStr">
        <is>
          <t>4ef2ef3336fca164e88b7bf6b228be099e414111</t>
        </is>
      </c>
      <c r="B792" s="22" t="inlineStr">
        <is>
          <t>2026-10</t>
        </is>
      </c>
      <c r="C792" s="22" t="inlineStr">
        <is>
          <t>Nairaland</t>
        </is>
      </c>
      <c r="D792" s="22" t="n">
        <v>0</v>
      </c>
      <c r="E792" s="22" t="inlineStr">
        <is>
          <t>Nairaland: Nairaland</t>
        </is>
      </c>
      <c r="F792" s="22" t="inlineStr">
        <is>
          <t>nairaland:Nairaland</t>
        </is>
      </c>
      <c r="G792" s="22" t="n">
        <v>-0.917</v>
      </c>
      <c r="H792" s="22" t="n">
        <v>1</v>
      </c>
      <c r="I792" s="22" t="n">
        <v>0</v>
      </c>
      <c r="J792" s="22" t="n">
        <v>0</v>
      </c>
      <c r="K792" s="22" t="n">
        <v>1</v>
      </c>
      <c r="L792" s="22" t="n">
        <v>1</v>
      </c>
      <c r="M792" s="22" t="n">
        <v>1</v>
      </c>
      <c r="N792" s="22" t="n">
        <v>0</v>
      </c>
      <c r="O792" s="22" t="n">
        <v>0</v>
      </c>
      <c r="P792" s="22" t="n">
        <v>0</v>
      </c>
      <c r="Q792" s="22" t="n">
        <v>0</v>
      </c>
      <c r="R792" s="22" t="n">
        <v>0</v>
      </c>
      <c r="S792" s="22" t="n">
        <v>0</v>
      </c>
      <c r="T792" s="22" t="n">
        <v>0</v>
      </c>
      <c r="U792" s="3">
        <f>IF(OR(N792=1,Q792=1),1,0)</f>
        <v/>
      </c>
      <c r="V792" s="3">
        <f>IF(OR(T792=1,P792=1),1,0)</f>
        <v/>
      </c>
      <c r="W792" s="3">
        <f>IF(OR(J792=1),1,0)</f>
        <v/>
      </c>
      <c r="X792" s="3">
        <f>IF(OR(I792=1,H792=1),1,0)</f>
        <v/>
      </c>
      <c r="Y792" s="3">
        <f>IF(OR(G792=1),1,0)</f>
        <v/>
      </c>
      <c r="Z792" s="3">
        <f>IF(OR(F792=1),1,0)</f>
        <v/>
      </c>
      <c r="AA792" s="3">
        <f>IF(OR(M792=1),1,0)</f>
        <v/>
      </c>
    </row>
    <row r="793">
      <c r="A793" s="22" t="inlineStr">
        <is>
          <t>419ebfb3ca2470a2080469852c7315fd110b4d84</t>
        </is>
      </c>
      <c r="B793" s="22" t="inlineStr">
        <is>
          <t>2026-10</t>
        </is>
      </c>
      <c r="C793" s="22" t="inlineStr">
        <is>
          <t>Nairaland</t>
        </is>
      </c>
      <c r="D793" s="22" t="n">
        <v>0</v>
      </c>
      <c r="E793" s="22" t="inlineStr">
        <is>
          <t>Nairaland: Nairaland</t>
        </is>
      </c>
      <c r="F793" s="22" t="inlineStr">
        <is>
          <t>nairaland:Nairaland</t>
        </is>
      </c>
      <c r="G793" s="22" t="n">
        <v>0.572</v>
      </c>
      <c r="H793" s="22" t="n">
        <v>0</v>
      </c>
      <c r="I793" s="22" t="n">
        <v>0</v>
      </c>
      <c r="J793" s="22" t="n">
        <v>0</v>
      </c>
      <c r="K793" s="22" t="n">
        <v>0</v>
      </c>
      <c r="L793" s="22" t="n">
        <v>0</v>
      </c>
      <c r="M793" s="22" t="n">
        <v>0</v>
      </c>
      <c r="N793" s="22" t="n">
        <v>0</v>
      </c>
      <c r="O793" s="22" t="n">
        <v>0</v>
      </c>
      <c r="P793" s="22" t="n">
        <v>0</v>
      </c>
      <c r="Q793" s="22" t="n">
        <v>0</v>
      </c>
      <c r="R793" s="22" t="n">
        <v>0</v>
      </c>
      <c r="S793" s="22" t="n">
        <v>0</v>
      </c>
      <c r="T793" s="22" t="n">
        <v>0</v>
      </c>
      <c r="U793" s="3">
        <f>IF(OR(N793=1,Q793=1),1,0)</f>
        <v/>
      </c>
      <c r="V793" s="3">
        <f>IF(OR(T793=1,P793=1),1,0)</f>
        <v/>
      </c>
      <c r="W793" s="3">
        <f>IF(OR(J793=1),1,0)</f>
        <v/>
      </c>
      <c r="X793" s="3">
        <f>IF(OR(I793=1,H793=1),1,0)</f>
        <v/>
      </c>
      <c r="Y793" s="3">
        <f>IF(OR(G793=1),1,0)</f>
        <v/>
      </c>
      <c r="Z793" s="3">
        <f>IF(OR(F793=1),1,0)</f>
        <v/>
      </c>
      <c r="AA793" s="3">
        <f>IF(OR(M793=1),1,0)</f>
        <v/>
      </c>
    </row>
    <row r="794">
      <c r="A794" s="22" t="inlineStr">
        <is>
          <t>47ad7465150c491c4ca3ae60692023eebcd4d173</t>
        </is>
      </c>
      <c r="B794" s="22" t="inlineStr">
        <is>
          <t>2026-10</t>
        </is>
      </c>
      <c r="C794" s="22" t="inlineStr">
        <is>
          <t>Nairaland</t>
        </is>
      </c>
      <c r="D794" s="22" t="n">
        <v>0</v>
      </c>
      <c r="E794" s="22" t="inlineStr">
        <is>
          <t>Nairaland: Nairaland</t>
        </is>
      </c>
      <c r="F794" s="22" t="inlineStr">
        <is>
          <t>nairaland:Nairaland</t>
        </is>
      </c>
      <c r="G794" s="22" t="n">
        <v>0</v>
      </c>
      <c r="H794" s="22" t="n">
        <v>0</v>
      </c>
      <c r="I794" s="22" t="n">
        <v>0</v>
      </c>
      <c r="J794" s="22" t="n">
        <v>0</v>
      </c>
      <c r="K794" s="22" t="n">
        <v>0</v>
      </c>
      <c r="L794" s="22" t="n">
        <v>0</v>
      </c>
      <c r="M794" s="22" t="n">
        <v>0</v>
      </c>
      <c r="N794" s="22" t="n">
        <v>0</v>
      </c>
      <c r="O794" s="22" t="n">
        <v>0</v>
      </c>
      <c r="P794" s="22" t="n">
        <v>0</v>
      </c>
      <c r="Q794" s="22" t="n">
        <v>0</v>
      </c>
      <c r="R794" s="22" t="n">
        <v>0</v>
      </c>
      <c r="S794" s="22" t="n">
        <v>0</v>
      </c>
      <c r="T794" s="22" t="n">
        <v>0</v>
      </c>
      <c r="U794" s="3">
        <f>IF(OR(N794=1,Q794=1),1,0)</f>
        <v/>
      </c>
      <c r="V794" s="3">
        <f>IF(OR(T794=1,P794=1),1,0)</f>
        <v/>
      </c>
      <c r="W794" s="3">
        <f>IF(OR(J794=1),1,0)</f>
        <v/>
      </c>
      <c r="X794" s="3">
        <f>IF(OR(I794=1,H794=1),1,0)</f>
        <v/>
      </c>
      <c r="Y794" s="3">
        <f>IF(OR(G794=1),1,0)</f>
        <v/>
      </c>
      <c r="Z794" s="3">
        <f>IF(OR(F794=1),1,0)</f>
        <v/>
      </c>
      <c r="AA794" s="3">
        <f>IF(OR(M794=1),1,0)</f>
        <v/>
      </c>
    </row>
    <row r="795">
      <c r="A795" s="22" t="inlineStr">
        <is>
          <t>c7b471629c95c03b54d157c1638b2c0c15932574</t>
        </is>
      </c>
      <c r="B795" s="22" t="inlineStr">
        <is>
          <t>2026-10</t>
        </is>
      </c>
      <c r="C795" s="22" t="inlineStr">
        <is>
          <t>X</t>
        </is>
      </c>
      <c r="D795" s="22" t="n">
        <v>1</v>
      </c>
      <c r="E795" s="22" t="inlineStr">
        <is>
          <t>X: X search: PVC collection INEC</t>
        </is>
      </c>
      <c r="F795" s="22" t="inlineStr">
        <is>
          <t>x:X search: PVC collection INEC</t>
        </is>
      </c>
      <c r="G795" s="22" t="n">
        <v>-0.878</v>
      </c>
      <c r="H795" s="22" t="n">
        <v>0</v>
      </c>
      <c r="I795" s="22" t="n">
        <v>0</v>
      </c>
      <c r="J795" s="22" t="n">
        <v>0</v>
      </c>
      <c r="K795" s="22" t="n">
        <v>0</v>
      </c>
      <c r="L795" s="22" t="n">
        <v>0</v>
      </c>
      <c r="M795" s="22" t="n">
        <v>1</v>
      </c>
      <c r="N795" s="22" t="n">
        <v>0</v>
      </c>
      <c r="O795" s="22" t="n">
        <v>0</v>
      </c>
      <c r="P795" s="22" t="n">
        <v>1</v>
      </c>
      <c r="Q795" s="22" t="n">
        <v>0</v>
      </c>
      <c r="R795" s="22" t="n">
        <v>0</v>
      </c>
      <c r="S795" s="22" t="n">
        <v>0</v>
      </c>
      <c r="T795" s="22" t="n">
        <v>0</v>
      </c>
      <c r="U795" s="3">
        <f>IF(OR(N795=1,Q795=1),1,0)</f>
        <v/>
      </c>
      <c r="V795" s="3">
        <f>IF(OR(T795=1,P795=1),1,0)</f>
        <v/>
      </c>
      <c r="W795" s="3">
        <f>IF(OR(J795=1),1,0)</f>
        <v/>
      </c>
      <c r="X795" s="3">
        <f>IF(OR(I795=1,H795=1),1,0)</f>
        <v/>
      </c>
      <c r="Y795" s="3">
        <f>IF(OR(G795=1),1,0)</f>
        <v/>
      </c>
      <c r="Z795" s="3">
        <f>IF(OR(F795=1),1,0)</f>
        <v/>
      </c>
      <c r="AA795" s="3">
        <f>IF(OR(M795=1),1,0)</f>
        <v/>
      </c>
    </row>
    <row r="796">
      <c r="A796" s="22" t="inlineStr">
        <is>
          <t>1bcb025848dd875cf7e5e213bf1acf7c10ee25f4</t>
        </is>
      </c>
      <c r="B796" s="22" t="inlineStr">
        <is>
          <t>2026-10</t>
        </is>
      </c>
      <c r="C796" s="22" t="inlineStr">
        <is>
          <t>X</t>
        </is>
      </c>
      <c r="D796" s="22" t="n">
        <v>1</v>
      </c>
      <c r="E796" s="22" t="inlineStr">
        <is>
          <t>X: X search: PVC collection INEC</t>
        </is>
      </c>
      <c r="F796" s="22" t="inlineStr">
        <is>
          <t>x:X search: PVC collection INEC</t>
        </is>
      </c>
      <c r="G796" s="22" t="n">
        <v>0.361</v>
      </c>
      <c r="H796" s="22" t="n">
        <v>0</v>
      </c>
      <c r="I796" s="22" t="n">
        <v>0</v>
      </c>
      <c r="J796" s="22" t="n">
        <v>0</v>
      </c>
      <c r="K796" s="22" t="n">
        <v>0</v>
      </c>
      <c r="L796" s="22" t="n">
        <v>0</v>
      </c>
      <c r="M796" s="22" t="n">
        <v>0</v>
      </c>
      <c r="N796" s="22" t="n">
        <v>0</v>
      </c>
      <c r="O796" s="22" t="n">
        <v>0</v>
      </c>
      <c r="P796" s="22" t="n">
        <v>1</v>
      </c>
      <c r="Q796" s="22" t="n">
        <v>0</v>
      </c>
      <c r="R796" s="22" t="n">
        <v>0</v>
      </c>
      <c r="S796" s="22" t="n">
        <v>0</v>
      </c>
      <c r="T796" s="22" t="n">
        <v>0</v>
      </c>
      <c r="U796" s="3">
        <f>IF(OR(N796=1,Q796=1),1,0)</f>
        <v/>
      </c>
      <c r="V796" s="3">
        <f>IF(OR(T796=1,P796=1),1,0)</f>
        <v/>
      </c>
      <c r="W796" s="3">
        <f>IF(OR(J796=1),1,0)</f>
        <v/>
      </c>
      <c r="X796" s="3">
        <f>IF(OR(I796=1,H796=1),1,0)</f>
        <v/>
      </c>
      <c r="Y796" s="3">
        <f>IF(OR(G796=1),1,0)</f>
        <v/>
      </c>
      <c r="Z796" s="3">
        <f>IF(OR(F796=1),1,0)</f>
        <v/>
      </c>
      <c r="AA796" s="3">
        <f>IF(OR(M796=1),1,0)</f>
        <v/>
      </c>
    </row>
    <row r="797">
      <c r="A797" s="22" t="inlineStr">
        <is>
          <t>acdd85e12e25ff0de7250c38071f821fd67cefb7</t>
        </is>
      </c>
      <c r="B797" s="22" t="inlineStr">
        <is>
          <t>2026-10</t>
        </is>
      </c>
      <c r="C797" s="22" t="inlineStr">
        <is>
          <t>X</t>
        </is>
      </c>
      <c r="D797" s="22" t="n">
        <v>1</v>
      </c>
      <c r="E797" s="22" t="inlineStr">
        <is>
          <t>X: X search: PVC collection INEC</t>
        </is>
      </c>
      <c r="F797" s="22" t="inlineStr">
        <is>
          <t>x:X search: PVC collection INEC</t>
        </is>
      </c>
      <c r="G797" s="22" t="n">
        <v>0.511</v>
      </c>
      <c r="H797" s="22" t="n">
        <v>0</v>
      </c>
      <c r="I797" s="22" t="n">
        <v>0</v>
      </c>
      <c r="J797" s="22" t="n">
        <v>0</v>
      </c>
      <c r="K797" s="22" t="n">
        <v>0</v>
      </c>
      <c r="L797" s="22" t="n">
        <v>0</v>
      </c>
      <c r="M797" s="22" t="n">
        <v>0</v>
      </c>
      <c r="N797" s="22" t="n">
        <v>0</v>
      </c>
      <c r="O797" s="22" t="n">
        <v>0</v>
      </c>
      <c r="P797" s="22" t="n">
        <v>1</v>
      </c>
      <c r="Q797" s="22" t="n">
        <v>0</v>
      </c>
      <c r="R797" s="22" t="n">
        <v>0</v>
      </c>
      <c r="S797" s="22" t="n">
        <v>0</v>
      </c>
      <c r="T797" s="22" t="n">
        <v>0</v>
      </c>
      <c r="U797" s="3">
        <f>IF(OR(N797=1,Q797=1),1,0)</f>
        <v/>
      </c>
      <c r="V797" s="3">
        <f>IF(OR(T797=1,P797=1),1,0)</f>
        <v/>
      </c>
      <c r="W797" s="3">
        <f>IF(OR(J797=1),1,0)</f>
        <v/>
      </c>
      <c r="X797" s="3">
        <f>IF(OR(I797=1,H797=1),1,0)</f>
        <v/>
      </c>
      <c r="Y797" s="3">
        <f>IF(OR(G797=1),1,0)</f>
        <v/>
      </c>
      <c r="Z797" s="3">
        <f>IF(OR(F797=1),1,0)</f>
        <v/>
      </c>
      <c r="AA797" s="3">
        <f>IF(OR(M797=1),1,0)</f>
        <v/>
      </c>
    </row>
    <row r="798">
      <c r="A798" s="22" t="inlineStr">
        <is>
          <t>d05f3eb11e25cebaa84ef7a79d2cf9e127b89bf0</t>
        </is>
      </c>
      <c r="B798" s="22" t="inlineStr">
        <is>
          <t>2026-10</t>
        </is>
      </c>
      <c r="C798" s="22" t="inlineStr">
        <is>
          <t>X</t>
        </is>
      </c>
      <c r="D798" s="22" t="n">
        <v>1</v>
      </c>
      <c r="E798" s="22" t="inlineStr">
        <is>
          <t>X: X search: PVC collection INEC</t>
        </is>
      </c>
      <c r="F798" s="22" t="inlineStr">
        <is>
          <t>x:X search: PVC collection INEC</t>
        </is>
      </c>
      <c r="G798" s="22" t="n">
        <v>0.402</v>
      </c>
      <c r="H798" s="22" t="n">
        <v>0</v>
      </c>
      <c r="I798" s="22" t="n">
        <v>0</v>
      </c>
      <c r="J798" s="22" t="n">
        <v>0</v>
      </c>
      <c r="K798" s="22" t="n">
        <v>0</v>
      </c>
      <c r="L798" s="22" t="n">
        <v>0</v>
      </c>
      <c r="M798" s="22" t="n">
        <v>0</v>
      </c>
      <c r="N798" s="22" t="n">
        <v>0</v>
      </c>
      <c r="O798" s="22" t="n">
        <v>0</v>
      </c>
      <c r="P798" s="22" t="n">
        <v>1</v>
      </c>
      <c r="Q798" s="22" t="n">
        <v>0</v>
      </c>
      <c r="R798" s="22" t="n">
        <v>0</v>
      </c>
      <c r="S798" s="22" t="n">
        <v>0</v>
      </c>
      <c r="T798" s="22" t="n">
        <v>0</v>
      </c>
      <c r="U798" s="3">
        <f>IF(OR(N798=1,Q798=1),1,0)</f>
        <v/>
      </c>
      <c r="V798" s="3">
        <f>IF(OR(T798=1,P798=1),1,0)</f>
        <v/>
      </c>
      <c r="W798" s="3">
        <f>IF(OR(J798=1),1,0)</f>
        <v/>
      </c>
      <c r="X798" s="3">
        <f>IF(OR(I798=1,H798=1),1,0)</f>
        <v/>
      </c>
      <c r="Y798" s="3">
        <f>IF(OR(G798=1),1,0)</f>
        <v/>
      </c>
      <c r="Z798" s="3">
        <f>IF(OR(F798=1),1,0)</f>
        <v/>
      </c>
      <c r="AA798" s="3">
        <f>IF(OR(M798=1),1,0)</f>
        <v/>
      </c>
    </row>
    <row r="799">
      <c r="A799" s="22" t="inlineStr">
        <is>
          <t>7ae1a51dfeccbb802b28924ab6914b1fcb6ad782</t>
        </is>
      </c>
      <c r="B799" s="22" t="inlineStr">
        <is>
          <t>2026-10</t>
        </is>
      </c>
      <c r="C799" s="22" t="inlineStr">
        <is>
          <t>X</t>
        </is>
      </c>
      <c r="D799" s="22" t="n">
        <v>1</v>
      </c>
      <c r="E799" s="22" t="inlineStr">
        <is>
          <t>X: X search: PVC collection INEC</t>
        </is>
      </c>
      <c r="F799" s="22" t="inlineStr">
        <is>
          <t>x:X search: PVC collection INEC</t>
        </is>
      </c>
      <c r="G799" s="22" t="n">
        <v>0.725</v>
      </c>
      <c r="H799" s="22" t="n">
        <v>0</v>
      </c>
      <c r="I799" s="22" t="n">
        <v>0</v>
      </c>
      <c r="J799" s="22" t="n">
        <v>0</v>
      </c>
      <c r="K799" s="22" t="n">
        <v>0</v>
      </c>
      <c r="L799" s="22" t="n">
        <v>0</v>
      </c>
      <c r="M799" s="22" t="n">
        <v>0</v>
      </c>
      <c r="N799" s="22" t="n">
        <v>0</v>
      </c>
      <c r="O799" s="22" t="n">
        <v>0</v>
      </c>
      <c r="P799" s="22" t="n">
        <v>1</v>
      </c>
      <c r="Q799" s="22" t="n">
        <v>0</v>
      </c>
      <c r="R799" s="22" t="n">
        <v>0</v>
      </c>
      <c r="S799" s="22" t="n">
        <v>0</v>
      </c>
      <c r="T799" s="22" t="n">
        <v>0</v>
      </c>
      <c r="U799" s="3">
        <f>IF(OR(N799=1,Q799=1),1,0)</f>
        <v/>
      </c>
      <c r="V799" s="3">
        <f>IF(OR(T799=1,P799=1),1,0)</f>
        <v/>
      </c>
      <c r="W799" s="3">
        <f>IF(OR(J799=1),1,0)</f>
        <v/>
      </c>
      <c r="X799" s="3">
        <f>IF(OR(I799=1,H799=1),1,0)</f>
        <v/>
      </c>
      <c r="Y799" s="3">
        <f>IF(OR(G799=1),1,0)</f>
        <v/>
      </c>
      <c r="Z799" s="3">
        <f>IF(OR(F799=1),1,0)</f>
        <v/>
      </c>
      <c r="AA799" s="3">
        <f>IF(OR(M799=1),1,0)</f>
        <v/>
      </c>
    </row>
    <row r="800">
      <c r="A800" s="22" t="inlineStr">
        <is>
          <t>5f32663bd986d0e31198876a9196e55eea122aed</t>
        </is>
      </c>
      <c r="B800" s="22" t="inlineStr">
        <is>
          <t>2026-10</t>
        </is>
      </c>
      <c r="C800" s="22" t="inlineStr">
        <is>
          <t>X</t>
        </is>
      </c>
      <c r="D800" s="22" t="n">
        <v>1</v>
      </c>
      <c r="E800" s="22" t="inlineStr">
        <is>
          <t>X: X search: PVC collection INEC</t>
        </is>
      </c>
      <c r="F800" s="22" t="inlineStr">
        <is>
          <t>x:X search: PVC collection INEC</t>
        </is>
      </c>
      <c r="G800" s="22" t="n">
        <v>0</v>
      </c>
      <c r="H800" s="22" t="n">
        <v>0</v>
      </c>
      <c r="I800" s="22" t="n">
        <v>0</v>
      </c>
      <c r="J800" s="22" t="n">
        <v>0</v>
      </c>
      <c r="K800" s="22" t="n">
        <v>0</v>
      </c>
      <c r="L800" s="22" t="n">
        <v>0</v>
      </c>
      <c r="M800" s="22" t="n">
        <v>0</v>
      </c>
      <c r="N800" s="22" t="n">
        <v>0</v>
      </c>
      <c r="O800" s="22" t="n">
        <v>0</v>
      </c>
      <c r="P800" s="22" t="n">
        <v>1</v>
      </c>
      <c r="Q800" s="22" t="n">
        <v>0</v>
      </c>
      <c r="R800" s="22" t="n">
        <v>0</v>
      </c>
      <c r="S800" s="22" t="n">
        <v>0</v>
      </c>
      <c r="T800" s="22" t="n">
        <v>0</v>
      </c>
      <c r="U800" s="3">
        <f>IF(OR(N800=1,Q800=1),1,0)</f>
        <v/>
      </c>
      <c r="V800" s="3">
        <f>IF(OR(T800=1,P800=1),1,0)</f>
        <v/>
      </c>
      <c r="W800" s="3">
        <f>IF(OR(J800=1),1,0)</f>
        <v/>
      </c>
      <c r="X800" s="3">
        <f>IF(OR(I800=1,H800=1),1,0)</f>
        <v/>
      </c>
      <c r="Y800" s="3">
        <f>IF(OR(G800=1),1,0)</f>
        <v/>
      </c>
      <c r="Z800" s="3">
        <f>IF(OR(F800=1),1,0)</f>
        <v/>
      </c>
      <c r="AA800" s="3">
        <f>IF(OR(M800=1),1,0)</f>
        <v/>
      </c>
    </row>
    <row r="801">
      <c r="A801" s="22" t="inlineStr">
        <is>
          <t>35689f79200d53759c213528cc14b6661ffcadd7</t>
        </is>
      </c>
      <c r="B801" s="22" t="inlineStr">
        <is>
          <t>2026-10</t>
        </is>
      </c>
      <c r="C801" s="22" t="inlineStr">
        <is>
          <t>X</t>
        </is>
      </c>
      <c r="D801" s="22" t="n">
        <v>1</v>
      </c>
      <c r="E801" s="22" t="inlineStr">
        <is>
          <t>X: X search: PVC collection INEC</t>
        </is>
      </c>
      <c r="F801" s="22" t="inlineStr">
        <is>
          <t>x:X search: PVC collection INEC</t>
        </is>
      </c>
      <c r="G801" s="22" t="n">
        <v>0</v>
      </c>
      <c r="H801" s="22" t="n">
        <v>0</v>
      </c>
      <c r="I801" s="22" t="n">
        <v>0</v>
      </c>
      <c r="J801" s="22" t="n">
        <v>0</v>
      </c>
      <c r="K801" s="22" t="n">
        <v>0</v>
      </c>
      <c r="L801" s="22" t="n">
        <v>0</v>
      </c>
      <c r="M801" s="22" t="n">
        <v>0</v>
      </c>
      <c r="N801" s="22" t="n">
        <v>0</v>
      </c>
      <c r="O801" s="22" t="n">
        <v>0</v>
      </c>
      <c r="P801" s="22" t="n">
        <v>1</v>
      </c>
      <c r="Q801" s="22" t="n">
        <v>0</v>
      </c>
      <c r="R801" s="22" t="n">
        <v>0</v>
      </c>
      <c r="S801" s="22" t="n">
        <v>0</v>
      </c>
      <c r="T801" s="22" t="n">
        <v>0</v>
      </c>
      <c r="U801" s="3">
        <f>IF(OR(N801=1,Q801=1),1,0)</f>
        <v/>
      </c>
      <c r="V801" s="3">
        <f>IF(OR(T801=1,P801=1),1,0)</f>
        <v/>
      </c>
      <c r="W801" s="3">
        <f>IF(OR(J801=1),1,0)</f>
        <v/>
      </c>
      <c r="X801" s="3">
        <f>IF(OR(I801=1,H801=1),1,0)</f>
        <v/>
      </c>
      <c r="Y801" s="3">
        <f>IF(OR(G801=1),1,0)</f>
        <v/>
      </c>
      <c r="Z801" s="3">
        <f>IF(OR(F801=1),1,0)</f>
        <v/>
      </c>
      <c r="AA801" s="3">
        <f>IF(OR(M801=1),1,0)</f>
        <v/>
      </c>
    </row>
    <row r="802">
      <c r="A802" s="22" t="inlineStr">
        <is>
          <t>ebf4049530e26d2fa1252b48a5b62cf95ebfc7d4</t>
        </is>
      </c>
      <c r="B802" s="22" t="inlineStr">
        <is>
          <t>2026-10</t>
        </is>
      </c>
      <c r="C802" s="22" t="inlineStr">
        <is>
          <t>X</t>
        </is>
      </c>
      <c r="D802" s="22" t="n">
        <v>1</v>
      </c>
      <c r="E802" s="22" t="inlineStr">
        <is>
          <t>X: X search: PVC collection INEC</t>
        </is>
      </c>
      <c r="F802" s="22" t="inlineStr">
        <is>
          <t>x:X search: PVC collection INEC</t>
        </is>
      </c>
      <c r="G802" s="22" t="n">
        <v>0.625</v>
      </c>
      <c r="H802" s="22" t="n">
        <v>0</v>
      </c>
      <c r="I802" s="22" t="n">
        <v>0</v>
      </c>
      <c r="J802" s="22" t="n">
        <v>0</v>
      </c>
      <c r="K802" s="22" t="n">
        <v>0</v>
      </c>
      <c r="L802" s="22" t="n">
        <v>0</v>
      </c>
      <c r="M802" s="22" t="n">
        <v>0</v>
      </c>
      <c r="N802" s="22" t="n">
        <v>0</v>
      </c>
      <c r="O802" s="22" t="n">
        <v>0</v>
      </c>
      <c r="P802" s="22" t="n">
        <v>1</v>
      </c>
      <c r="Q802" s="22" t="n">
        <v>0</v>
      </c>
      <c r="R802" s="22" t="n">
        <v>0</v>
      </c>
      <c r="S802" s="22" t="n">
        <v>0</v>
      </c>
      <c r="T802" s="22" t="n">
        <v>0</v>
      </c>
      <c r="U802" s="3">
        <f>IF(OR(N802=1,Q802=1),1,0)</f>
        <v/>
      </c>
      <c r="V802" s="3">
        <f>IF(OR(T802=1,P802=1),1,0)</f>
        <v/>
      </c>
      <c r="W802" s="3">
        <f>IF(OR(J802=1),1,0)</f>
        <v/>
      </c>
      <c r="X802" s="3">
        <f>IF(OR(I802=1,H802=1),1,0)</f>
        <v/>
      </c>
      <c r="Y802" s="3">
        <f>IF(OR(G802=1),1,0)</f>
        <v/>
      </c>
      <c r="Z802" s="3">
        <f>IF(OR(F802=1),1,0)</f>
        <v/>
      </c>
      <c r="AA802" s="3">
        <f>IF(OR(M802=1),1,0)</f>
        <v/>
      </c>
    </row>
    <row r="803">
      <c r="A803" s="22" t="inlineStr">
        <is>
          <t>963d85e0f6a459f238e92aa01ab6a08443a1db9d</t>
        </is>
      </c>
      <c r="B803" s="22" t="inlineStr">
        <is>
          <t>2026-10</t>
        </is>
      </c>
      <c r="C803" s="22" t="inlineStr">
        <is>
          <t>X</t>
        </is>
      </c>
      <c r="D803" s="22" t="n">
        <v>1</v>
      </c>
      <c r="E803" s="22" t="inlineStr">
        <is>
          <t>X: X search: PVC collection INEC</t>
        </is>
      </c>
      <c r="F803" s="22" t="inlineStr">
        <is>
          <t>x:X search: PVC collection INEC</t>
        </is>
      </c>
      <c r="G803" s="22" t="n">
        <v>0.883</v>
      </c>
      <c r="H803" s="22" t="n">
        <v>0</v>
      </c>
      <c r="I803" s="22" t="n">
        <v>0</v>
      </c>
      <c r="J803" s="22" t="n">
        <v>0</v>
      </c>
      <c r="K803" s="22" t="n">
        <v>0</v>
      </c>
      <c r="L803" s="22" t="n">
        <v>0</v>
      </c>
      <c r="M803" s="22" t="n">
        <v>0</v>
      </c>
      <c r="N803" s="22" t="n">
        <v>0</v>
      </c>
      <c r="O803" s="22" t="n">
        <v>0</v>
      </c>
      <c r="P803" s="22" t="n">
        <v>1</v>
      </c>
      <c r="Q803" s="22" t="n">
        <v>0</v>
      </c>
      <c r="R803" s="22" t="n">
        <v>0</v>
      </c>
      <c r="S803" s="22" t="n">
        <v>0</v>
      </c>
      <c r="T803" s="22" t="n">
        <v>0</v>
      </c>
      <c r="U803" s="3">
        <f>IF(OR(N803=1,Q803=1),1,0)</f>
        <v/>
      </c>
      <c r="V803" s="3">
        <f>IF(OR(T803=1,P803=1),1,0)</f>
        <v/>
      </c>
      <c r="W803" s="3">
        <f>IF(OR(J803=1),1,0)</f>
        <v/>
      </c>
      <c r="X803" s="3">
        <f>IF(OR(I803=1,H803=1),1,0)</f>
        <v/>
      </c>
      <c r="Y803" s="3">
        <f>IF(OR(G803=1),1,0)</f>
        <v/>
      </c>
      <c r="Z803" s="3">
        <f>IF(OR(F803=1),1,0)</f>
        <v/>
      </c>
      <c r="AA803" s="3">
        <f>IF(OR(M803=1),1,0)</f>
        <v/>
      </c>
    </row>
    <row r="804">
      <c r="A804" s="22" t="inlineStr">
        <is>
          <t>b0560560f835ce0d4c138baa6a2bdc4b87b75ff2</t>
        </is>
      </c>
      <c r="B804" s="22" t="inlineStr">
        <is>
          <t>2026-10</t>
        </is>
      </c>
      <c r="C804" s="22" t="inlineStr">
        <is>
          <t>X</t>
        </is>
      </c>
      <c r="D804" s="22" t="n">
        <v>1</v>
      </c>
      <c r="E804" s="22" t="inlineStr">
        <is>
          <t>X: X search: PVC collection INEC</t>
        </is>
      </c>
      <c r="F804" s="22" t="inlineStr">
        <is>
          <t>x:X search: PVC collection INEC</t>
        </is>
      </c>
      <c r="G804" s="22" t="n">
        <v>-0.67</v>
      </c>
      <c r="H804" s="22" t="n">
        <v>0</v>
      </c>
      <c r="I804" s="22" t="n">
        <v>0</v>
      </c>
      <c r="J804" s="22" t="n">
        <v>0</v>
      </c>
      <c r="K804" s="22" t="n">
        <v>0</v>
      </c>
      <c r="L804" s="22" t="n">
        <v>0</v>
      </c>
      <c r="M804" s="22" t="n">
        <v>1</v>
      </c>
      <c r="N804" s="22" t="n">
        <v>1</v>
      </c>
      <c r="O804" s="22" t="n">
        <v>0</v>
      </c>
      <c r="P804" s="22" t="n">
        <v>1</v>
      </c>
      <c r="Q804" s="22" t="n">
        <v>0</v>
      </c>
      <c r="R804" s="22" t="n">
        <v>0</v>
      </c>
      <c r="S804" s="22" t="n">
        <v>0</v>
      </c>
      <c r="T804" s="22" t="n">
        <v>0</v>
      </c>
      <c r="U804" s="3">
        <f>IF(OR(N804=1,Q804=1),1,0)</f>
        <v/>
      </c>
      <c r="V804" s="3">
        <f>IF(OR(T804=1,P804=1),1,0)</f>
        <v/>
      </c>
      <c r="W804" s="3">
        <f>IF(OR(J804=1),1,0)</f>
        <v/>
      </c>
      <c r="X804" s="3">
        <f>IF(OR(I804=1,H804=1),1,0)</f>
        <v/>
      </c>
      <c r="Y804" s="3">
        <f>IF(OR(G804=1),1,0)</f>
        <v/>
      </c>
      <c r="Z804" s="3">
        <f>IF(OR(F804=1),1,0)</f>
        <v/>
      </c>
      <c r="AA804" s="3">
        <f>IF(OR(M804=1),1,0)</f>
        <v/>
      </c>
    </row>
    <row r="805">
      <c r="A805" s="22" t="inlineStr">
        <is>
          <t>197cdc3e722d3b4d9319aaaf889c28a1f2803c9c</t>
        </is>
      </c>
      <c r="B805" s="22" t="inlineStr">
        <is>
          <t>2026-10</t>
        </is>
      </c>
      <c r="C805" s="22" t="inlineStr">
        <is>
          <t>X</t>
        </is>
      </c>
      <c r="D805" s="22" t="n">
        <v>1</v>
      </c>
      <c r="E805" s="22" t="inlineStr">
        <is>
          <t>X: X search: PVC collection INEC</t>
        </is>
      </c>
      <c r="F805" s="22" t="inlineStr">
        <is>
          <t>x:X search: PVC collection INEC</t>
        </is>
      </c>
      <c r="G805" s="22" t="n">
        <v>-0.742</v>
      </c>
      <c r="H805" s="22" t="n">
        <v>0</v>
      </c>
      <c r="I805" s="22" t="n">
        <v>0</v>
      </c>
      <c r="J805" s="22" t="n">
        <v>0</v>
      </c>
      <c r="K805" s="22" t="n">
        <v>0</v>
      </c>
      <c r="L805" s="22" t="n">
        <v>0</v>
      </c>
      <c r="M805" s="22" t="n">
        <v>1</v>
      </c>
      <c r="N805" s="22" t="n">
        <v>0</v>
      </c>
      <c r="O805" s="22" t="n">
        <v>0</v>
      </c>
      <c r="P805" s="22" t="n">
        <v>1</v>
      </c>
      <c r="Q805" s="22" t="n">
        <v>0</v>
      </c>
      <c r="R805" s="22" t="n">
        <v>0</v>
      </c>
      <c r="S805" s="22" t="n">
        <v>0</v>
      </c>
      <c r="T805" s="22" t="n">
        <v>0</v>
      </c>
      <c r="U805" s="3">
        <f>IF(OR(N805=1,Q805=1),1,0)</f>
        <v/>
      </c>
      <c r="V805" s="3">
        <f>IF(OR(T805=1,P805=1),1,0)</f>
        <v/>
      </c>
      <c r="W805" s="3">
        <f>IF(OR(J805=1),1,0)</f>
        <v/>
      </c>
      <c r="X805" s="3">
        <f>IF(OR(I805=1,H805=1),1,0)</f>
        <v/>
      </c>
      <c r="Y805" s="3">
        <f>IF(OR(G805=1),1,0)</f>
        <v/>
      </c>
      <c r="Z805" s="3">
        <f>IF(OR(F805=1),1,0)</f>
        <v/>
      </c>
      <c r="AA805" s="3">
        <f>IF(OR(M805=1),1,0)</f>
        <v/>
      </c>
    </row>
    <row r="806">
      <c r="A806" s="22" t="inlineStr">
        <is>
          <t>5018a7834599e2ef70302f263c2ea4850461576e</t>
        </is>
      </c>
      <c r="B806" s="22" t="inlineStr">
        <is>
          <t>2026-10</t>
        </is>
      </c>
      <c r="C806" s="22" t="inlineStr">
        <is>
          <t>X</t>
        </is>
      </c>
      <c r="D806" s="22" t="n">
        <v>1</v>
      </c>
      <c r="E806" s="22" t="inlineStr">
        <is>
          <t>X: X search: PVC collection INEC</t>
        </is>
      </c>
      <c r="F806" s="22" t="inlineStr">
        <is>
          <t>x:X search: PVC collection INEC</t>
        </is>
      </c>
      <c r="G806" s="22" t="n">
        <v>0.458</v>
      </c>
      <c r="H806" s="22" t="n">
        <v>0</v>
      </c>
      <c r="I806" s="22" t="n">
        <v>0</v>
      </c>
      <c r="J806" s="22" t="n">
        <v>0</v>
      </c>
      <c r="K806" s="22" t="n">
        <v>0</v>
      </c>
      <c r="L806" s="22" t="n">
        <v>0</v>
      </c>
      <c r="M806" s="22" t="n">
        <v>0</v>
      </c>
      <c r="N806" s="22" t="n">
        <v>0</v>
      </c>
      <c r="O806" s="22" t="n">
        <v>0</v>
      </c>
      <c r="P806" s="22" t="n">
        <v>1</v>
      </c>
      <c r="Q806" s="22" t="n">
        <v>0</v>
      </c>
      <c r="R806" s="22" t="n">
        <v>0</v>
      </c>
      <c r="S806" s="22" t="n">
        <v>0</v>
      </c>
      <c r="T806" s="22" t="n">
        <v>0</v>
      </c>
      <c r="U806" s="3">
        <f>IF(OR(N806=1,Q806=1),1,0)</f>
        <v/>
      </c>
      <c r="V806" s="3">
        <f>IF(OR(T806=1,P806=1),1,0)</f>
        <v/>
      </c>
      <c r="W806" s="3">
        <f>IF(OR(J806=1),1,0)</f>
        <v/>
      </c>
      <c r="X806" s="3">
        <f>IF(OR(I806=1,H806=1),1,0)</f>
        <v/>
      </c>
      <c r="Y806" s="3">
        <f>IF(OR(G806=1),1,0)</f>
        <v/>
      </c>
      <c r="Z806" s="3">
        <f>IF(OR(F806=1),1,0)</f>
        <v/>
      </c>
      <c r="AA806" s="3">
        <f>IF(OR(M806=1),1,0)</f>
        <v/>
      </c>
    </row>
    <row r="807">
      <c r="A807" s="22" t="inlineStr">
        <is>
          <t>45c71ce942fac74d6dab339e3dc4371a71d121d1</t>
        </is>
      </c>
      <c r="B807" s="22" t="inlineStr">
        <is>
          <t>2026-10</t>
        </is>
      </c>
      <c r="C807" s="22" t="inlineStr">
        <is>
          <t>X</t>
        </is>
      </c>
      <c r="D807" s="22" t="n">
        <v>1</v>
      </c>
      <c r="E807" s="22" t="inlineStr">
        <is>
          <t>X: X search (Top): vote buying 2027</t>
        </is>
      </c>
      <c r="F807" s="22" t="inlineStr">
        <is>
          <t>x:X search (Top): vote buying 2027</t>
        </is>
      </c>
      <c r="G807" s="22" t="n">
        <v>0</v>
      </c>
      <c r="H807" s="22" t="n">
        <v>0</v>
      </c>
      <c r="I807" s="22" t="n">
        <v>0</v>
      </c>
      <c r="J807" s="22" t="n">
        <v>0</v>
      </c>
      <c r="K807" s="22" t="n">
        <v>0</v>
      </c>
      <c r="L807" s="22" t="n">
        <v>1</v>
      </c>
      <c r="M807" s="22" t="n">
        <v>0</v>
      </c>
      <c r="N807" s="22" t="n">
        <v>0</v>
      </c>
      <c r="O807" s="22" t="n">
        <v>0</v>
      </c>
      <c r="P807" s="22" t="n">
        <v>0</v>
      </c>
      <c r="Q807" s="22" t="n">
        <v>0</v>
      </c>
      <c r="R807" s="22" t="n">
        <v>0</v>
      </c>
      <c r="S807" s="22" t="n">
        <v>0</v>
      </c>
      <c r="T807" s="22" t="n">
        <v>0</v>
      </c>
      <c r="U807" s="3">
        <f>IF(OR(N807=1,Q807=1),1,0)</f>
        <v/>
      </c>
      <c r="V807" s="3">
        <f>IF(OR(T807=1,P807=1),1,0)</f>
        <v/>
      </c>
      <c r="W807" s="3">
        <f>IF(OR(J807=1),1,0)</f>
        <v/>
      </c>
      <c r="X807" s="3">
        <f>IF(OR(I807=1,H807=1),1,0)</f>
        <v/>
      </c>
      <c r="Y807" s="3">
        <f>IF(OR(G807=1),1,0)</f>
        <v/>
      </c>
      <c r="Z807" s="3">
        <f>IF(OR(F807=1),1,0)</f>
        <v/>
      </c>
      <c r="AA807" s="3">
        <f>IF(OR(M807=1),1,0)</f>
        <v/>
      </c>
    </row>
    <row r="808">
      <c r="A808" s="22" t="inlineStr">
        <is>
          <t>ac49ac070c4505be9262664740f2d4f12f6f51df</t>
        </is>
      </c>
      <c r="B808" s="22" t="inlineStr">
        <is>
          <t>2026-10</t>
        </is>
      </c>
      <c r="C808" s="22" t="inlineStr">
        <is>
          <t>X</t>
        </is>
      </c>
      <c r="D808" s="22" t="n">
        <v>1</v>
      </c>
      <c r="E808" s="22" t="inlineStr">
        <is>
          <t>X: X search (Top): vote buying 2027</t>
        </is>
      </c>
      <c r="F808" s="22" t="inlineStr">
        <is>
          <t>x:X search (Top): vote buying 2027</t>
        </is>
      </c>
      <c r="G808" s="22" t="n">
        <v>0.402</v>
      </c>
      <c r="H808" s="22" t="n">
        <v>0</v>
      </c>
      <c r="I808" s="22" t="n">
        <v>0</v>
      </c>
      <c r="J808" s="22" t="n">
        <v>0</v>
      </c>
      <c r="K808" s="22" t="n">
        <v>0</v>
      </c>
      <c r="L808" s="22" t="n">
        <v>1</v>
      </c>
      <c r="M808" s="22" t="n">
        <v>0</v>
      </c>
      <c r="N808" s="22" t="n">
        <v>0</v>
      </c>
      <c r="O808" s="22" t="n">
        <v>0</v>
      </c>
      <c r="P808" s="22" t="n">
        <v>0</v>
      </c>
      <c r="Q808" s="22" t="n">
        <v>0</v>
      </c>
      <c r="R808" s="22" t="n">
        <v>0</v>
      </c>
      <c r="S808" s="22" t="n">
        <v>0</v>
      </c>
      <c r="T808" s="22" t="n">
        <v>0</v>
      </c>
      <c r="U808" s="3">
        <f>IF(OR(N808=1,Q808=1),1,0)</f>
        <v/>
      </c>
      <c r="V808" s="3">
        <f>IF(OR(T808=1,P808=1),1,0)</f>
        <v/>
      </c>
      <c r="W808" s="3">
        <f>IF(OR(J808=1),1,0)</f>
        <v/>
      </c>
      <c r="X808" s="3">
        <f>IF(OR(I808=1,H808=1),1,0)</f>
        <v/>
      </c>
      <c r="Y808" s="3">
        <f>IF(OR(G808=1),1,0)</f>
        <v/>
      </c>
      <c r="Z808" s="3">
        <f>IF(OR(F808=1),1,0)</f>
        <v/>
      </c>
      <c r="AA808" s="3">
        <f>IF(OR(M808=1),1,0)</f>
        <v/>
      </c>
    </row>
    <row r="809">
      <c r="A809" s="22" t="inlineStr">
        <is>
          <t>c3a1112a2335c84cb4b4d46aa434afe947d72287</t>
        </is>
      </c>
      <c r="B809" s="22" t="inlineStr">
        <is>
          <t>2026-07</t>
        </is>
      </c>
      <c r="C809" s="22" t="inlineStr">
        <is>
          <t>X</t>
        </is>
      </c>
      <c r="D809" s="22" t="n">
        <v>1</v>
      </c>
      <c r="E809" s="22" t="inlineStr">
        <is>
          <t>X: X search (Top): vote buying 2027</t>
        </is>
      </c>
      <c r="F809" s="22" t="inlineStr">
        <is>
          <t>x:X search (Top): vote buying 2027</t>
        </is>
      </c>
      <c r="G809" s="22" t="n">
        <v>0.318</v>
      </c>
      <c r="H809" s="22" t="n">
        <v>1</v>
      </c>
      <c r="I809" s="22" t="n">
        <v>0</v>
      </c>
      <c r="J809" s="22" t="n">
        <v>0</v>
      </c>
      <c r="K809" s="22" t="n">
        <v>0</v>
      </c>
      <c r="L809" s="22" t="n">
        <v>1</v>
      </c>
      <c r="M809" s="22" t="n">
        <v>0</v>
      </c>
      <c r="N809" s="22" t="n">
        <v>0</v>
      </c>
      <c r="O809" s="22" t="n">
        <v>0</v>
      </c>
      <c r="P809" s="22" t="n">
        <v>0</v>
      </c>
      <c r="Q809" s="22" t="n">
        <v>0</v>
      </c>
      <c r="R809" s="22" t="n">
        <v>0</v>
      </c>
      <c r="S809" s="22" t="n">
        <v>0</v>
      </c>
      <c r="T809" s="22" t="n">
        <v>0</v>
      </c>
      <c r="U809" s="3">
        <f>IF(OR(N809=1,Q809=1),1,0)</f>
        <v/>
      </c>
      <c r="V809" s="3">
        <f>IF(OR(T809=1,P809=1),1,0)</f>
        <v/>
      </c>
      <c r="W809" s="3">
        <f>IF(OR(J809=1),1,0)</f>
        <v/>
      </c>
      <c r="X809" s="3">
        <f>IF(OR(I809=1,H809=1),1,0)</f>
        <v/>
      </c>
      <c r="Y809" s="3">
        <f>IF(OR(G809=1),1,0)</f>
        <v/>
      </c>
      <c r="Z809" s="3">
        <f>IF(OR(F809=1),1,0)</f>
        <v/>
      </c>
      <c r="AA809" s="3">
        <f>IF(OR(M809=1),1,0)</f>
        <v/>
      </c>
    </row>
    <row r="810">
      <c r="A810" s="22" t="inlineStr">
        <is>
          <t>a2598a62b5970499e9e53412769bbe045b273c1a</t>
        </is>
      </c>
      <c r="B810" s="22" t="inlineStr">
        <is>
          <t>2026-08</t>
        </is>
      </c>
      <c r="C810" s="22" t="inlineStr">
        <is>
          <t>X</t>
        </is>
      </c>
      <c r="D810" s="22" t="n">
        <v>1</v>
      </c>
      <c r="E810" s="22" t="inlineStr">
        <is>
          <t>X: X search (Top): vote buying 2027</t>
        </is>
      </c>
      <c r="F810" s="22" t="inlineStr">
        <is>
          <t>x:X search (Top): vote buying 2027</t>
        </is>
      </c>
      <c r="G810" s="22" t="n">
        <v>-0.586</v>
      </c>
      <c r="H810" s="22" t="n">
        <v>0</v>
      </c>
      <c r="I810" s="22" t="n">
        <v>0</v>
      </c>
      <c r="J810" s="22" t="n">
        <v>0</v>
      </c>
      <c r="K810" s="22" t="n">
        <v>0</v>
      </c>
      <c r="L810" s="22" t="n">
        <v>1</v>
      </c>
      <c r="M810" s="22" t="n">
        <v>1</v>
      </c>
      <c r="N810" s="22" t="n">
        <v>0</v>
      </c>
      <c r="O810" s="22" t="n">
        <v>0</v>
      </c>
      <c r="P810" s="22" t="n">
        <v>0</v>
      </c>
      <c r="Q810" s="22" t="n">
        <v>0</v>
      </c>
      <c r="R810" s="22" t="n">
        <v>0</v>
      </c>
      <c r="S810" s="22" t="n">
        <v>0</v>
      </c>
      <c r="T810" s="22" t="n">
        <v>0</v>
      </c>
      <c r="U810" s="3">
        <f>IF(OR(N810=1,Q810=1),1,0)</f>
        <v/>
      </c>
      <c r="V810" s="3">
        <f>IF(OR(T810=1,P810=1),1,0)</f>
        <v/>
      </c>
      <c r="W810" s="3">
        <f>IF(OR(J810=1),1,0)</f>
        <v/>
      </c>
      <c r="X810" s="3">
        <f>IF(OR(I810=1,H810=1),1,0)</f>
        <v/>
      </c>
      <c r="Y810" s="3">
        <f>IF(OR(G810=1),1,0)</f>
        <v/>
      </c>
      <c r="Z810" s="3">
        <f>IF(OR(F810=1),1,0)</f>
        <v/>
      </c>
      <c r="AA810" s="3">
        <f>IF(OR(M810=1),1,0)</f>
        <v/>
      </c>
    </row>
    <row r="811">
      <c r="A811" s="22" t="inlineStr">
        <is>
          <t>32db5acb97b4f9b599267f72c2b1c1b51a9c5ae0</t>
        </is>
      </c>
      <c r="B811" s="22" t="inlineStr">
        <is>
          <t>2026-06</t>
        </is>
      </c>
      <c r="C811" s="22" t="inlineStr">
        <is>
          <t>X</t>
        </is>
      </c>
      <c r="D811" s="22" t="n">
        <v>1</v>
      </c>
      <c r="E811" s="22" t="inlineStr">
        <is>
          <t>X: X search (Top): vote buying 2027</t>
        </is>
      </c>
      <c r="F811" s="22" t="inlineStr">
        <is>
          <t>x:X search (Top): vote buying 2027</t>
        </is>
      </c>
      <c r="G811" s="22" t="n">
        <v>-0.153</v>
      </c>
      <c r="H811" s="22" t="n">
        <v>1</v>
      </c>
      <c r="I811" s="22" t="n">
        <v>0</v>
      </c>
      <c r="J811" s="22" t="n">
        <v>0</v>
      </c>
      <c r="K811" s="22" t="n">
        <v>0</v>
      </c>
      <c r="L811" s="22" t="n">
        <v>1</v>
      </c>
      <c r="M811" s="22" t="n">
        <v>0</v>
      </c>
      <c r="N811" s="22" t="n">
        <v>0</v>
      </c>
      <c r="O811" s="22" t="n">
        <v>0</v>
      </c>
      <c r="P811" s="22" t="n">
        <v>0</v>
      </c>
      <c r="Q811" s="22" t="n">
        <v>0</v>
      </c>
      <c r="R811" s="22" t="n">
        <v>0</v>
      </c>
      <c r="S811" s="22" t="n">
        <v>0</v>
      </c>
      <c r="T811" s="22" t="n">
        <v>0</v>
      </c>
      <c r="U811" s="3">
        <f>IF(OR(N811=1,Q811=1),1,0)</f>
        <v/>
      </c>
      <c r="V811" s="3">
        <f>IF(OR(T811=1,P811=1),1,0)</f>
        <v/>
      </c>
      <c r="W811" s="3">
        <f>IF(OR(J811=1),1,0)</f>
        <v/>
      </c>
      <c r="X811" s="3">
        <f>IF(OR(I811=1,H811=1),1,0)</f>
        <v/>
      </c>
      <c r="Y811" s="3">
        <f>IF(OR(G811=1),1,0)</f>
        <v/>
      </c>
      <c r="Z811" s="3">
        <f>IF(OR(F811=1),1,0)</f>
        <v/>
      </c>
      <c r="AA811" s="3">
        <f>IF(OR(M811=1),1,0)</f>
        <v/>
      </c>
    </row>
    <row r="812">
      <c r="A812" s="22" t="inlineStr">
        <is>
          <t>1e77fccdcddfdb41e9c312d795a3b60fc97b1d88</t>
        </is>
      </c>
      <c r="B812" s="22" t="inlineStr">
        <is>
          <t>2026-05</t>
        </is>
      </c>
      <c r="C812" s="22" t="inlineStr">
        <is>
          <t>X</t>
        </is>
      </c>
      <c r="D812" s="22" t="n">
        <v>1</v>
      </c>
      <c r="E812" s="22" t="inlineStr">
        <is>
          <t>X: X search (Top): vote buying 2027</t>
        </is>
      </c>
      <c r="F812" s="22" t="inlineStr">
        <is>
          <t>x:X search (Top): vote buying 2027</t>
        </is>
      </c>
      <c r="G812" s="22" t="n">
        <v>0.607</v>
      </c>
      <c r="H812" s="22" t="n">
        <v>1</v>
      </c>
      <c r="I812" s="22" t="n">
        <v>0</v>
      </c>
      <c r="J812" s="22" t="n">
        <v>0</v>
      </c>
      <c r="K812" s="22" t="n">
        <v>0</v>
      </c>
      <c r="L812" s="22" t="n">
        <v>1</v>
      </c>
      <c r="M812" s="22" t="n">
        <v>0</v>
      </c>
      <c r="N812" s="22" t="n">
        <v>0</v>
      </c>
      <c r="O812" s="22" t="n">
        <v>0</v>
      </c>
      <c r="P812" s="22" t="n">
        <v>0</v>
      </c>
      <c r="Q812" s="22" t="n">
        <v>0</v>
      </c>
      <c r="R812" s="22" t="n">
        <v>0</v>
      </c>
      <c r="S812" s="22" t="n">
        <v>0</v>
      </c>
      <c r="T812" s="22" t="n">
        <v>0</v>
      </c>
      <c r="U812" s="3">
        <f>IF(OR(N812=1,Q812=1),1,0)</f>
        <v/>
      </c>
      <c r="V812" s="3">
        <f>IF(OR(T812=1,P812=1),1,0)</f>
        <v/>
      </c>
      <c r="W812" s="3">
        <f>IF(OR(J812=1),1,0)</f>
        <v/>
      </c>
      <c r="X812" s="3">
        <f>IF(OR(I812=1,H812=1),1,0)</f>
        <v/>
      </c>
      <c r="Y812" s="3">
        <f>IF(OR(G812=1),1,0)</f>
        <v/>
      </c>
      <c r="Z812" s="3">
        <f>IF(OR(F812=1),1,0)</f>
        <v/>
      </c>
      <c r="AA812" s="3">
        <f>IF(OR(M812=1),1,0)</f>
        <v/>
      </c>
    </row>
    <row r="813">
      <c r="A813" s="22" t="inlineStr">
        <is>
          <t>8d3fb77284b3d98dcedd9cb8d8b037ef868bb521</t>
        </is>
      </c>
      <c r="B813" s="22" t="inlineStr">
        <is>
          <t>2026-09</t>
        </is>
      </c>
      <c r="C813" s="22" t="inlineStr">
        <is>
          <t>X</t>
        </is>
      </c>
      <c r="D813" s="22" t="n">
        <v>1</v>
      </c>
      <c r="E813" s="22" t="inlineStr">
        <is>
          <t>X: X search (Top): vote buying 2027</t>
        </is>
      </c>
      <c r="F813" s="22" t="inlineStr">
        <is>
          <t>x:X search (Top): vote buying 2027</t>
        </is>
      </c>
      <c r="G813" s="22" t="n">
        <v>0.542</v>
      </c>
      <c r="H813" s="22" t="n">
        <v>1</v>
      </c>
      <c r="I813" s="22" t="n">
        <v>0</v>
      </c>
      <c r="J813" s="22" t="n">
        <v>0</v>
      </c>
      <c r="K813" s="22" t="n">
        <v>0</v>
      </c>
      <c r="L813" s="22" t="n">
        <v>1</v>
      </c>
      <c r="M813" s="22" t="n">
        <v>0</v>
      </c>
      <c r="N813" s="22" t="n">
        <v>0</v>
      </c>
      <c r="O813" s="22" t="n">
        <v>0</v>
      </c>
      <c r="P813" s="22" t="n">
        <v>0</v>
      </c>
      <c r="Q813" s="22" t="n">
        <v>0</v>
      </c>
      <c r="R813" s="22" t="n">
        <v>0</v>
      </c>
      <c r="S813" s="22" t="n">
        <v>0</v>
      </c>
      <c r="T813" s="22" t="n">
        <v>0</v>
      </c>
      <c r="U813" s="3">
        <f>IF(OR(N813=1,Q813=1),1,0)</f>
        <v/>
      </c>
      <c r="V813" s="3">
        <f>IF(OR(T813=1,P813=1),1,0)</f>
        <v/>
      </c>
      <c r="W813" s="3">
        <f>IF(OR(J813=1),1,0)</f>
        <v/>
      </c>
      <c r="X813" s="3">
        <f>IF(OR(I813=1,H813=1),1,0)</f>
        <v/>
      </c>
      <c r="Y813" s="3">
        <f>IF(OR(G813=1),1,0)</f>
        <v/>
      </c>
      <c r="Z813" s="3">
        <f>IF(OR(F813=1),1,0)</f>
        <v/>
      </c>
      <c r="AA813" s="3">
        <f>IF(OR(M813=1),1,0)</f>
        <v/>
      </c>
    </row>
    <row r="814">
      <c r="A814" s="22" t="inlineStr">
        <is>
          <t>2acddc4ccbde5cef4d63a333dbe5b3fb2c78e570</t>
        </is>
      </c>
      <c r="B814" s="22" t="inlineStr">
        <is>
          <t>2026-10</t>
        </is>
      </c>
      <c r="C814" s="22" t="inlineStr">
        <is>
          <t>X</t>
        </is>
      </c>
      <c r="D814" s="22" t="n">
        <v>1</v>
      </c>
      <c r="E814" s="22" t="inlineStr">
        <is>
          <t>X: X search (Top): vote buying 2027</t>
        </is>
      </c>
      <c r="F814" s="22" t="inlineStr">
        <is>
          <t>x:X search (Top): vote buying 2027</t>
        </is>
      </c>
      <c r="G814" s="22" t="n">
        <v>-0.75</v>
      </c>
      <c r="H814" s="22" t="n">
        <v>1</v>
      </c>
      <c r="I814" s="22" t="n">
        <v>0</v>
      </c>
      <c r="J814" s="22" t="n">
        <v>0</v>
      </c>
      <c r="K814" s="22" t="n">
        <v>0</v>
      </c>
      <c r="L814" s="22" t="n">
        <v>1</v>
      </c>
      <c r="M814" s="22" t="n">
        <v>0</v>
      </c>
      <c r="N814" s="22" t="n">
        <v>0</v>
      </c>
      <c r="O814" s="22" t="n">
        <v>0</v>
      </c>
      <c r="P814" s="22" t="n">
        <v>0</v>
      </c>
      <c r="Q814" s="22" t="n">
        <v>0</v>
      </c>
      <c r="R814" s="22" t="n">
        <v>0</v>
      </c>
      <c r="S814" s="22" t="n">
        <v>0</v>
      </c>
      <c r="T814" s="22" t="n">
        <v>0</v>
      </c>
      <c r="U814" s="3">
        <f>IF(OR(N814=1,Q814=1),1,0)</f>
        <v/>
      </c>
      <c r="V814" s="3">
        <f>IF(OR(T814=1,P814=1),1,0)</f>
        <v/>
      </c>
      <c r="W814" s="3">
        <f>IF(OR(J814=1),1,0)</f>
        <v/>
      </c>
      <c r="X814" s="3">
        <f>IF(OR(I814=1,H814=1),1,0)</f>
        <v/>
      </c>
      <c r="Y814" s="3">
        <f>IF(OR(G814=1),1,0)</f>
        <v/>
      </c>
      <c r="Z814" s="3">
        <f>IF(OR(F814=1),1,0)</f>
        <v/>
      </c>
      <c r="AA814" s="3">
        <f>IF(OR(M814=1),1,0)</f>
        <v/>
      </c>
    </row>
    <row r="815">
      <c r="A815" s="22" t="inlineStr">
        <is>
          <t>50f3bf6a7296d211abd7b58183013e037b65d038</t>
        </is>
      </c>
      <c r="B815" s="22" t="inlineStr">
        <is>
          <t>2026-06</t>
        </is>
      </c>
      <c r="C815" s="22" t="inlineStr">
        <is>
          <t>X</t>
        </is>
      </c>
      <c r="D815" s="22" t="n">
        <v>1</v>
      </c>
      <c r="E815" s="22" t="inlineStr">
        <is>
          <t>X: X search (Top): vote buying 2027</t>
        </is>
      </c>
      <c r="F815" s="22" t="inlineStr">
        <is>
          <t>x:X search (Top): vote buying 2027</t>
        </is>
      </c>
      <c r="G815" s="22" t="n">
        <v>0.511</v>
      </c>
      <c r="H815" s="22" t="n">
        <v>0</v>
      </c>
      <c r="I815" s="22" t="n">
        <v>0</v>
      </c>
      <c r="J815" s="22" t="n">
        <v>0</v>
      </c>
      <c r="K815" s="22" t="n">
        <v>0</v>
      </c>
      <c r="L815" s="22" t="n">
        <v>1</v>
      </c>
      <c r="M815" s="22" t="n">
        <v>0</v>
      </c>
      <c r="N815" s="22" t="n">
        <v>0</v>
      </c>
      <c r="O815" s="22" t="n">
        <v>0</v>
      </c>
      <c r="P815" s="22" t="n">
        <v>0</v>
      </c>
      <c r="Q815" s="22" t="n">
        <v>0</v>
      </c>
      <c r="R815" s="22" t="n">
        <v>0</v>
      </c>
      <c r="S815" s="22" t="n">
        <v>0</v>
      </c>
      <c r="T815" s="22" t="n">
        <v>0</v>
      </c>
      <c r="U815" s="3">
        <f>IF(OR(N815=1,Q815=1),1,0)</f>
        <v/>
      </c>
      <c r="V815" s="3">
        <f>IF(OR(T815=1,P815=1),1,0)</f>
        <v/>
      </c>
      <c r="W815" s="3">
        <f>IF(OR(J815=1),1,0)</f>
        <v/>
      </c>
      <c r="X815" s="3">
        <f>IF(OR(I815=1,H815=1),1,0)</f>
        <v/>
      </c>
      <c r="Y815" s="3">
        <f>IF(OR(G815=1),1,0)</f>
        <v/>
      </c>
      <c r="Z815" s="3">
        <f>IF(OR(F815=1),1,0)</f>
        <v/>
      </c>
      <c r="AA815" s="3">
        <f>IF(OR(M815=1),1,0)</f>
        <v/>
      </c>
    </row>
    <row r="816">
      <c r="A816" s="22" t="inlineStr">
        <is>
          <t>c5a0a5ace0072d1cc89433ae061faee9564e9c2c</t>
        </is>
      </c>
      <c r="B816" s="22" t="inlineStr">
        <is>
          <t>2026-10</t>
        </is>
      </c>
      <c r="C816" s="22" t="inlineStr">
        <is>
          <t>X</t>
        </is>
      </c>
      <c r="D816" s="22" t="n">
        <v>1</v>
      </c>
      <c r="E816" s="22" t="inlineStr">
        <is>
          <t>X: X search (Top): vote buying 2027</t>
        </is>
      </c>
      <c r="F816" s="22" t="inlineStr">
        <is>
          <t>x:X search (Top): vote buying 2027</t>
        </is>
      </c>
      <c r="G816" s="22" t="n">
        <v>0.128</v>
      </c>
      <c r="H816" s="22" t="n">
        <v>0</v>
      </c>
      <c r="I816" s="22" t="n">
        <v>0</v>
      </c>
      <c r="J816" s="22" t="n">
        <v>0</v>
      </c>
      <c r="K816" s="22" t="n">
        <v>0</v>
      </c>
      <c r="L816" s="22" t="n">
        <v>0</v>
      </c>
      <c r="M816" s="22" t="n">
        <v>0</v>
      </c>
      <c r="N816" s="22" t="n">
        <v>0</v>
      </c>
      <c r="O816" s="22" t="n">
        <v>0</v>
      </c>
      <c r="P816" s="22" t="n">
        <v>1</v>
      </c>
      <c r="Q816" s="22" t="n">
        <v>0</v>
      </c>
      <c r="R816" s="22" t="n">
        <v>0</v>
      </c>
      <c r="S816" s="22" t="n">
        <v>0</v>
      </c>
      <c r="T816" s="22" t="n">
        <v>0</v>
      </c>
      <c r="U816" s="3">
        <f>IF(OR(N816=1,Q816=1),1,0)</f>
        <v/>
      </c>
      <c r="V816" s="3">
        <f>IF(OR(T816=1,P816=1),1,0)</f>
        <v/>
      </c>
      <c r="W816" s="3">
        <f>IF(OR(J816=1),1,0)</f>
        <v/>
      </c>
      <c r="X816" s="3">
        <f>IF(OR(I816=1,H816=1),1,0)</f>
        <v/>
      </c>
      <c r="Y816" s="3">
        <f>IF(OR(G816=1),1,0)</f>
        <v/>
      </c>
      <c r="Z816" s="3">
        <f>IF(OR(F816=1),1,0)</f>
        <v/>
      </c>
      <c r="AA816" s="3">
        <f>IF(OR(M816=1),1,0)</f>
        <v/>
      </c>
    </row>
    <row r="817">
      <c r="A817" s="22" t="inlineStr">
        <is>
          <t>f0b5500663ff6517ac20316b833089cbc40f62f3</t>
        </is>
      </c>
      <c r="B817" s="22" t="inlineStr">
        <is>
          <t>2026-05</t>
        </is>
      </c>
      <c r="C817" s="22" t="inlineStr">
        <is>
          <t>X</t>
        </is>
      </c>
      <c r="D817" s="22" t="n">
        <v>1</v>
      </c>
      <c r="E817" s="22" t="inlineStr">
        <is>
          <t>X: X search (Top): vote buying 2027</t>
        </is>
      </c>
      <c r="F817" s="22" t="inlineStr">
        <is>
          <t>x:X search (Top): vote buying 2027</t>
        </is>
      </c>
      <c r="G817" s="22" t="n">
        <v>-0.8179999999999999</v>
      </c>
      <c r="H817" s="22" t="n">
        <v>0</v>
      </c>
      <c r="I817" s="22" t="n">
        <v>0</v>
      </c>
      <c r="J817" s="22" t="n">
        <v>0</v>
      </c>
      <c r="K817" s="22" t="n">
        <v>0</v>
      </c>
      <c r="L817" s="22" t="n">
        <v>1</v>
      </c>
      <c r="M817" s="22" t="n">
        <v>0</v>
      </c>
      <c r="N817" s="22" t="n">
        <v>0</v>
      </c>
      <c r="O817" s="22" t="n">
        <v>0</v>
      </c>
      <c r="P817" s="22" t="n">
        <v>0</v>
      </c>
      <c r="Q817" s="22" t="n">
        <v>0</v>
      </c>
      <c r="R817" s="22" t="n">
        <v>0</v>
      </c>
      <c r="S817" s="22" t="n">
        <v>0</v>
      </c>
      <c r="T817" s="22" t="n">
        <v>1</v>
      </c>
      <c r="U817" s="3">
        <f>IF(OR(N817=1,Q817=1),1,0)</f>
        <v/>
      </c>
      <c r="V817" s="3">
        <f>IF(OR(T817=1,P817=1),1,0)</f>
        <v/>
      </c>
      <c r="W817" s="3">
        <f>IF(OR(J817=1),1,0)</f>
        <v/>
      </c>
      <c r="X817" s="3">
        <f>IF(OR(I817=1,H817=1),1,0)</f>
        <v/>
      </c>
      <c r="Y817" s="3">
        <f>IF(OR(G817=1),1,0)</f>
        <v/>
      </c>
      <c r="Z817" s="3">
        <f>IF(OR(F817=1),1,0)</f>
        <v/>
      </c>
      <c r="AA817" s="3">
        <f>IF(OR(M817=1),1,0)</f>
        <v/>
      </c>
    </row>
    <row r="818">
      <c r="A818" s="22" t="inlineStr">
        <is>
          <t>baac2ae3ede26ffad7f82e2a7ac4d94e12341619</t>
        </is>
      </c>
      <c r="B818" s="22" t="inlineStr">
        <is>
          <t>2026-08</t>
        </is>
      </c>
      <c r="C818" s="22" t="inlineStr">
        <is>
          <t>X</t>
        </is>
      </c>
      <c r="D818" s="22" t="n">
        <v>1</v>
      </c>
      <c r="E818" s="22" t="inlineStr">
        <is>
          <t>X: X search (Top): vote buying 2027</t>
        </is>
      </c>
      <c r="F818" s="22" t="inlineStr">
        <is>
          <t>x:X search (Top): vote buying 2027</t>
        </is>
      </c>
      <c r="G818" s="22" t="n">
        <v>0</v>
      </c>
      <c r="H818" s="22" t="n">
        <v>0</v>
      </c>
      <c r="I818" s="22" t="n">
        <v>0</v>
      </c>
      <c r="J818" s="22" t="n">
        <v>0</v>
      </c>
      <c r="K818" s="22" t="n">
        <v>0</v>
      </c>
      <c r="L818" s="22" t="n">
        <v>1</v>
      </c>
      <c r="M818" s="22" t="n">
        <v>0</v>
      </c>
      <c r="N818" s="22" t="n">
        <v>0</v>
      </c>
      <c r="O818" s="22" t="n">
        <v>0</v>
      </c>
      <c r="P818" s="22" t="n">
        <v>0</v>
      </c>
      <c r="Q818" s="22" t="n">
        <v>0</v>
      </c>
      <c r="R818" s="22" t="n">
        <v>0</v>
      </c>
      <c r="S818" s="22" t="n">
        <v>0</v>
      </c>
      <c r="T818" s="22" t="n">
        <v>0</v>
      </c>
      <c r="U818" s="3">
        <f>IF(OR(N818=1,Q818=1),1,0)</f>
        <v/>
      </c>
      <c r="V818" s="3">
        <f>IF(OR(T818=1,P818=1),1,0)</f>
        <v/>
      </c>
      <c r="W818" s="3">
        <f>IF(OR(J818=1),1,0)</f>
        <v/>
      </c>
      <c r="X818" s="3">
        <f>IF(OR(I818=1,H818=1),1,0)</f>
        <v/>
      </c>
      <c r="Y818" s="3">
        <f>IF(OR(G818=1),1,0)</f>
        <v/>
      </c>
      <c r="Z818" s="3">
        <f>IF(OR(F818=1),1,0)</f>
        <v/>
      </c>
      <c r="AA818" s="3">
        <f>IF(OR(M818=1),1,0)</f>
        <v/>
      </c>
    </row>
    <row r="819">
      <c r="A819" s="22" t="inlineStr">
        <is>
          <t>2039e7a621531efdac5f1b8e8701f02a8a5c37fb</t>
        </is>
      </c>
      <c r="B819" s="22" t="inlineStr">
        <is>
          <t>2026-06</t>
        </is>
      </c>
      <c r="C819" s="22" t="inlineStr">
        <is>
          <t>X</t>
        </is>
      </c>
      <c r="D819" s="22" t="n">
        <v>1</v>
      </c>
      <c r="E819" s="22" t="inlineStr">
        <is>
          <t>X: X search (Top): vote buying 2027</t>
        </is>
      </c>
      <c r="F819" s="22" t="inlineStr">
        <is>
          <t>x:X search (Top): vote buying 2027</t>
        </is>
      </c>
      <c r="G819" s="22" t="n">
        <v>0.361</v>
      </c>
      <c r="H819" s="22" t="n">
        <v>0</v>
      </c>
      <c r="I819" s="22" t="n">
        <v>0</v>
      </c>
      <c r="J819" s="22" t="n">
        <v>0</v>
      </c>
      <c r="K819" s="22" t="n">
        <v>0</v>
      </c>
      <c r="L819" s="22" t="n">
        <v>1</v>
      </c>
      <c r="M819" s="22" t="n">
        <v>0</v>
      </c>
      <c r="N819" s="22" t="n">
        <v>0</v>
      </c>
      <c r="O819" s="22" t="n">
        <v>0</v>
      </c>
      <c r="P819" s="22" t="n">
        <v>0</v>
      </c>
      <c r="Q819" s="22" t="n">
        <v>0</v>
      </c>
      <c r="R819" s="22" t="n">
        <v>0</v>
      </c>
      <c r="S819" s="22" t="n">
        <v>0</v>
      </c>
      <c r="T819" s="22" t="n">
        <v>0</v>
      </c>
      <c r="U819" s="3">
        <f>IF(OR(N819=1,Q819=1),1,0)</f>
        <v/>
      </c>
      <c r="V819" s="3">
        <f>IF(OR(T819=1,P819=1),1,0)</f>
        <v/>
      </c>
      <c r="W819" s="3">
        <f>IF(OR(J819=1),1,0)</f>
        <v/>
      </c>
      <c r="X819" s="3">
        <f>IF(OR(I819=1,H819=1),1,0)</f>
        <v/>
      </c>
      <c r="Y819" s="3">
        <f>IF(OR(G819=1),1,0)</f>
        <v/>
      </c>
      <c r="Z819" s="3">
        <f>IF(OR(F819=1),1,0)</f>
        <v/>
      </c>
      <c r="AA819" s="3">
        <f>IF(OR(M819=1),1,0)</f>
        <v/>
      </c>
    </row>
    <row r="820">
      <c r="A820" s="22" t="inlineStr">
        <is>
          <t>c3ad88c92c1637786544ba718b7080ec383b218c</t>
        </is>
      </c>
      <c r="B820" s="22" t="inlineStr">
        <is>
          <t>2026-10</t>
        </is>
      </c>
      <c r="C820" s="22" t="inlineStr">
        <is>
          <t>X</t>
        </is>
      </c>
      <c r="D820" s="22" t="n">
        <v>1</v>
      </c>
      <c r="E820" s="22" t="inlineStr">
        <is>
          <t>X: X search (Top): vote buying 2027</t>
        </is>
      </c>
      <c r="F820" s="22" t="inlineStr">
        <is>
          <t>x:X search (Top): vote buying 2027</t>
        </is>
      </c>
      <c r="G820" s="22" t="n">
        <v>0.681</v>
      </c>
      <c r="H820" s="22" t="n">
        <v>0</v>
      </c>
      <c r="I820" s="22" t="n">
        <v>0</v>
      </c>
      <c r="J820" s="22" t="n">
        <v>0</v>
      </c>
      <c r="K820" s="22" t="n">
        <v>1</v>
      </c>
      <c r="L820" s="22" t="n">
        <v>1</v>
      </c>
      <c r="M820" s="22" t="n">
        <v>0</v>
      </c>
      <c r="N820" s="22" t="n">
        <v>0</v>
      </c>
      <c r="O820" s="22" t="n">
        <v>0</v>
      </c>
      <c r="P820" s="22" t="n">
        <v>0</v>
      </c>
      <c r="Q820" s="22" t="n">
        <v>0</v>
      </c>
      <c r="R820" s="22" t="n">
        <v>0</v>
      </c>
      <c r="S820" s="22" t="n">
        <v>0</v>
      </c>
      <c r="T820" s="22" t="n">
        <v>0</v>
      </c>
      <c r="U820" s="3">
        <f>IF(OR(N820=1,Q820=1),1,0)</f>
        <v/>
      </c>
      <c r="V820" s="3">
        <f>IF(OR(T820=1,P820=1),1,0)</f>
        <v/>
      </c>
      <c r="W820" s="3">
        <f>IF(OR(J820=1),1,0)</f>
        <v/>
      </c>
      <c r="X820" s="3">
        <f>IF(OR(I820=1,H820=1),1,0)</f>
        <v/>
      </c>
      <c r="Y820" s="3">
        <f>IF(OR(G820=1),1,0)</f>
        <v/>
      </c>
      <c r="Z820" s="3">
        <f>IF(OR(F820=1),1,0)</f>
        <v/>
      </c>
      <c r="AA820" s="3">
        <f>IF(OR(M820=1),1,0)</f>
        <v/>
      </c>
    </row>
    <row r="821">
      <c r="A821" s="22" t="inlineStr">
        <is>
          <t>e672f8baa47a6d52bf187f2cded0d7b6d8205a9a</t>
        </is>
      </c>
      <c r="B821" s="22" t="inlineStr">
        <is>
          <t>2026-10</t>
        </is>
      </c>
      <c r="C821" s="22" t="inlineStr">
        <is>
          <t>X</t>
        </is>
      </c>
      <c r="D821" s="22" t="n">
        <v>1</v>
      </c>
      <c r="E821" s="22" t="inlineStr">
        <is>
          <t>X: X search (Top): vote buying 2027</t>
        </is>
      </c>
      <c r="F821" s="22" t="inlineStr">
        <is>
          <t>x:X search (Top): vote buying 2027</t>
        </is>
      </c>
      <c r="G821" s="22" t="n">
        <v>0.66</v>
      </c>
      <c r="H821" s="22" t="n">
        <v>0</v>
      </c>
      <c r="I821" s="22" t="n">
        <v>0</v>
      </c>
      <c r="J821" s="22" t="n">
        <v>0</v>
      </c>
      <c r="K821" s="22" t="n">
        <v>0</v>
      </c>
      <c r="L821" s="22" t="n">
        <v>1</v>
      </c>
      <c r="M821" s="22" t="n">
        <v>0</v>
      </c>
      <c r="N821" s="22" t="n">
        <v>0</v>
      </c>
      <c r="O821" s="22" t="n">
        <v>0</v>
      </c>
      <c r="P821" s="22" t="n">
        <v>0</v>
      </c>
      <c r="Q821" s="22" t="n">
        <v>0</v>
      </c>
      <c r="R821" s="22" t="n">
        <v>0</v>
      </c>
      <c r="S821" s="22" t="n">
        <v>0</v>
      </c>
      <c r="T821" s="22" t="n">
        <v>0</v>
      </c>
      <c r="U821" s="3">
        <f>IF(OR(N821=1,Q821=1),1,0)</f>
        <v/>
      </c>
      <c r="V821" s="3">
        <f>IF(OR(T821=1,P821=1),1,0)</f>
        <v/>
      </c>
      <c r="W821" s="3">
        <f>IF(OR(J821=1),1,0)</f>
        <v/>
      </c>
      <c r="X821" s="3">
        <f>IF(OR(I821=1,H821=1),1,0)</f>
        <v/>
      </c>
      <c r="Y821" s="3">
        <f>IF(OR(G821=1),1,0)</f>
        <v/>
      </c>
      <c r="Z821" s="3">
        <f>IF(OR(F821=1),1,0)</f>
        <v/>
      </c>
      <c r="AA821" s="3">
        <f>IF(OR(M821=1),1,0)</f>
        <v/>
      </c>
    </row>
    <row r="822">
      <c r="A822" s="22" t="inlineStr">
        <is>
          <t>405d907ea879bfd230d0a4dfeb37e78720dcbbbf</t>
        </is>
      </c>
      <c r="B822" s="22" t="inlineStr">
        <is>
          <t>2026-08</t>
        </is>
      </c>
      <c r="C822" s="22" t="inlineStr">
        <is>
          <t>X</t>
        </is>
      </c>
      <c r="D822" s="22" t="n">
        <v>1</v>
      </c>
      <c r="E822" s="22" t="inlineStr">
        <is>
          <t>X: X search (Top): vote buying 2027</t>
        </is>
      </c>
      <c r="F822" s="22" t="inlineStr">
        <is>
          <t>x:X search (Top): vote buying 2027</t>
        </is>
      </c>
      <c r="G822" s="22" t="n">
        <v>0.402</v>
      </c>
      <c r="H822" s="22" t="n">
        <v>0</v>
      </c>
      <c r="I822" s="22" t="n">
        <v>0</v>
      </c>
      <c r="J822" s="22" t="n">
        <v>0</v>
      </c>
      <c r="K822" s="22" t="n">
        <v>0</v>
      </c>
      <c r="L822" s="22" t="n">
        <v>1</v>
      </c>
      <c r="M822" s="22" t="n">
        <v>0</v>
      </c>
      <c r="N822" s="22" t="n">
        <v>0</v>
      </c>
      <c r="O822" s="22" t="n">
        <v>0</v>
      </c>
      <c r="P822" s="22" t="n">
        <v>0</v>
      </c>
      <c r="Q822" s="22" t="n">
        <v>0</v>
      </c>
      <c r="R822" s="22" t="n">
        <v>0</v>
      </c>
      <c r="S822" s="22" t="n">
        <v>0</v>
      </c>
      <c r="T822" s="22" t="n">
        <v>0</v>
      </c>
      <c r="U822" s="3">
        <f>IF(OR(N822=1,Q822=1),1,0)</f>
        <v/>
      </c>
      <c r="V822" s="3">
        <f>IF(OR(T822=1,P822=1),1,0)</f>
        <v/>
      </c>
      <c r="W822" s="3">
        <f>IF(OR(J822=1),1,0)</f>
        <v/>
      </c>
      <c r="X822" s="3">
        <f>IF(OR(I822=1,H822=1),1,0)</f>
        <v/>
      </c>
      <c r="Y822" s="3">
        <f>IF(OR(G822=1),1,0)</f>
        <v/>
      </c>
      <c r="Z822" s="3">
        <f>IF(OR(F822=1),1,0)</f>
        <v/>
      </c>
      <c r="AA822" s="3">
        <f>IF(OR(M822=1),1,0)</f>
        <v/>
      </c>
    </row>
    <row r="823">
      <c r="A823" s="22" t="inlineStr">
        <is>
          <t>87819c6bbe751d93c34f29000ec20cbe8ab6791b</t>
        </is>
      </c>
      <c r="B823" s="22" t="inlineStr">
        <is>
          <t>2026-06</t>
        </is>
      </c>
      <c r="C823" s="22" t="inlineStr">
        <is>
          <t>X</t>
        </is>
      </c>
      <c r="D823" s="22" t="n">
        <v>1</v>
      </c>
      <c r="E823" s="22" t="inlineStr">
        <is>
          <t>X: X search (Top): vote buying 2027</t>
        </is>
      </c>
      <c r="F823" s="22" t="inlineStr">
        <is>
          <t>x:X search (Top): vote buying 2027</t>
        </is>
      </c>
      <c r="G823" s="22" t="n">
        <v>0</v>
      </c>
      <c r="H823" s="22" t="n">
        <v>0</v>
      </c>
      <c r="I823" s="22" t="n">
        <v>0</v>
      </c>
      <c r="J823" s="22" t="n">
        <v>0</v>
      </c>
      <c r="K823" s="22" t="n">
        <v>0</v>
      </c>
      <c r="L823" s="22" t="n">
        <v>1</v>
      </c>
      <c r="M823" s="22" t="n">
        <v>0</v>
      </c>
      <c r="N823" s="22" t="n">
        <v>0</v>
      </c>
      <c r="O823" s="22" t="n">
        <v>0</v>
      </c>
      <c r="P823" s="22" t="n">
        <v>0</v>
      </c>
      <c r="Q823" s="22" t="n">
        <v>0</v>
      </c>
      <c r="R823" s="22" t="n">
        <v>0</v>
      </c>
      <c r="S823" s="22" t="n">
        <v>0</v>
      </c>
      <c r="T823" s="22" t="n">
        <v>0</v>
      </c>
      <c r="U823" s="3">
        <f>IF(OR(N823=1,Q823=1),1,0)</f>
        <v/>
      </c>
      <c r="V823" s="3">
        <f>IF(OR(T823=1,P823=1),1,0)</f>
        <v/>
      </c>
      <c r="W823" s="3">
        <f>IF(OR(J823=1),1,0)</f>
        <v/>
      </c>
      <c r="X823" s="3">
        <f>IF(OR(I823=1,H823=1),1,0)</f>
        <v/>
      </c>
      <c r="Y823" s="3">
        <f>IF(OR(G823=1),1,0)</f>
        <v/>
      </c>
      <c r="Z823" s="3">
        <f>IF(OR(F823=1),1,0)</f>
        <v/>
      </c>
      <c r="AA823" s="3">
        <f>IF(OR(M823=1),1,0)</f>
        <v/>
      </c>
    </row>
    <row r="824">
      <c r="A824" s="22" t="inlineStr">
        <is>
          <t>f2181d29c6cd62843016a61edc63de0eff9775ab</t>
        </is>
      </c>
      <c r="B824" s="22" t="inlineStr">
        <is>
          <t>2026-06</t>
        </is>
      </c>
      <c r="C824" s="22" t="inlineStr">
        <is>
          <t>X</t>
        </is>
      </c>
      <c r="D824" s="22" t="n">
        <v>1</v>
      </c>
      <c r="E824" s="22" t="inlineStr">
        <is>
          <t>X: X search (Top): vote buying 2027</t>
        </is>
      </c>
      <c r="F824" s="22" t="inlineStr">
        <is>
          <t>x:X search (Top): vote buying 2027</t>
        </is>
      </c>
      <c r="G824" s="22" t="n">
        <v>-0.765</v>
      </c>
      <c r="H824" s="22" t="n">
        <v>0</v>
      </c>
      <c r="I824" s="22" t="n">
        <v>0</v>
      </c>
      <c r="J824" s="22" t="n">
        <v>0</v>
      </c>
      <c r="K824" s="22" t="n">
        <v>0</v>
      </c>
      <c r="L824" s="22" t="n">
        <v>1</v>
      </c>
      <c r="M824" s="22" t="n">
        <v>1</v>
      </c>
      <c r="N824" s="22" t="n">
        <v>0</v>
      </c>
      <c r="O824" s="22" t="n">
        <v>0</v>
      </c>
      <c r="P824" s="22" t="n">
        <v>1</v>
      </c>
      <c r="Q824" s="22" t="n">
        <v>0</v>
      </c>
      <c r="R824" s="22" t="n">
        <v>0</v>
      </c>
      <c r="S824" s="22" t="n">
        <v>0</v>
      </c>
      <c r="T824" s="22" t="n">
        <v>0</v>
      </c>
      <c r="U824" s="3">
        <f>IF(OR(N824=1,Q824=1),1,0)</f>
        <v/>
      </c>
      <c r="V824" s="3">
        <f>IF(OR(T824=1,P824=1),1,0)</f>
        <v/>
      </c>
      <c r="W824" s="3">
        <f>IF(OR(J824=1),1,0)</f>
        <v/>
      </c>
      <c r="X824" s="3">
        <f>IF(OR(I824=1,H824=1),1,0)</f>
        <v/>
      </c>
      <c r="Y824" s="3">
        <f>IF(OR(G824=1),1,0)</f>
        <v/>
      </c>
      <c r="Z824" s="3">
        <f>IF(OR(F824=1),1,0)</f>
        <v/>
      </c>
      <c r="AA824" s="3">
        <f>IF(OR(M824=1),1,0)</f>
        <v/>
      </c>
    </row>
    <row r="825">
      <c r="A825" s="22" t="inlineStr">
        <is>
          <t>a0c9efe0007af1128e38e555a0400eb7f03f58c3</t>
        </is>
      </c>
      <c r="B825" s="22" t="inlineStr">
        <is>
          <t>2026-02</t>
        </is>
      </c>
      <c r="C825" s="22" t="inlineStr">
        <is>
          <t>X</t>
        </is>
      </c>
      <c r="D825" s="22" t="n">
        <v>1</v>
      </c>
      <c r="E825" s="22" t="inlineStr">
        <is>
          <t>X: X search (Top): vote buying 2027</t>
        </is>
      </c>
      <c r="F825" s="22" t="inlineStr">
        <is>
          <t>x:X search (Top): vote buying 2027</t>
        </is>
      </c>
      <c r="G825" s="22" t="n">
        <v>-0.8179999999999999</v>
      </c>
      <c r="H825" s="22" t="n">
        <v>0</v>
      </c>
      <c r="I825" s="22" t="n">
        <v>0</v>
      </c>
      <c r="J825" s="22" t="n">
        <v>0</v>
      </c>
      <c r="K825" s="22" t="n">
        <v>0</v>
      </c>
      <c r="L825" s="22" t="n">
        <v>1</v>
      </c>
      <c r="M825" s="22" t="n">
        <v>0</v>
      </c>
      <c r="N825" s="22" t="n">
        <v>0</v>
      </c>
      <c r="O825" s="22" t="n">
        <v>0</v>
      </c>
      <c r="P825" s="22" t="n">
        <v>0</v>
      </c>
      <c r="Q825" s="22" t="n">
        <v>0</v>
      </c>
      <c r="R825" s="22" t="n">
        <v>0</v>
      </c>
      <c r="S825" s="22" t="n">
        <v>0</v>
      </c>
      <c r="T825" s="22" t="n">
        <v>0</v>
      </c>
      <c r="U825" s="3">
        <f>IF(OR(N825=1,Q825=1),1,0)</f>
        <v/>
      </c>
      <c r="V825" s="3">
        <f>IF(OR(T825=1,P825=1),1,0)</f>
        <v/>
      </c>
      <c r="W825" s="3">
        <f>IF(OR(J825=1),1,0)</f>
        <v/>
      </c>
      <c r="X825" s="3">
        <f>IF(OR(I825=1,H825=1),1,0)</f>
        <v/>
      </c>
      <c r="Y825" s="3">
        <f>IF(OR(G825=1),1,0)</f>
        <v/>
      </c>
      <c r="Z825" s="3">
        <f>IF(OR(F825=1),1,0)</f>
        <v/>
      </c>
      <c r="AA825" s="3">
        <f>IF(OR(M825=1),1,0)</f>
        <v/>
      </c>
    </row>
    <row r="826">
      <c r="A826" s="22" t="inlineStr">
        <is>
          <t>e198864c0a25839cff5567200ea8afcf33ddc015</t>
        </is>
      </c>
      <c r="B826" s="22" t="inlineStr">
        <is>
          <t>2026-09</t>
        </is>
      </c>
      <c r="C826" s="22" t="inlineStr">
        <is>
          <t>X</t>
        </is>
      </c>
      <c r="D826" s="22" t="n">
        <v>1</v>
      </c>
      <c r="E826" s="22" t="inlineStr">
        <is>
          <t>X: X search (Top): vote buying 2027</t>
        </is>
      </c>
      <c r="F826" s="22" t="inlineStr">
        <is>
          <t>x:X search (Top): vote buying 2027</t>
        </is>
      </c>
      <c r="G826" s="22" t="n">
        <v>-0.681</v>
      </c>
      <c r="H826" s="22" t="n">
        <v>0</v>
      </c>
      <c r="I826" s="22" t="n">
        <v>0</v>
      </c>
      <c r="J826" s="22" t="n">
        <v>1</v>
      </c>
      <c r="K826" s="22" t="n">
        <v>0</v>
      </c>
      <c r="L826" s="22" t="n">
        <v>1</v>
      </c>
      <c r="M826" s="22" t="n">
        <v>1</v>
      </c>
      <c r="N826" s="22" t="n">
        <v>0</v>
      </c>
      <c r="O826" s="22" t="n">
        <v>0</v>
      </c>
      <c r="P826" s="22" t="n">
        <v>0</v>
      </c>
      <c r="Q826" s="22" t="n">
        <v>0</v>
      </c>
      <c r="R826" s="22" t="n">
        <v>0</v>
      </c>
      <c r="S826" s="22" t="n">
        <v>0</v>
      </c>
      <c r="T826" s="22" t="n">
        <v>0</v>
      </c>
      <c r="U826" s="3">
        <f>IF(OR(N826=1,Q826=1),1,0)</f>
        <v/>
      </c>
      <c r="V826" s="3">
        <f>IF(OR(T826=1,P826=1),1,0)</f>
        <v/>
      </c>
      <c r="W826" s="3">
        <f>IF(OR(J826=1),1,0)</f>
        <v/>
      </c>
      <c r="X826" s="3">
        <f>IF(OR(I826=1,H826=1),1,0)</f>
        <v/>
      </c>
      <c r="Y826" s="3">
        <f>IF(OR(G826=1),1,0)</f>
        <v/>
      </c>
      <c r="Z826" s="3">
        <f>IF(OR(F826=1),1,0)</f>
        <v/>
      </c>
      <c r="AA826" s="3">
        <f>IF(OR(M826=1),1,0)</f>
        <v/>
      </c>
    </row>
    <row r="827">
      <c r="A827" s="22" t="inlineStr">
        <is>
          <t>7137f06b040cd1fc3ba30594614e56eaa9a8a5cf</t>
        </is>
      </c>
      <c r="B827" s="22" t="inlineStr">
        <is>
          <t>2026-10</t>
        </is>
      </c>
      <c r="C827" s="22" t="inlineStr">
        <is>
          <t>X</t>
        </is>
      </c>
      <c r="D827" s="22" t="n">
        <v>1</v>
      </c>
      <c r="E827" s="22" t="inlineStr">
        <is>
          <t>X: X search (Top): vote buying 2027</t>
        </is>
      </c>
      <c r="F827" s="22" t="inlineStr">
        <is>
          <t>x:X search (Top): vote buying 2027</t>
        </is>
      </c>
      <c r="G827" s="22" t="n">
        <v>-0.718</v>
      </c>
      <c r="H827" s="22" t="n">
        <v>0</v>
      </c>
      <c r="I827" s="22" t="n">
        <v>0</v>
      </c>
      <c r="J827" s="22" t="n">
        <v>1</v>
      </c>
      <c r="K827" s="22" t="n">
        <v>0</v>
      </c>
      <c r="L827" s="22" t="n">
        <v>1</v>
      </c>
      <c r="M827" s="22" t="n">
        <v>0</v>
      </c>
      <c r="N827" s="22" t="n">
        <v>0</v>
      </c>
      <c r="O827" s="22" t="n">
        <v>0</v>
      </c>
      <c r="P827" s="22" t="n">
        <v>0</v>
      </c>
      <c r="Q827" s="22" t="n">
        <v>0</v>
      </c>
      <c r="R827" s="22" t="n">
        <v>0</v>
      </c>
      <c r="S827" s="22" t="n">
        <v>0</v>
      </c>
      <c r="T827" s="22" t="n">
        <v>0</v>
      </c>
      <c r="U827" s="3">
        <f>IF(OR(N827=1,Q827=1),1,0)</f>
        <v/>
      </c>
      <c r="V827" s="3">
        <f>IF(OR(T827=1,P827=1),1,0)</f>
        <v/>
      </c>
      <c r="W827" s="3">
        <f>IF(OR(J827=1),1,0)</f>
        <v/>
      </c>
      <c r="X827" s="3">
        <f>IF(OR(I827=1,H827=1),1,0)</f>
        <v/>
      </c>
      <c r="Y827" s="3">
        <f>IF(OR(G827=1),1,0)</f>
        <v/>
      </c>
      <c r="Z827" s="3">
        <f>IF(OR(F827=1),1,0)</f>
        <v/>
      </c>
      <c r="AA827" s="3">
        <f>IF(OR(M827=1),1,0)</f>
        <v/>
      </c>
    </row>
    <row r="828">
      <c r="A828" s="22" t="inlineStr">
        <is>
          <t>9c50767c017757088a739eff0f5e033ea58c3421</t>
        </is>
      </c>
      <c r="B828" s="22" t="inlineStr">
        <is>
          <t>2026-10</t>
        </is>
      </c>
      <c r="C828" s="22" t="inlineStr">
        <is>
          <t>X</t>
        </is>
      </c>
      <c r="D828" s="22" t="n">
        <v>1</v>
      </c>
      <c r="E828" s="22" t="inlineStr">
        <is>
          <t>X: X search (Top): vote buying 2027</t>
        </is>
      </c>
      <c r="F828" s="22" t="inlineStr">
        <is>
          <t>x:X search (Top): vote buying 2027</t>
        </is>
      </c>
      <c r="G828" s="22" t="n">
        <v>0.077</v>
      </c>
      <c r="H828" s="22" t="n">
        <v>0</v>
      </c>
      <c r="I828" s="22" t="n">
        <v>0</v>
      </c>
      <c r="J828" s="22" t="n">
        <v>0</v>
      </c>
      <c r="K828" s="22" t="n">
        <v>0</v>
      </c>
      <c r="L828" s="22" t="n">
        <v>0</v>
      </c>
      <c r="M828" s="22" t="n">
        <v>0</v>
      </c>
      <c r="N828" s="22" t="n">
        <v>0</v>
      </c>
      <c r="O828" s="22" t="n">
        <v>0</v>
      </c>
      <c r="P828" s="22" t="n">
        <v>1</v>
      </c>
      <c r="Q828" s="22" t="n">
        <v>0</v>
      </c>
      <c r="R828" s="22" t="n">
        <v>0</v>
      </c>
      <c r="S828" s="22" t="n">
        <v>0</v>
      </c>
      <c r="T828" s="22" t="n">
        <v>0</v>
      </c>
      <c r="U828" s="3">
        <f>IF(OR(N828=1,Q828=1),1,0)</f>
        <v/>
      </c>
      <c r="V828" s="3">
        <f>IF(OR(T828=1,P828=1),1,0)</f>
        <v/>
      </c>
      <c r="W828" s="3">
        <f>IF(OR(J828=1),1,0)</f>
        <v/>
      </c>
      <c r="X828" s="3">
        <f>IF(OR(I828=1,H828=1),1,0)</f>
        <v/>
      </c>
      <c r="Y828" s="3">
        <f>IF(OR(G828=1),1,0)</f>
        <v/>
      </c>
      <c r="Z828" s="3">
        <f>IF(OR(F828=1),1,0)</f>
        <v/>
      </c>
      <c r="AA828" s="3">
        <f>IF(OR(M828=1),1,0)</f>
        <v/>
      </c>
    </row>
    <row r="829">
      <c r="A829" s="22" t="inlineStr">
        <is>
          <t>fae985d110719bd4356ed1ac46d9ffc99aa61fa5</t>
        </is>
      </c>
      <c r="B829" s="22" t="inlineStr">
        <is>
          <t>2025-04</t>
        </is>
      </c>
      <c r="C829" s="22" t="inlineStr">
        <is>
          <t>X</t>
        </is>
      </c>
      <c r="D829" s="22" t="n">
        <v>1</v>
      </c>
      <c r="E829" s="22" t="inlineStr">
        <is>
          <t>X: X search (Top): vote buying 2027</t>
        </is>
      </c>
      <c r="F829" s="22" t="inlineStr">
        <is>
          <t>x:X search (Top): vote buying 2027</t>
        </is>
      </c>
      <c r="G829" s="22" t="n">
        <v>0.586</v>
      </c>
      <c r="H829" s="22" t="n">
        <v>0</v>
      </c>
      <c r="I829" s="22" t="n">
        <v>0</v>
      </c>
      <c r="J829" s="22" t="n">
        <v>0</v>
      </c>
      <c r="K829" s="22" t="n">
        <v>0</v>
      </c>
      <c r="L829" s="22" t="n">
        <v>0</v>
      </c>
      <c r="M829" s="22" t="n">
        <v>0</v>
      </c>
      <c r="N829" s="22" t="n">
        <v>0</v>
      </c>
      <c r="O829" s="22" t="n">
        <v>0</v>
      </c>
      <c r="P829" s="22" t="n">
        <v>1</v>
      </c>
      <c r="Q829" s="22" t="n">
        <v>0</v>
      </c>
      <c r="R829" s="22" t="n">
        <v>0</v>
      </c>
      <c r="S829" s="22" t="n">
        <v>0</v>
      </c>
      <c r="T829" s="22" t="n">
        <v>0</v>
      </c>
      <c r="U829" s="3">
        <f>IF(OR(N829=1,Q829=1),1,0)</f>
        <v/>
      </c>
      <c r="V829" s="3">
        <f>IF(OR(T829=1,P829=1),1,0)</f>
        <v/>
      </c>
      <c r="W829" s="3">
        <f>IF(OR(J829=1),1,0)</f>
        <v/>
      </c>
      <c r="X829" s="3">
        <f>IF(OR(I829=1,H829=1),1,0)</f>
        <v/>
      </c>
      <c r="Y829" s="3">
        <f>IF(OR(G829=1),1,0)</f>
        <v/>
      </c>
      <c r="Z829" s="3">
        <f>IF(OR(F829=1),1,0)</f>
        <v/>
      </c>
      <c r="AA829" s="3">
        <f>IF(OR(M829=1),1,0)</f>
        <v/>
      </c>
    </row>
    <row r="830">
      <c r="A830" s="22" t="inlineStr">
        <is>
          <t>d848f4cf10518cb4b216e5b625fb57ffd97cd9a6</t>
        </is>
      </c>
      <c r="B830" s="22" t="inlineStr">
        <is>
          <t>2026-07</t>
        </is>
      </c>
      <c r="C830" s="22" t="inlineStr">
        <is>
          <t>X</t>
        </is>
      </c>
      <c r="D830" s="22" t="n">
        <v>1</v>
      </c>
      <c r="E830" s="22" t="inlineStr">
        <is>
          <t>X: X search (Top): vote buying 2027</t>
        </is>
      </c>
      <c r="F830" s="22" t="inlineStr">
        <is>
          <t>x:X search (Top): vote buying 2027</t>
        </is>
      </c>
      <c r="G830" s="22" t="n">
        <v>0.612</v>
      </c>
      <c r="H830" s="22" t="n">
        <v>0</v>
      </c>
      <c r="I830" s="22" t="n">
        <v>0</v>
      </c>
      <c r="J830" s="22" t="n">
        <v>0</v>
      </c>
      <c r="K830" s="22" t="n">
        <v>0</v>
      </c>
      <c r="L830" s="22" t="n">
        <v>1</v>
      </c>
      <c r="M830" s="22" t="n">
        <v>0</v>
      </c>
      <c r="N830" s="22" t="n">
        <v>0</v>
      </c>
      <c r="O830" s="22" t="n">
        <v>0</v>
      </c>
      <c r="P830" s="22" t="n">
        <v>0</v>
      </c>
      <c r="Q830" s="22" t="n">
        <v>0</v>
      </c>
      <c r="R830" s="22" t="n">
        <v>0</v>
      </c>
      <c r="S830" s="22" t="n">
        <v>0</v>
      </c>
      <c r="T830" s="22" t="n">
        <v>0</v>
      </c>
      <c r="U830" s="3">
        <f>IF(OR(N830=1,Q830=1),1,0)</f>
        <v/>
      </c>
      <c r="V830" s="3">
        <f>IF(OR(T830=1,P830=1),1,0)</f>
        <v/>
      </c>
      <c r="W830" s="3">
        <f>IF(OR(J830=1),1,0)</f>
        <v/>
      </c>
      <c r="X830" s="3">
        <f>IF(OR(I830=1,H830=1),1,0)</f>
        <v/>
      </c>
      <c r="Y830" s="3">
        <f>IF(OR(G830=1),1,0)</f>
        <v/>
      </c>
      <c r="Z830" s="3">
        <f>IF(OR(F830=1),1,0)</f>
        <v/>
      </c>
      <c r="AA830" s="3">
        <f>IF(OR(M830=1),1,0)</f>
        <v/>
      </c>
    </row>
    <row r="831">
      <c r="A831" s="22" t="inlineStr">
        <is>
          <t>3518f0a93aa18138998ce804a33cef1f0e621b90</t>
        </is>
      </c>
      <c r="B831" s="22" t="inlineStr">
        <is>
          <t>2026-09</t>
        </is>
      </c>
      <c r="C831" s="22" t="inlineStr">
        <is>
          <t>X</t>
        </is>
      </c>
      <c r="D831" s="22" t="n">
        <v>1</v>
      </c>
      <c r="E831" s="22" t="inlineStr">
        <is>
          <t>X: X search (Top): vote buying 2027</t>
        </is>
      </c>
      <c r="F831" s="22" t="inlineStr">
        <is>
          <t>x:X search (Top): vote buying 2027</t>
        </is>
      </c>
      <c r="G831" s="22" t="n">
        <v>-0.888</v>
      </c>
      <c r="H831" s="22" t="n">
        <v>0</v>
      </c>
      <c r="I831" s="22" t="n">
        <v>0</v>
      </c>
      <c r="J831" s="22" t="n">
        <v>0</v>
      </c>
      <c r="K831" s="22" t="n">
        <v>0</v>
      </c>
      <c r="L831" s="22" t="n">
        <v>1</v>
      </c>
      <c r="M831" s="22" t="n">
        <v>0</v>
      </c>
      <c r="N831" s="22" t="n">
        <v>0</v>
      </c>
      <c r="O831" s="22" t="n">
        <v>0</v>
      </c>
      <c r="P831" s="22" t="n">
        <v>0</v>
      </c>
      <c r="Q831" s="22" t="n">
        <v>0</v>
      </c>
      <c r="R831" s="22" t="n">
        <v>0</v>
      </c>
      <c r="S831" s="22" t="n">
        <v>0</v>
      </c>
      <c r="T831" s="22" t="n">
        <v>0</v>
      </c>
      <c r="U831" s="3">
        <f>IF(OR(N831=1,Q831=1),1,0)</f>
        <v/>
      </c>
      <c r="V831" s="3">
        <f>IF(OR(T831=1,P831=1),1,0)</f>
        <v/>
      </c>
      <c r="W831" s="3">
        <f>IF(OR(J831=1),1,0)</f>
        <v/>
      </c>
      <c r="X831" s="3">
        <f>IF(OR(I831=1,H831=1),1,0)</f>
        <v/>
      </c>
      <c r="Y831" s="3">
        <f>IF(OR(G831=1),1,0)</f>
        <v/>
      </c>
      <c r="Z831" s="3">
        <f>IF(OR(F831=1),1,0)</f>
        <v/>
      </c>
      <c r="AA831" s="3">
        <f>IF(OR(M831=1),1,0)</f>
        <v/>
      </c>
    </row>
    <row r="832">
      <c r="A832" s="22" t="inlineStr">
        <is>
          <t>ce4c7f330d71c8d633d9e28d4fc3c9c46e4486fd</t>
        </is>
      </c>
      <c r="B832" s="22" t="inlineStr">
        <is>
          <t>2026-08</t>
        </is>
      </c>
      <c r="C832" s="22" t="inlineStr">
        <is>
          <t>X</t>
        </is>
      </c>
      <c r="D832" s="22" t="n">
        <v>1</v>
      </c>
      <c r="E832" s="22" t="inlineStr">
        <is>
          <t>X: X search (Top): vote buying 2027</t>
        </is>
      </c>
      <c r="F832" s="22" t="inlineStr">
        <is>
          <t>x:X search (Top): vote buying 2027</t>
        </is>
      </c>
      <c r="G832" s="22" t="n">
        <v>-0.954</v>
      </c>
      <c r="H832" s="22" t="n">
        <v>0</v>
      </c>
      <c r="I832" s="22" t="n">
        <v>0</v>
      </c>
      <c r="J832" s="22" t="n">
        <v>0</v>
      </c>
      <c r="K832" s="22" t="n">
        <v>1</v>
      </c>
      <c r="L832" s="22" t="n">
        <v>1</v>
      </c>
      <c r="M832" s="22" t="n">
        <v>0</v>
      </c>
      <c r="N832" s="22" t="n">
        <v>0</v>
      </c>
      <c r="O832" s="22" t="n">
        <v>0</v>
      </c>
      <c r="P832" s="22" t="n">
        <v>0</v>
      </c>
      <c r="Q832" s="22" t="n">
        <v>0</v>
      </c>
      <c r="R832" s="22" t="n">
        <v>0</v>
      </c>
      <c r="S832" s="22" t="n">
        <v>0</v>
      </c>
      <c r="T832" s="22" t="n">
        <v>0</v>
      </c>
      <c r="U832" s="3">
        <f>IF(OR(N832=1,Q832=1),1,0)</f>
        <v/>
      </c>
      <c r="V832" s="3">
        <f>IF(OR(T832=1,P832=1),1,0)</f>
        <v/>
      </c>
      <c r="W832" s="3">
        <f>IF(OR(J832=1),1,0)</f>
        <v/>
      </c>
      <c r="X832" s="3">
        <f>IF(OR(I832=1,H832=1),1,0)</f>
        <v/>
      </c>
      <c r="Y832" s="3">
        <f>IF(OR(G832=1),1,0)</f>
        <v/>
      </c>
      <c r="Z832" s="3">
        <f>IF(OR(F832=1),1,0)</f>
        <v/>
      </c>
      <c r="AA832" s="3">
        <f>IF(OR(M832=1),1,0)</f>
        <v/>
      </c>
    </row>
    <row r="833">
      <c r="A833" s="22" t="inlineStr">
        <is>
          <t>b5460d61b8c2709c12b965e23a59003ad25b688f</t>
        </is>
      </c>
      <c r="B833" s="22" t="inlineStr">
        <is>
          <t>2026-08</t>
        </is>
      </c>
      <c r="C833" s="22" t="inlineStr">
        <is>
          <t>X</t>
        </is>
      </c>
      <c r="D833" s="22" t="n">
        <v>1</v>
      </c>
      <c r="E833" s="22" t="inlineStr">
        <is>
          <t>X: X search (Top): vote buying 2027</t>
        </is>
      </c>
      <c r="F833" s="22" t="inlineStr">
        <is>
          <t>x:X search (Top): vote buying 2027</t>
        </is>
      </c>
      <c r="G833" s="22" t="n">
        <v>0.402</v>
      </c>
      <c r="H833" s="22" t="n">
        <v>0</v>
      </c>
      <c r="I833" s="22" t="n">
        <v>0</v>
      </c>
      <c r="J833" s="22" t="n">
        <v>0</v>
      </c>
      <c r="K833" s="22" t="n">
        <v>0</v>
      </c>
      <c r="L833" s="22" t="n">
        <v>1</v>
      </c>
      <c r="M833" s="22" t="n">
        <v>0</v>
      </c>
      <c r="N833" s="22" t="n">
        <v>0</v>
      </c>
      <c r="O833" s="22" t="n">
        <v>0</v>
      </c>
      <c r="P833" s="22" t="n">
        <v>0</v>
      </c>
      <c r="Q833" s="22" t="n">
        <v>0</v>
      </c>
      <c r="R833" s="22" t="n">
        <v>0</v>
      </c>
      <c r="S833" s="22" t="n">
        <v>0</v>
      </c>
      <c r="T833" s="22" t="n">
        <v>0</v>
      </c>
      <c r="U833" s="3">
        <f>IF(OR(N833=1,Q833=1),1,0)</f>
        <v/>
      </c>
      <c r="V833" s="3">
        <f>IF(OR(T833=1,P833=1),1,0)</f>
        <v/>
      </c>
      <c r="W833" s="3">
        <f>IF(OR(J833=1),1,0)</f>
        <v/>
      </c>
      <c r="X833" s="3">
        <f>IF(OR(I833=1,H833=1),1,0)</f>
        <v/>
      </c>
      <c r="Y833" s="3">
        <f>IF(OR(G833=1),1,0)</f>
        <v/>
      </c>
      <c r="Z833" s="3">
        <f>IF(OR(F833=1),1,0)</f>
        <v/>
      </c>
      <c r="AA833" s="3">
        <f>IF(OR(M833=1),1,0)</f>
        <v/>
      </c>
    </row>
    <row r="834">
      <c r="A834" s="22" t="inlineStr">
        <is>
          <t>e63c2e56e10772d1fdc179c0e157c8e0974c08b6</t>
        </is>
      </c>
      <c r="B834" s="22" t="inlineStr">
        <is>
          <t>2026-08</t>
        </is>
      </c>
      <c r="C834" s="22" t="inlineStr">
        <is>
          <t>X</t>
        </is>
      </c>
      <c r="D834" s="22" t="n">
        <v>1</v>
      </c>
      <c r="E834" s="22" t="inlineStr">
        <is>
          <t>X: X search (Top): vote buying 2027</t>
        </is>
      </c>
      <c r="F834" s="22" t="inlineStr">
        <is>
          <t>x:X search (Top): vote buying 2027</t>
        </is>
      </c>
      <c r="G834" s="22" t="n">
        <v>-0.501</v>
      </c>
      <c r="H834" s="22" t="n">
        <v>1</v>
      </c>
      <c r="I834" s="22" t="n">
        <v>0</v>
      </c>
      <c r="J834" s="22" t="n">
        <v>0</v>
      </c>
      <c r="K834" s="22" t="n">
        <v>0</v>
      </c>
      <c r="L834" s="22" t="n">
        <v>1</v>
      </c>
      <c r="M834" s="22" t="n">
        <v>0</v>
      </c>
      <c r="N834" s="22" t="n">
        <v>0</v>
      </c>
      <c r="O834" s="22" t="n">
        <v>0</v>
      </c>
      <c r="P834" s="22" t="n">
        <v>0</v>
      </c>
      <c r="Q834" s="22" t="n">
        <v>0</v>
      </c>
      <c r="R834" s="22" t="n">
        <v>0</v>
      </c>
      <c r="S834" s="22" t="n">
        <v>0</v>
      </c>
      <c r="T834" s="22" t="n">
        <v>0</v>
      </c>
      <c r="U834" s="3">
        <f>IF(OR(N834=1,Q834=1),1,0)</f>
        <v/>
      </c>
      <c r="V834" s="3">
        <f>IF(OR(T834=1,P834=1),1,0)</f>
        <v/>
      </c>
      <c r="W834" s="3">
        <f>IF(OR(J834=1),1,0)</f>
        <v/>
      </c>
      <c r="X834" s="3">
        <f>IF(OR(I834=1,H834=1),1,0)</f>
        <v/>
      </c>
      <c r="Y834" s="3">
        <f>IF(OR(G834=1),1,0)</f>
        <v/>
      </c>
      <c r="Z834" s="3">
        <f>IF(OR(F834=1),1,0)</f>
        <v/>
      </c>
      <c r="AA834" s="3">
        <f>IF(OR(M834=1),1,0)</f>
        <v/>
      </c>
    </row>
    <row r="835">
      <c r="A835" s="22" t="inlineStr">
        <is>
          <t>534cf0ed050e50b69738161beb4b838f41c0a720</t>
        </is>
      </c>
      <c r="B835" s="22" t="inlineStr">
        <is>
          <t>2026-06</t>
        </is>
      </c>
      <c r="C835" s="22" t="inlineStr">
        <is>
          <t>X</t>
        </is>
      </c>
      <c r="D835" s="22" t="n">
        <v>1</v>
      </c>
      <c r="E835" s="22" t="inlineStr">
        <is>
          <t>X: X search (Top): vote buying 2027</t>
        </is>
      </c>
      <c r="F835" s="22" t="inlineStr">
        <is>
          <t>x:X search (Top): vote buying 2027</t>
        </is>
      </c>
      <c r="G835" s="22" t="n">
        <v>-0.226</v>
      </c>
      <c r="H835" s="22" t="n">
        <v>1</v>
      </c>
      <c r="I835" s="22" t="n">
        <v>0</v>
      </c>
      <c r="J835" s="22" t="n">
        <v>0</v>
      </c>
      <c r="K835" s="22" t="n">
        <v>0</v>
      </c>
      <c r="L835" s="22" t="n">
        <v>1</v>
      </c>
      <c r="M835" s="22" t="n">
        <v>0</v>
      </c>
      <c r="N835" s="22" t="n">
        <v>0</v>
      </c>
      <c r="O835" s="22" t="n">
        <v>0</v>
      </c>
      <c r="P835" s="22" t="n">
        <v>0</v>
      </c>
      <c r="Q835" s="22" t="n">
        <v>0</v>
      </c>
      <c r="R835" s="22" t="n">
        <v>0</v>
      </c>
      <c r="S835" s="22" t="n">
        <v>0</v>
      </c>
      <c r="T835" s="22" t="n">
        <v>0</v>
      </c>
      <c r="U835" s="3">
        <f>IF(OR(N835=1,Q835=1),1,0)</f>
        <v/>
      </c>
      <c r="V835" s="3">
        <f>IF(OR(T835=1,P835=1),1,0)</f>
        <v/>
      </c>
      <c r="W835" s="3">
        <f>IF(OR(J835=1),1,0)</f>
        <v/>
      </c>
      <c r="X835" s="3">
        <f>IF(OR(I835=1,H835=1),1,0)</f>
        <v/>
      </c>
      <c r="Y835" s="3">
        <f>IF(OR(G835=1),1,0)</f>
        <v/>
      </c>
      <c r="Z835" s="3">
        <f>IF(OR(F835=1),1,0)</f>
        <v/>
      </c>
      <c r="AA835" s="3">
        <f>IF(OR(M835=1),1,0)</f>
        <v/>
      </c>
    </row>
    <row r="836">
      <c r="A836" s="22" t="inlineStr">
        <is>
          <t>b5be828b866d61d812fe0f02c527751a3536fe23</t>
        </is>
      </c>
      <c r="B836" s="22" t="inlineStr">
        <is>
          <t>2026-08</t>
        </is>
      </c>
      <c r="C836" s="22" t="inlineStr">
        <is>
          <t>X</t>
        </is>
      </c>
      <c r="D836" s="22" t="n">
        <v>1</v>
      </c>
      <c r="E836" s="22" t="inlineStr">
        <is>
          <t>X: X search (Top): vote buying 2027</t>
        </is>
      </c>
      <c r="F836" s="22" t="inlineStr">
        <is>
          <t>x:X search (Top): vote buying 2027</t>
        </is>
      </c>
      <c r="G836" s="22" t="n">
        <v>-0.718</v>
      </c>
      <c r="H836" s="22" t="n">
        <v>0</v>
      </c>
      <c r="I836" s="22" t="n">
        <v>0</v>
      </c>
      <c r="J836" s="22" t="n">
        <v>0</v>
      </c>
      <c r="K836" s="22" t="n">
        <v>0</v>
      </c>
      <c r="L836" s="22" t="n">
        <v>1</v>
      </c>
      <c r="M836" s="22" t="n">
        <v>0</v>
      </c>
      <c r="N836" s="22" t="n">
        <v>0</v>
      </c>
      <c r="O836" s="22" t="n">
        <v>0</v>
      </c>
      <c r="P836" s="22" t="n">
        <v>0</v>
      </c>
      <c r="Q836" s="22" t="n">
        <v>0</v>
      </c>
      <c r="R836" s="22" t="n">
        <v>0</v>
      </c>
      <c r="S836" s="22" t="n">
        <v>0</v>
      </c>
      <c r="T836" s="22" t="n">
        <v>0</v>
      </c>
      <c r="U836" s="3">
        <f>IF(OR(N836=1,Q836=1),1,0)</f>
        <v/>
      </c>
      <c r="V836" s="3">
        <f>IF(OR(T836=1,P836=1),1,0)</f>
        <v/>
      </c>
      <c r="W836" s="3">
        <f>IF(OR(J836=1),1,0)</f>
        <v/>
      </c>
      <c r="X836" s="3">
        <f>IF(OR(I836=1,H836=1),1,0)</f>
        <v/>
      </c>
      <c r="Y836" s="3">
        <f>IF(OR(G836=1),1,0)</f>
        <v/>
      </c>
      <c r="Z836" s="3">
        <f>IF(OR(F836=1),1,0)</f>
        <v/>
      </c>
      <c r="AA836" s="3">
        <f>IF(OR(M836=1),1,0)</f>
        <v/>
      </c>
    </row>
    <row r="837">
      <c r="A837" s="22" t="inlineStr">
        <is>
          <t>21bd436fcc186ab5b5f6ab90b572820f88b12194</t>
        </is>
      </c>
      <c r="B837" s="22" t="inlineStr">
        <is>
          <t>2025-08</t>
        </is>
      </c>
      <c r="C837" s="22" t="inlineStr">
        <is>
          <t>X</t>
        </is>
      </c>
      <c r="D837" s="22" t="n">
        <v>1</v>
      </c>
      <c r="E837" s="22" t="inlineStr">
        <is>
          <t>X: X search (Top): vote buying 2027</t>
        </is>
      </c>
      <c r="F837" s="22" t="inlineStr">
        <is>
          <t>x:X search (Top): vote buying 2027</t>
        </is>
      </c>
      <c r="G837" s="22" t="n">
        <v>0.508</v>
      </c>
      <c r="H837" s="22" t="n">
        <v>0</v>
      </c>
      <c r="I837" s="22" t="n">
        <v>0</v>
      </c>
      <c r="J837" s="22" t="n">
        <v>0</v>
      </c>
      <c r="K837" s="22" t="n">
        <v>0</v>
      </c>
      <c r="L837" s="22" t="n">
        <v>1</v>
      </c>
      <c r="M837" s="22" t="n">
        <v>0</v>
      </c>
      <c r="N837" s="22" t="n">
        <v>0</v>
      </c>
      <c r="O837" s="22" t="n">
        <v>0</v>
      </c>
      <c r="P837" s="22" t="n">
        <v>1</v>
      </c>
      <c r="Q837" s="22" t="n">
        <v>0</v>
      </c>
      <c r="R837" s="22" t="n">
        <v>0</v>
      </c>
      <c r="S837" s="22" t="n">
        <v>0</v>
      </c>
      <c r="T837" s="22" t="n">
        <v>0</v>
      </c>
      <c r="U837" s="3">
        <f>IF(OR(N837=1,Q837=1),1,0)</f>
        <v/>
      </c>
      <c r="V837" s="3">
        <f>IF(OR(T837=1,P837=1),1,0)</f>
        <v/>
      </c>
      <c r="W837" s="3">
        <f>IF(OR(J837=1),1,0)</f>
        <v/>
      </c>
      <c r="X837" s="3">
        <f>IF(OR(I837=1,H837=1),1,0)</f>
        <v/>
      </c>
      <c r="Y837" s="3">
        <f>IF(OR(G837=1),1,0)</f>
        <v/>
      </c>
      <c r="Z837" s="3">
        <f>IF(OR(F837=1),1,0)</f>
        <v/>
      </c>
      <c r="AA837" s="3">
        <f>IF(OR(M837=1),1,0)</f>
        <v/>
      </c>
    </row>
    <row r="838">
      <c r="A838" s="22" t="inlineStr">
        <is>
          <t>2956cef24d6791df5820db55a3a574ce090e2b4a</t>
        </is>
      </c>
      <c r="B838" s="22" t="inlineStr">
        <is>
          <t>2026-10</t>
        </is>
      </c>
      <c r="C838" s="22" t="inlineStr">
        <is>
          <t>Nairaland</t>
        </is>
      </c>
      <c r="D838" s="22" t="n">
        <v>0</v>
      </c>
      <c r="E838" s="22" t="inlineStr">
        <is>
          <t>Nairaland: Nairaland</t>
        </is>
      </c>
      <c r="F838" s="22" t="inlineStr">
        <is>
          <t>nairaland:Nairaland</t>
        </is>
      </c>
      <c r="G838" s="22" t="n">
        <v>-0.66</v>
      </c>
      <c r="H838" s="22" t="n">
        <v>1</v>
      </c>
      <c r="I838" s="22" t="n">
        <v>0</v>
      </c>
      <c r="J838" s="22" t="n">
        <v>0</v>
      </c>
      <c r="K838" s="22" t="n">
        <v>0</v>
      </c>
      <c r="L838" s="22" t="n">
        <v>0</v>
      </c>
      <c r="M838" s="22" t="n">
        <v>1</v>
      </c>
      <c r="N838" s="22" t="n">
        <v>0</v>
      </c>
      <c r="O838" s="22" t="n">
        <v>0</v>
      </c>
      <c r="P838" s="22" t="n">
        <v>0</v>
      </c>
      <c r="Q838" s="22" t="n">
        <v>0</v>
      </c>
      <c r="R838" s="22" t="n">
        <v>0</v>
      </c>
      <c r="S838" s="22" t="n">
        <v>0</v>
      </c>
      <c r="T838" s="22" t="n">
        <v>0</v>
      </c>
      <c r="U838" s="3">
        <f>IF(OR(N838=1,Q838=1),1,0)</f>
        <v/>
      </c>
      <c r="V838" s="3">
        <f>IF(OR(T838=1,P838=1),1,0)</f>
        <v/>
      </c>
      <c r="W838" s="3">
        <f>IF(OR(J838=1),1,0)</f>
        <v/>
      </c>
      <c r="X838" s="3">
        <f>IF(OR(I838=1,H838=1),1,0)</f>
        <v/>
      </c>
      <c r="Y838" s="3">
        <f>IF(OR(G838=1),1,0)</f>
        <v/>
      </c>
      <c r="Z838" s="3">
        <f>IF(OR(F838=1),1,0)</f>
        <v/>
      </c>
      <c r="AA838" s="3">
        <f>IF(OR(M838=1),1,0)</f>
        <v/>
      </c>
    </row>
    <row r="839">
      <c r="A839" s="22" t="inlineStr">
        <is>
          <t>e75ca0205475a4833f6d4e0629934e36cb4cc960</t>
        </is>
      </c>
      <c r="B839" s="22" t="inlineStr">
        <is>
          <t>2026-10</t>
        </is>
      </c>
      <c r="C839" s="22" t="inlineStr">
        <is>
          <t>Nairaland</t>
        </is>
      </c>
      <c r="D839" s="22" t="n">
        <v>0</v>
      </c>
      <c r="E839" s="22" t="inlineStr">
        <is>
          <t>Nairaland: Nairaland</t>
        </is>
      </c>
      <c r="F839" s="22" t="inlineStr">
        <is>
          <t>nairaland:Nairaland</t>
        </is>
      </c>
      <c r="G839" s="22" t="n">
        <v>-0.153</v>
      </c>
      <c r="H839" s="22" t="n">
        <v>1</v>
      </c>
      <c r="I839" s="22" t="n">
        <v>0</v>
      </c>
      <c r="J839" s="22" t="n">
        <v>0</v>
      </c>
      <c r="K839" s="22" t="n">
        <v>0</v>
      </c>
      <c r="L839" s="22" t="n">
        <v>0</v>
      </c>
      <c r="M839" s="22" t="n">
        <v>0</v>
      </c>
      <c r="N839" s="22" t="n">
        <v>0</v>
      </c>
      <c r="O839" s="22" t="n">
        <v>0</v>
      </c>
      <c r="P839" s="22" t="n">
        <v>0</v>
      </c>
      <c r="Q839" s="22" t="n">
        <v>0</v>
      </c>
      <c r="R839" s="22" t="n">
        <v>0</v>
      </c>
      <c r="S839" s="22" t="n">
        <v>0</v>
      </c>
      <c r="T839" s="22" t="n">
        <v>0</v>
      </c>
      <c r="U839" s="3">
        <f>IF(OR(N839=1,Q839=1),1,0)</f>
        <v/>
      </c>
      <c r="V839" s="3">
        <f>IF(OR(T839=1,P839=1),1,0)</f>
        <v/>
      </c>
      <c r="W839" s="3">
        <f>IF(OR(J839=1),1,0)</f>
        <v/>
      </c>
      <c r="X839" s="3">
        <f>IF(OR(I839=1,H839=1),1,0)</f>
        <v/>
      </c>
      <c r="Y839" s="3">
        <f>IF(OR(G839=1),1,0)</f>
        <v/>
      </c>
      <c r="Z839" s="3">
        <f>IF(OR(F839=1),1,0)</f>
        <v/>
      </c>
      <c r="AA839" s="3">
        <f>IF(OR(M839=1),1,0)</f>
        <v/>
      </c>
    </row>
    <row r="840">
      <c r="A840" s="22" t="inlineStr">
        <is>
          <t>26f89202d1757e08e15f385a7db8fd0c802e0ea3</t>
        </is>
      </c>
      <c r="B840" s="22" t="inlineStr">
        <is>
          <t>2026-10</t>
        </is>
      </c>
      <c r="C840" s="22" t="inlineStr">
        <is>
          <t>Nairaland</t>
        </is>
      </c>
      <c r="D840" s="22" t="n">
        <v>0</v>
      </c>
      <c r="E840" s="22" t="inlineStr">
        <is>
          <t>Nairaland: Nairaland</t>
        </is>
      </c>
      <c r="F840" s="22" t="inlineStr">
        <is>
          <t>nairaland:Nairaland</t>
        </is>
      </c>
      <c r="G840" s="22" t="n">
        <v>-0.823</v>
      </c>
      <c r="H840" s="22" t="n">
        <v>0</v>
      </c>
      <c r="I840" s="22" t="n">
        <v>0</v>
      </c>
      <c r="J840" s="22" t="n">
        <v>0</v>
      </c>
      <c r="K840" s="22" t="n">
        <v>0</v>
      </c>
      <c r="L840" s="22" t="n">
        <v>0</v>
      </c>
      <c r="M840" s="22" t="n">
        <v>1</v>
      </c>
      <c r="N840" s="22" t="n">
        <v>0</v>
      </c>
      <c r="O840" s="22" t="n">
        <v>0</v>
      </c>
      <c r="P840" s="22" t="n">
        <v>0</v>
      </c>
      <c r="Q840" s="22" t="n">
        <v>0</v>
      </c>
      <c r="R840" s="22" t="n">
        <v>0</v>
      </c>
      <c r="S840" s="22" t="n">
        <v>0</v>
      </c>
      <c r="T840" s="22" t="n">
        <v>0</v>
      </c>
      <c r="U840" s="3">
        <f>IF(OR(N840=1,Q840=1),1,0)</f>
        <v/>
      </c>
      <c r="V840" s="3">
        <f>IF(OR(T840=1,P840=1),1,0)</f>
        <v/>
      </c>
      <c r="W840" s="3">
        <f>IF(OR(J840=1),1,0)</f>
        <v/>
      </c>
      <c r="X840" s="3">
        <f>IF(OR(I840=1,H840=1),1,0)</f>
        <v/>
      </c>
      <c r="Y840" s="3">
        <f>IF(OR(G840=1),1,0)</f>
        <v/>
      </c>
      <c r="Z840" s="3">
        <f>IF(OR(F840=1),1,0)</f>
        <v/>
      </c>
      <c r="AA840" s="3">
        <f>IF(OR(M840=1),1,0)</f>
        <v/>
      </c>
    </row>
    <row r="841">
      <c r="A841" s="22" t="inlineStr">
        <is>
          <t>a4b6b5cc517225b2c1aa0c7411d50079ccea3d80</t>
        </is>
      </c>
      <c r="B841" s="22" t="inlineStr">
        <is>
          <t>2026-10</t>
        </is>
      </c>
      <c r="C841" s="22" t="inlineStr">
        <is>
          <t>Nairaland</t>
        </is>
      </c>
      <c r="D841" s="22" t="n">
        <v>0</v>
      </c>
      <c r="E841" s="22" t="inlineStr">
        <is>
          <t>Nairaland: Nairaland</t>
        </is>
      </c>
      <c r="F841" s="22" t="inlineStr">
        <is>
          <t>nairaland:Nairaland</t>
        </is>
      </c>
      <c r="G841" s="22" t="n">
        <v>-0.542</v>
      </c>
      <c r="H841" s="22" t="n">
        <v>1</v>
      </c>
      <c r="I841" s="22" t="n">
        <v>0</v>
      </c>
      <c r="J841" s="22" t="n">
        <v>0</v>
      </c>
      <c r="K841" s="22" t="n">
        <v>0</v>
      </c>
      <c r="L841" s="22" t="n">
        <v>0</v>
      </c>
      <c r="M841" s="22" t="n">
        <v>1</v>
      </c>
      <c r="N841" s="22" t="n">
        <v>0</v>
      </c>
      <c r="O841" s="22" t="n">
        <v>0</v>
      </c>
      <c r="P841" s="22" t="n">
        <v>0</v>
      </c>
      <c r="Q841" s="22" t="n">
        <v>0</v>
      </c>
      <c r="R841" s="22" t="n">
        <v>0</v>
      </c>
      <c r="S841" s="22" t="n">
        <v>0</v>
      </c>
      <c r="T841" s="22" t="n">
        <v>0</v>
      </c>
      <c r="U841" s="3">
        <f>IF(OR(N841=1,Q841=1),1,0)</f>
        <v/>
      </c>
      <c r="V841" s="3">
        <f>IF(OR(T841=1,P841=1),1,0)</f>
        <v/>
      </c>
      <c r="W841" s="3">
        <f>IF(OR(J841=1),1,0)</f>
        <v/>
      </c>
      <c r="X841" s="3">
        <f>IF(OR(I841=1,H841=1),1,0)</f>
        <v/>
      </c>
      <c r="Y841" s="3">
        <f>IF(OR(G841=1),1,0)</f>
        <v/>
      </c>
      <c r="Z841" s="3">
        <f>IF(OR(F841=1),1,0)</f>
        <v/>
      </c>
      <c r="AA841" s="3">
        <f>IF(OR(M841=1),1,0)</f>
        <v/>
      </c>
    </row>
    <row r="842">
      <c r="A842" s="22" t="inlineStr">
        <is>
          <t>d2303600785f1a3858d0634cf775545d360ed585</t>
        </is>
      </c>
      <c r="B842" s="22" t="inlineStr">
        <is>
          <t>2026-10</t>
        </is>
      </c>
      <c r="C842" s="22" t="inlineStr">
        <is>
          <t>Nairaland</t>
        </is>
      </c>
      <c r="D842" s="22" t="n">
        <v>0</v>
      </c>
      <c r="E842" s="22" t="inlineStr">
        <is>
          <t>Nairaland: Nairaland</t>
        </is>
      </c>
      <c r="F842" s="22" t="inlineStr">
        <is>
          <t>nairaland:Nairaland</t>
        </is>
      </c>
      <c r="G842" s="22" t="n">
        <v>-0.542</v>
      </c>
      <c r="H842" s="22" t="n">
        <v>1</v>
      </c>
      <c r="I842" s="22" t="n">
        <v>0</v>
      </c>
      <c r="J842" s="22" t="n">
        <v>0</v>
      </c>
      <c r="K842" s="22" t="n">
        <v>0</v>
      </c>
      <c r="L842" s="22" t="n">
        <v>0</v>
      </c>
      <c r="M842" s="22" t="n">
        <v>0</v>
      </c>
      <c r="N842" s="22" t="n">
        <v>0</v>
      </c>
      <c r="O842" s="22" t="n">
        <v>0</v>
      </c>
      <c r="P842" s="22" t="n">
        <v>0</v>
      </c>
      <c r="Q842" s="22" t="n">
        <v>0</v>
      </c>
      <c r="R842" s="22" t="n">
        <v>0</v>
      </c>
      <c r="S842" s="22" t="n">
        <v>0</v>
      </c>
      <c r="T842" s="22" t="n">
        <v>0</v>
      </c>
      <c r="U842" s="3">
        <f>IF(OR(N842=1,Q842=1),1,0)</f>
        <v/>
      </c>
      <c r="V842" s="3">
        <f>IF(OR(T842=1,P842=1),1,0)</f>
        <v/>
      </c>
      <c r="W842" s="3">
        <f>IF(OR(J842=1),1,0)</f>
        <v/>
      </c>
      <c r="X842" s="3">
        <f>IF(OR(I842=1,H842=1),1,0)</f>
        <v/>
      </c>
      <c r="Y842" s="3">
        <f>IF(OR(G842=1),1,0)</f>
        <v/>
      </c>
      <c r="Z842" s="3">
        <f>IF(OR(F842=1),1,0)</f>
        <v/>
      </c>
      <c r="AA842" s="3">
        <f>IF(OR(M842=1),1,0)</f>
        <v/>
      </c>
    </row>
    <row r="843">
      <c r="A843" s="22" t="inlineStr">
        <is>
          <t>35cf650a1b336efda61d182f03757040670b4a8d</t>
        </is>
      </c>
      <c r="B843" s="22" t="inlineStr">
        <is>
          <t>2026-10</t>
        </is>
      </c>
      <c r="C843" s="22" t="inlineStr">
        <is>
          <t>Nairaland</t>
        </is>
      </c>
      <c r="D843" s="22" t="n">
        <v>0</v>
      </c>
      <c r="E843" s="22" t="inlineStr">
        <is>
          <t>Nairaland: Nairaland</t>
        </is>
      </c>
      <c r="F843" s="22" t="inlineStr">
        <is>
          <t>nairaland:Nairaland</t>
        </is>
      </c>
      <c r="G843" s="22" t="n">
        <v>0.67</v>
      </c>
      <c r="H843" s="22" t="n">
        <v>0</v>
      </c>
      <c r="I843" s="22" t="n">
        <v>0</v>
      </c>
      <c r="J843" s="22" t="n">
        <v>0</v>
      </c>
      <c r="K843" s="22" t="n">
        <v>0</v>
      </c>
      <c r="L843" s="22" t="n">
        <v>0</v>
      </c>
      <c r="M843" s="22" t="n">
        <v>0</v>
      </c>
      <c r="N843" s="22" t="n">
        <v>0</v>
      </c>
      <c r="O843" s="22" t="n">
        <v>0</v>
      </c>
      <c r="P843" s="22" t="n">
        <v>1</v>
      </c>
      <c r="Q843" s="22" t="n">
        <v>0</v>
      </c>
      <c r="R843" s="22" t="n">
        <v>0</v>
      </c>
      <c r="S843" s="22" t="n">
        <v>0</v>
      </c>
      <c r="T843" s="22" t="n">
        <v>0</v>
      </c>
      <c r="U843" s="3">
        <f>IF(OR(N843=1,Q843=1),1,0)</f>
        <v/>
      </c>
      <c r="V843" s="3">
        <f>IF(OR(T843=1,P843=1),1,0)</f>
        <v/>
      </c>
      <c r="W843" s="3">
        <f>IF(OR(J843=1),1,0)</f>
        <v/>
      </c>
      <c r="X843" s="3">
        <f>IF(OR(I843=1,H843=1),1,0)</f>
        <v/>
      </c>
      <c r="Y843" s="3">
        <f>IF(OR(G843=1),1,0)</f>
        <v/>
      </c>
      <c r="Z843" s="3">
        <f>IF(OR(F843=1),1,0)</f>
        <v/>
      </c>
      <c r="AA843" s="3">
        <f>IF(OR(M843=1),1,0)</f>
        <v/>
      </c>
    </row>
    <row r="844">
      <c r="A844" s="22" t="inlineStr">
        <is>
          <t>ede62b66d99065ee765a3befd2cebd6a36a1ab88</t>
        </is>
      </c>
      <c r="B844" s="22" t="inlineStr">
        <is>
          <t>2026-10</t>
        </is>
      </c>
      <c r="C844" s="22" t="inlineStr">
        <is>
          <t>Nairaland</t>
        </is>
      </c>
      <c r="D844" s="22" t="n">
        <v>0</v>
      </c>
      <c r="E844" s="22" t="inlineStr">
        <is>
          <t>Nairaland: Nairaland</t>
        </is>
      </c>
      <c r="F844" s="22" t="inlineStr">
        <is>
          <t>nairaland:Nairaland</t>
        </is>
      </c>
      <c r="G844" s="22" t="n">
        <v>-0.926</v>
      </c>
      <c r="H844" s="22" t="n">
        <v>1</v>
      </c>
      <c r="I844" s="22" t="n">
        <v>0</v>
      </c>
      <c r="J844" s="22" t="n">
        <v>0</v>
      </c>
      <c r="K844" s="22" t="n">
        <v>0</v>
      </c>
      <c r="L844" s="22" t="n">
        <v>0</v>
      </c>
      <c r="M844" s="22" t="n">
        <v>0</v>
      </c>
      <c r="N844" s="22" t="n">
        <v>0</v>
      </c>
      <c r="O844" s="22" t="n">
        <v>0</v>
      </c>
      <c r="P844" s="22" t="n">
        <v>0</v>
      </c>
      <c r="Q844" s="22" t="n">
        <v>0</v>
      </c>
      <c r="R844" s="22" t="n">
        <v>0</v>
      </c>
      <c r="S844" s="22" t="n">
        <v>0</v>
      </c>
      <c r="T844" s="22" t="n">
        <v>0</v>
      </c>
      <c r="U844" s="3">
        <f>IF(OR(N844=1,Q844=1),1,0)</f>
        <v/>
      </c>
      <c r="V844" s="3">
        <f>IF(OR(T844=1,P844=1),1,0)</f>
        <v/>
      </c>
      <c r="W844" s="3">
        <f>IF(OR(J844=1),1,0)</f>
        <v/>
      </c>
      <c r="X844" s="3">
        <f>IF(OR(I844=1,H844=1),1,0)</f>
        <v/>
      </c>
      <c r="Y844" s="3">
        <f>IF(OR(G844=1),1,0)</f>
        <v/>
      </c>
      <c r="Z844" s="3">
        <f>IF(OR(F844=1),1,0)</f>
        <v/>
      </c>
      <c r="AA844" s="3">
        <f>IF(OR(M844=1),1,0)</f>
        <v/>
      </c>
    </row>
    <row r="845">
      <c r="A845" s="22" t="inlineStr">
        <is>
          <t>1dffabaa96f1b09bed9f02cabd7214901e55f644</t>
        </is>
      </c>
      <c r="B845" s="22" t="inlineStr">
        <is>
          <t>2026-10</t>
        </is>
      </c>
      <c r="C845" s="22" t="inlineStr">
        <is>
          <t>Nairaland</t>
        </is>
      </c>
      <c r="D845" s="22" t="n">
        <v>0</v>
      </c>
      <c r="E845" s="22" t="inlineStr">
        <is>
          <t>Nairaland: Nairaland</t>
        </is>
      </c>
      <c r="F845" s="22" t="inlineStr">
        <is>
          <t>nairaland:Nairaland</t>
        </is>
      </c>
      <c r="G845" s="22" t="n">
        <v>-0.892</v>
      </c>
      <c r="H845" s="22" t="n">
        <v>1</v>
      </c>
      <c r="I845" s="22" t="n">
        <v>0</v>
      </c>
      <c r="J845" s="22" t="n">
        <v>0</v>
      </c>
      <c r="K845" s="22" t="n">
        <v>1</v>
      </c>
      <c r="L845" s="22" t="n">
        <v>0</v>
      </c>
      <c r="M845" s="22" t="n">
        <v>0</v>
      </c>
      <c r="N845" s="22" t="n">
        <v>0</v>
      </c>
      <c r="O845" s="22" t="n">
        <v>0</v>
      </c>
      <c r="P845" s="22" t="n">
        <v>0</v>
      </c>
      <c r="Q845" s="22" t="n">
        <v>0</v>
      </c>
      <c r="R845" s="22" t="n">
        <v>0</v>
      </c>
      <c r="S845" s="22" t="n">
        <v>0</v>
      </c>
      <c r="T845" s="22" t="n">
        <v>0</v>
      </c>
      <c r="U845" s="3">
        <f>IF(OR(N845=1,Q845=1),1,0)</f>
        <v/>
      </c>
      <c r="V845" s="3">
        <f>IF(OR(T845=1,P845=1),1,0)</f>
        <v/>
      </c>
      <c r="W845" s="3">
        <f>IF(OR(J845=1),1,0)</f>
        <v/>
      </c>
      <c r="X845" s="3">
        <f>IF(OR(I845=1,H845=1),1,0)</f>
        <v/>
      </c>
      <c r="Y845" s="3">
        <f>IF(OR(G845=1),1,0)</f>
        <v/>
      </c>
      <c r="Z845" s="3">
        <f>IF(OR(F845=1),1,0)</f>
        <v/>
      </c>
      <c r="AA845" s="3">
        <f>IF(OR(M845=1),1,0)</f>
        <v/>
      </c>
    </row>
    <row r="846">
      <c r="A846" s="22" t="inlineStr">
        <is>
          <t>1e6c0cb72cbb085c62f1dbaa8bfcc9cf56148ce4</t>
        </is>
      </c>
      <c r="B846" s="22" t="inlineStr">
        <is>
          <t>2026-10</t>
        </is>
      </c>
      <c r="C846" s="22" t="inlineStr">
        <is>
          <t>Nairaland</t>
        </is>
      </c>
      <c r="D846" s="22" t="n">
        <v>0</v>
      </c>
      <c r="E846" s="22" t="inlineStr">
        <is>
          <t>Nairaland: Nairaland</t>
        </is>
      </c>
      <c r="F846" s="22" t="inlineStr">
        <is>
          <t>nairaland:Nairaland</t>
        </is>
      </c>
      <c r="G846" s="22" t="n">
        <v>-0.778</v>
      </c>
      <c r="H846" s="22" t="n">
        <v>0</v>
      </c>
      <c r="I846" s="22" t="n">
        <v>0</v>
      </c>
      <c r="J846" s="22" t="n">
        <v>0</v>
      </c>
      <c r="K846" s="22" t="n">
        <v>0</v>
      </c>
      <c r="L846" s="22" t="n">
        <v>0</v>
      </c>
      <c r="M846" s="22" t="n">
        <v>1</v>
      </c>
      <c r="N846" s="22" t="n">
        <v>0</v>
      </c>
      <c r="O846" s="22" t="n">
        <v>0</v>
      </c>
      <c r="P846" s="22" t="n">
        <v>0</v>
      </c>
      <c r="Q846" s="22" t="n">
        <v>0</v>
      </c>
      <c r="R846" s="22" t="n">
        <v>0</v>
      </c>
      <c r="S846" s="22" t="n">
        <v>0</v>
      </c>
      <c r="T846" s="22" t="n">
        <v>0</v>
      </c>
      <c r="U846" s="3">
        <f>IF(OR(N846=1,Q846=1),1,0)</f>
        <v/>
      </c>
      <c r="V846" s="3">
        <f>IF(OR(T846=1,P846=1),1,0)</f>
        <v/>
      </c>
      <c r="W846" s="3">
        <f>IF(OR(J846=1),1,0)</f>
        <v/>
      </c>
      <c r="X846" s="3">
        <f>IF(OR(I846=1,H846=1),1,0)</f>
        <v/>
      </c>
      <c r="Y846" s="3">
        <f>IF(OR(G846=1),1,0)</f>
        <v/>
      </c>
      <c r="Z846" s="3">
        <f>IF(OR(F846=1),1,0)</f>
        <v/>
      </c>
      <c r="AA846" s="3">
        <f>IF(OR(M846=1),1,0)</f>
        <v/>
      </c>
    </row>
    <row r="847">
      <c r="A847" s="22" t="inlineStr">
        <is>
          <t>3fbb0d0de7a2c88a1c139c30dcb1fc5d9d42c9fe</t>
        </is>
      </c>
      <c r="B847" s="22" t="inlineStr">
        <is>
          <t>2026-10</t>
        </is>
      </c>
      <c r="C847" s="22" t="inlineStr">
        <is>
          <t>Nairaland</t>
        </is>
      </c>
      <c r="D847" s="22" t="n">
        <v>0</v>
      </c>
      <c r="E847" s="22" t="inlineStr">
        <is>
          <t>Nairaland: Nairaland</t>
        </is>
      </c>
      <c r="F847" s="22" t="inlineStr">
        <is>
          <t>nairaland:Nairaland</t>
        </is>
      </c>
      <c r="G847" s="22" t="n">
        <v>-0.354</v>
      </c>
      <c r="H847" s="22" t="n">
        <v>0</v>
      </c>
      <c r="I847" s="22" t="n">
        <v>0</v>
      </c>
      <c r="J847" s="22" t="n">
        <v>0</v>
      </c>
      <c r="K847" s="22" t="n">
        <v>0</v>
      </c>
      <c r="L847" s="22" t="n">
        <v>0</v>
      </c>
      <c r="M847" s="22" t="n">
        <v>0</v>
      </c>
      <c r="N847" s="22" t="n">
        <v>0</v>
      </c>
      <c r="O847" s="22" t="n">
        <v>0</v>
      </c>
      <c r="P847" s="22" t="n">
        <v>0</v>
      </c>
      <c r="Q847" s="22" t="n">
        <v>0</v>
      </c>
      <c r="R847" s="22" t="n">
        <v>0</v>
      </c>
      <c r="S847" s="22" t="n">
        <v>0</v>
      </c>
      <c r="T847" s="22" t="n">
        <v>0</v>
      </c>
      <c r="U847" s="3">
        <f>IF(OR(N847=1,Q847=1),1,0)</f>
        <v/>
      </c>
      <c r="V847" s="3">
        <f>IF(OR(T847=1,P847=1),1,0)</f>
        <v/>
      </c>
      <c r="W847" s="3">
        <f>IF(OR(J847=1),1,0)</f>
        <v/>
      </c>
      <c r="X847" s="3">
        <f>IF(OR(I847=1,H847=1),1,0)</f>
        <v/>
      </c>
      <c r="Y847" s="3">
        <f>IF(OR(G847=1),1,0)</f>
        <v/>
      </c>
      <c r="Z847" s="3">
        <f>IF(OR(F847=1),1,0)</f>
        <v/>
      </c>
      <c r="AA847" s="3">
        <f>IF(OR(M847=1),1,0)</f>
        <v/>
      </c>
    </row>
    <row r="848">
      <c r="A848" s="22" t="inlineStr">
        <is>
          <t>9dfa9436ebe985e791faf8ec0ba7d54d39ee479e</t>
        </is>
      </c>
      <c r="B848" s="22" t="inlineStr">
        <is>
          <t>2026-10</t>
        </is>
      </c>
      <c r="C848" s="22" t="inlineStr">
        <is>
          <t>Nairaland</t>
        </is>
      </c>
      <c r="D848" s="22" t="n">
        <v>0</v>
      </c>
      <c r="E848" s="22" t="inlineStr">
        <is>
          <t>Nairaland: Nairaland</t>
        </is>
      </c>
      <c r="F848" s="22" t="inlineStr">
        <is>
          <t>nairaland:Nairaland</t>
        </is>
      </c>
      <c r="G848" s="22" t="n">
        <v>0</v>
      </c>
      <c r="H848" s="22" t="n">
        <v>0</v>
      </c>
      <c r="I848" s="22" t="n">
        <v>0</v>
      </c>
      <c r="J848" s="22" t="n">
        <v>0</v>
      </c>
      <c r="K848" s="22" t="n">
        <v>0</v>
      </c>
      <c r="L848" s="22" t="n">
        <v>0</v>
      </c>
      <c r="M848" s="22" t="n">
        <v>0</v>
      </c>
      <c r="N848" s="22" t="n">
        <v>0</v>
      </c>
      <c r="O848" s="22" t="n">
        <v>1</v>
      </c>
      <c r="P848" s="22" t="n">
        <v>0</v>
      </c>
      <c r="Q848" s="22" t="n">
        <v>0</v>
      </c>
      <c r="R848" s="22" t="n">
        <v>0</v>
      </c>
      <c r="S848" s="22" t="n">
        <v>0</v>
      </c>
      <c r="T848" s="22" t="n">
        <v>0</v>
      </c>
      <c r="U848" s="3">
        <f>IF(OR(N848=1,Q848=1),1,0)</f>
        <v/>
      </c>
      <c r="V848" s="3">
        <f>IF(OR(T848=1,P848=1),1,0)</f>
        <v/>
      </c>
      <c r="W848" s="3">
        <f>IF(OR(J848=1),1,0)</f>
        <v/>
      </c>
      <c r="X848" s="3">
        <f>IF(OR(I848=1,H848=1),1,0)</f>
        <v/>
      </c>
      <c r="Y848" s="3">
        <f>IF(OR(G848=1),1,0)</f>
        <v/>
      </c>
      <c r="Z848" s="3">
        <f>IF(OR(F848=1),1,0)</f>
        <v/>
      </c>
      <c r="AA848" s="3">
        <f>IF(OR(M848=1),1,0)</f>
        <v/>
      </c>
    </row>
    <row r="849">
      <c r="A849" s="22" t="inlineStr">
        <is>
          <t>0c68036d9fd629dd2bb174009a8c11ecba58b3ba</t>
        </is>
      </c>
      <c r="B849" s="22" t="inlineStr">
        <is>
          <t>2026-09</t>
        </is>
      </c>
      <c r="C849" s="22" t="inlineStr">
        <is>
          <t>Nairaland</t>
        </is>
      </c>
      <c r="D849" s="22" t="n">
        <v>0</v>
      </c>
      <c r="E849" s="22" t="inlineStr">
        <is>
          <t>Nairaland: Nairaland</t>
        </is>
      </c>
      <c r="F849" s="22" t="inlineStr">
        <is>
          <t>nairaland:Nairaland</t>
        </is>
      </c>
      <c r="G849" s="22" t="n">
        <v>-0.318</v>
      </c>
      <c r="H849" s="22" t="n">
        <v>0</v>
      </c>
      <c r="I849" s="22" t="n">
        <v>0</v>
      </c>
      <c r="J849" s="22" t="n">
        <v>0</v>
      </c>
      <c r="K849" s="22" t="n">
        <v>0</v>
      </c>
      <c r="L849" s="22" t="n">
        <v>0</v>
      </c>
      <c r="M849" s="22" t="n">
        <v>1</v>
      </c>
      <c r="N849" s="22" t="n">
        <v>0</v>
      </c>
      <c r="O849" s="22" t="n">
        <v>0</v>
      </c>
      <c r="P849" s="22" t="n">
        <v>0</v>
      </c>
      <c r="Q849" s="22" t="n">
        <v>0</v>
      </c>
      <c r="R849" s="22" t="n">
        <v>0</v>
      </c>
      <c r="S849" s="22" t="n">
        <v>0</v>
      </c>
      <c r="T849" s="22" t="n">
        <v>0</v>
      </c>
      <c r="U849" s="3">
        <f>IF(OR(N849=1,Q849=1),1,0)</f>
        <v/>
      </c>
      <c r="V849" s="3">
        <f>IF(OR(T849=1,P849=1),1,0)</f>
        <v/>
      </c>
      <c r="W849" s="3">
        <f>IF(OR(J849=1),1,0)</f>
        <v/>
      </c>
      <c r="X849" s="3">
        <f>IF(OR(I849=1,H849=1),1,0)</f>
        <v/>
      </c>
      <c r="Y849" s="3">
        <f>IF(OR(G849=1),1,0)</f>
        <v/>
      </c>
      <c r="Z849" s="3">
        <f>IF(OR(F849=1),1,0)</f>
        <v/>
      </c>
      <c r="AA849" s="3">
        <f>IF(OR(M849=1),1,0)</f>
        <v/>
      </c>
    </row>
    <row r="850">
      <c r="A850" s="22" t="inlineStr">
        <is>
          <t>7b2c80d83a58d4adb2e6c2d8dc4727caabedec1e</t>
        </is>
      </c>
      <c r="B850" s="22" t="inlineStr">
        <is>
          <t>2026-09</t>
        </is>
      </c>
      <c r="C850" s="22" t="inlineStr">
        <is>
          <t>Nairaland</t>
        </is>
      </c>
      <c r="D850" s="22" t="n">
        <v>0</v>
      </c>
      <c r="E850" s="22" t="inlineStr">
        <is>
          <t>Nairaland: Nairaland</t>
        </is>
      </c>
      <c r="F850" s="22" t="inlineStr">
        <is>
          <t>nairaland:Nairaland</t>
        </is>
      </c>
      <c r="G850" s="22" t="n">
        <v>-0.511</v>
      </c>
      <c r="H850" s="22" t="n">
        <v>0</v>
      </c>
      <c r="I850" s="22" t="n">
        <v>0</v>
      </c>
      <c r="J850" s="22" t="n">
        <v>0</v>
      </c>
      <c r="K850" s="22" t="n">
        <v>0</v>
      </c>
      <c r="L850" s="22" t="n">
        <v>0</v>
      </c>
      <c r="M850" s="22" t="n">
        <v>1</v>
      </c>
      <c r="N850" s="22" t="n">
        <v>0</v>
      </c>
      <c r="O850" s="22" t="n">
        <v>0</v>
      </c>
      <c r="P850" s="22" t="n">
        <v>0</v>
      </c>
      <c r="Q850" s="22" t="n">
        <v>0</v>
      </c>
      <c r="R850" s="22" t="n">
        <v>0</v>
      </c>
      <c r="S850" s="22" t="n">
        <v>0</v>
      </c>
      <c r="T850" s="22" t="n">
        <v>0</v>
      </c>
      <c r="U850" s="3">
        <f>IF(OR(N850=1,Q850=1),1,0)</f>
        <v/>
      </c>
      <c r="V850" s="3">
        <f>IF(OR(T850=1,P850=1),1,0)</f>
        <v/>
      </c>
      <c r="W850" s="3">
        <f>IF(OR(J850=1),1,0)</f>
        <v/>
      </c>
      <c r="X850" s="3">
        <f>IF(OR(I850=1,H850=1),1,0)</f>
        <v/>
      </c>
      <c r="Y850" s="3">
        <f>IF(OR(G850=1),1,0)</f>
        <v/>
      </c>
      <c r="Z850" s="3">
        <f>IF(OR(F850=1),1,0)</f>
        <v/>
      </c>
      <c r="AA850" s="3">
        <f>IF(OR(M850=1),1,0)</f>
        <v/>
      </c>
    </row>
    <row r="851">
      <c r="A851" s="22" t="inlineStr">
        <is>
          <t>c55fe1e5bce119230e05725289de97c1be24df3b</t>
        </is>
      </c>
      <c r="B851" s="22" t="inlineStr">
        <is>
          <t>2026-09</t>
        </is>
      </c>
      <c r="C851" s="22" t="inlineStr">
        <is>
          <t>Nairaland</t>
        </is>
      </c>
      <c r="D851" s="22" t="n">
        <v>0</v>
      </c>
      <c r="E851" s="22" t="inlineStr">
        <is>
          <t>Nairaland: Nairaland</t>
        </is>
      </c>
      <c r="F851" s="22" t="inlineStr">
        <is>
          <t>nairaland:Nairaland</t>
        </is>
      </c>
      <c r="G851" s="22" t="n">
        <v>-0.387</v>
      </c>
      <c r="H851" s="22" t="n">
        <v>1</v>
      </c>
      <c r="I851" s="22" t="n">
        <v>0</v>
      </c>
      <c r="J851" s="22" t="n">
        <v>0</v>
      </c>
      <c r="K851" s="22" t="n">
        <v>0</v>
      </c>
      <c r="L851" s="22" t="n">
        <v>0</v>
      </c>
      <c r="M851" s="22" t="n">
        <v>0</v>
      </c>
      <c r="N851" s="22" t="n">
        <v>0</v>
      </c>
      <c r="O851" s="22" t="n">
        <v>0</v>
      </c>
      <c r="P851" s="22" t="n">
        <v>0</v>
      </c>
      <c r="Q851" s="22" t="n">
        <v>0</v>
      </c>
      <c r="R851" s="22" t="n">
        <v>0</v>
      </c>
      <c r="S851" s="22" t="n">
        <v>0</v>
      </c>
      <c r="T851" s="22" t="n">
        <v>0</v>
      </c>
      <c r="U851" s="3">
        <f>IF(OR(N851=1,Q851=1),1,0)</f>
        <v/>
      </c>
      <c r="V851" s="3">
        <f>IF(OR(T851=1,P851=1),1,0)</f>
        <v/>
      </c>
      <c r="W851" s="3">
        <f>IF(OR(J851=1),1,0)</f>
        <v/>
      </c>
      <c r="X851" s="3">
        <f>IF(OR(I851=1,H851=1),1,0)</f>
        <v/>
      </c>
      <c r="Y851" s="3">
        <f>IF(OR(G851=1),1,0)</f>
        <v/>
      </c>
      <c r="Z851" s="3">
        <f>IF(OR(F851=1),1,0)</f>
        <v/>
      </c>
      <c r="AA851" s="3">
        <f>IF(OR(M851=1),1,0)</f>
        <v/>
      </c>
    </row>
    <row r="852">
      <c r="A852" s="22" t="inlineStr">
        <is>
          <t>62cf1e248d637c5f445ecadfafdc356ff6af96d4</t>
        </is>
      </c>
      <c r="B852" s="22" t="inlineStr">
        <is>
          <t>2026-09</t>
        </is>
      </c>
      <c r="C852" s="22" t="inlineStr">
        <is>
          <t>Nairaland</t>
        </is>
      </c>
      <c r="D852" s="22" t="n">
        <v>0</v>
      </c>
      <c r="E852" s="22" t="inlineStr">
        <is>
          <t>Nairaland: Nairaland</t>
        </is>
      </c>
      <c r="F852" s="22" t="inlineStr">
        <is>
          <t>nairaland:Nairaland</t>
        </is>
      </c>
      <c r="G852" s="22" t="n">
        <v>0.414</v>
      </c>
      <c r="H852" s="22" t="n">
        <v>1</v>
      </c>
      <c r="I852" s="22" t="n">
        <v>0</v>
      </c>
      <c r="J852" s="22" t="n">
        <v>0</v>
      </c>
      <c r="K852" s="22" t="n">
        <v>0</v>
      </c>
      <c r="L852" s="22" t="n">
        <v>0</v>
      </c>
      <c r="M852" s="22" t="n">
        <v>0</v>
      </c>
      <c r="N852" s="22" t="n">
        <v>0</v>
      </c>
      <c r="O852" s="22" t="n">
        <v>0</v>
      </c>
      <c r="P852" s="22" t="n">
        <v>0</v>
      </c>
      <c r="Q852" s="22" t="n">
        <v>0</v>
      </c>
      <c r="R852" s="22" t="n">
        <v>0</v>
      </c>
      <c r="S852" s="22" t="n">
        <v>0</v>
      </c>
      <c r="T852" s="22" t="n">
        <v>0</v>
      </c>
      <c r="U852" s="3">
        <f>IF(OR(N852=1,Q852=1),1,0)</f>
        <v/>
      </c>
      <c r="V852" s="3">
        <f>IF(OR(T852=1,P852=1),1,0)</f>
        <v/>
      </c>
      <c r="W852" s="3">
        <f>IF(OR(J852=1),1,0)</f>
        <v/>
      </c>
      <c r="X852" s="3">
        <f>IF(OR(I852=1,H852=1),1,0)</f>
        <v/>
      </c>
      <c r="Y852" s="3">
        <f>IF(OR(G852=1),1,0)</f>
        <v/>
      </c>
      <c r="Z852" s="3">
        <f>IF(OR(F852=1),1,0)</f>
        <v/>
      </c>
      <c r="AA852" s="3">
        <f>IF(OR(M852=1),1,0)</f>
        <v/>
      </c>
    </row>
    <row r="853">
      <c r="A853" s="22" t="inlineStr">
        <is>
          <t>d29217a4fa2742b7244bd1c0c44a24b6b251879d</t>
        </is>
      </c>
      <c r="B853" s="22" t="inlineStr">
        <is>
          <t>2026-09</t>
        </is>
      </c>
      <c r="C853" s="22" t="inlineStr">
        <is>
          <t>Nairaland</t>
        </is>
      </c>
      <c r="D853" s="22" t="n">
        <v>0</v>
      </c>
      <c r="E853" s="22" t="inlineStr">
        <is>
          <t>Nairaland: Nairaland</t>
        </is>
      </c>
      <c r="F853" s="22" t="inlineStr">
        <is>
          <t>nairaland:Nairaland</t>
        </is>
      </c>
      <c r="G853" s="22" t="n">
        <v>-0.649</v>
      </c>
      <c r="H853" s="22" t="n">
        <v>1</v>
      </c>
      <c r="I853" s="22" t="n">
        <v>0</v>
      </c>
      <c r="J853" s="22" t="n">
        <v>0</v>
      </c>
      <c r="K853" s="22" t="n">
        <v>0</v>
      </c>
      <c r="L853" s="22" t="n">
        <v>0</v>
      </c>
      <c r="M853" s="22" t="n">
        <v>0</v>
      </c>
      <c r="N853" s="22" t="n">
        <v>0</v>
      </c>
      <c r="O853" s="22" t="n">
        <v>0</v>
      </c>
      <c r="P853" s="22" t="n">
        <v>0</v>
      </c>
      <c r="Q853" s="22" t="n">
        <v>0</v>
      </c>
      <c r="R853" s="22" t="n">
        <v>0</v>
      </c>
      <c r="S853" s="22" t="n">
        <v>0</v>
      </c>
      <c r="T853" s="22" t="n">
        <v>0</v>
      </c>
      <c r="U853" s="3">
        <f>IF(OR(N853=1,Q853=1),1,0)</f>
        <v/>
      </c>
      <c r="V853" s="3">
        <f>IF(OR(T853=1,P853=1),1,0)</f>
        <v/>
      </c>
      <c r="W853" s="3">
        <f>IF(OR(J853=1),1,0)</f>
        <v/>
      </c>
      <c r="X853" s="3">
        <f>IF(OR(I853=1,H853=1),1,0)</f>
        <v/>
      </c>
      <c r="Y853" s="3">
        <f>IF(OR(G853=1),1,0)</f>
        <v/>
      </c>
      <c r="Z853" s="3">
        <f>IF(OR(F853=1),1,0)</f>
        <v/>
      </c>
      <c r="AA853" s="3">
        <f>IF(OR(M853=1),1,0)</f>
        <v/>
      </c>
    </row>
    <row r="854">
      <c r="A854" s="22" t="inlineStr">
        <is>
          <t>8f56510309a2c4e2228ce58b4754adf2eb13f6e3</t>
        </is>
      </c>
      <c r="B854" s="22" t="inlineStr">
        <is>
          <t>2026-09</t>
        </is>
      </c>
      <c r="C854" s="22" t="inlineStr">
        <is>
          <t>Nairaland</t>
        </is>
      </c>
      <c r="D854" s="22" t="n">
        <v>0</v>
      </c>
      <c r="E854" s="22" t="inlineStr">
        <is>
          <t>Nairaland: Nairaland</t>
        </is>
      </c>
      <c r="F854" s="22" t="inlineStr">
        <is>
          <t>nairaland:Nairaland</t>
        </is>
      </c>
      <c r="G854" s="22" t="n">
        <v>-0.5679999999999999</v>
      </c>
      <c r="H854" s="22" t="n">
        <v>1</v>
      </c>
      <c r="I854" s="22" t="n">
        <v>0</v>
      </c>
      <c r="J854" s="22" t="n">
        <v>0</v>
      </c>
      <c r="K854" s="22" t="n">
        <v>0</v>
      </c>
      <c r="L854" s="22" t="n">
        <v>0</v>
      </c>
      <c r="M854" s="22" t="n">
        <v>1</v>
      </c>
      <c r="N854" s="22" t="n">
        <v>0</v>
      </c>
      <c r="O854" s="22" t="n">
        <v>0</v>
      </c>
      <c r="P854" s="22" t="n">
        <v>0</v>
      </c>
      <c r="Q854" s="22" t="n">
        <v>0</v>
      </c>
      <c r="R854" s="22" t="n">
        <v>0</v>
      </c>
      <c r="S854" s="22" t="n">
        <v>0</v>
      </c>
      <c r="T854" s="22" t="n">
        <v>0</v>
      </c>
      <c r="U854" s="3">
        <f>IF(OR(N854=1,Q854=1),1,0)</f>
        <v/>
      </c>
      <c r="V854" s="3">
        <f>IF(OR(T854=1,P854=1),1,0)</f>
        <v/>
      </c>
      <c r="W854" s="3">
        <f>IF(OR(J854=1),1,0)</f>
        <v/>
      </c>
      <c r="X854" s="3">
        <f>IF(OR(I854=1,H854=1),1,0)</f>
        <v/>
      </c>
      <c r="Y854" s="3">
        <f>IF(OR(G854=1),1,0)</f>
        <v/>
      </c>
      <c r="Z854" s="3">
        <f>IF(OR(F854=1),1,0)</f>
        <v/>
      </c>
      <c r="AA854" s="3">
        <f>IF(OR(M854=1),1,0)</f>
        <v/>
      </c>
    </row>
    <row r="855">
      <c r="A855" s="22" t="inlineStr">
        <is>
          <t>5dd8294e323c0e30069ebc46a7c3524ed38376be</t>
        </is>
      </c>
      <c r="B855" s="22" t="inlineStr">
        <is>
          <t>2026-09</t>
        </is>
      </c>
      <c r="C855" s="22" t="inlineStr">
        <is>
          <t>Nairaland</t>
        </is>
      </c>
      <c r="D855" s="22" t="n">
        <v>0</v>
      </c>
      <c r="E855" s="22" t="inlineStr">
        <is>
          <t>Nairaland: Nairaland</t>
        </is>
      </c>
      <c r="F855" s="22" t="inlineStr">
        <is>
          <t>nairaland:Nairaland</t>
        </is>
      </c>
      <c r="G855" s="22" t="n">
        <v>-0.511</v>
      </c>
      <c r="H855" s="22" t="n">
        <v>0</v>
      </c>
      <c r="I855" s="22" t="n">
        <v>0</v>
      </c>
      <c r="J855" s="22" t="n">
        <v>0</v>
      </c>
      <c r="K855" s="22" t="n">
        <v>0</v>
      </c>
      <c r="L855" s="22" t="n">
        <v>0</v>
      </c>
      <c r="M855" s="22" t="n">
        <v>1</v>
      </c>
      <c r="N855" s="22" t="n">
        <v>0</v>
      </c>
      <c r="O855" s="22" t="n">
        <v>0</v>
      </c>
      <c r="P855" s="22" t="n">
        <v>0</v>
      </c>
      <c r="Q855" s="22" t="n">
        <v>0</v>
      </c>
      <c r="R855" s="22" t="n">
        <v>0</v>
      </c>
      <c r="S855" s="22" t="n">
        <v>0</v>
      </c>
      <c r="T855" s="22" t="n">
        <v>0</v>
      </c>
      <c r="U855" s="3">
        <f>IF(OR(N855=1,Q855=1),1,0)</f>
        <v/>
      </c>
      <c r="V855" s="3">
        <f>IF(OR(T855=1,P855=1),1,0)</f>
        <v/>
      </c>
      <c r="W855" s="3">
        <f>IF(OR(J855=1),1,0)</f>
        <v/>
      </c>
      <c r="X855" s="3">
        <f>IF(OR(I855=1,H855=1),1,0)</f>
        <v/>
      </c>
      <c r="Y855" s="3">
        <f>IF(OR(G855=1),1,0)</f>
        <v/>
      </c>
      <c r="Z855" s="3">
        <f>IF(OR(F855=1),1,0)</f>
        <v/>
      </c>
      <c r="AA855" s="3">
        <f>IF(OR(M855=1),1,0)</f>
        <v/>
      </c>
    </row>
    <row r="856">
      <c r="A856" s="22" t="inlineStr">
        <is>
          <t>098e0f619bb04d2669d83af8e858571bb633025d</t>
        </is>
      </c>
      <c r="B856" s="22" t="inlineStr">
        <is>
          <t>2026-10</t>
        </is>
      </c>
      <c r="C856" s="22" t="inlineStr">
        <is>
          <t>Nairaland</t>
        </is>
      </c>
      <c r="D856" s="22" t="n">
        <v>0</v>
      </c>
      <c r="E856" s="22" t="inlineStr">
        <is>
          <t>Nairaland: Nairaland</t>
        </is>
      </c>
      <c r="F856" s="22" t="inlineStr">
        <is>
          <t>nairaland:Nairaland</t>
        </is>
      </c>
      <c r="G856" s="22" t="n">
        <v>0.742</v>
      </c>
      <c r="H856" s="22" t="n">
        <v>0</v>
      </c>
      <c r="I856" s="22" t="n">
        <v>1</v>
      </c>
      <c r="J856" s="22" t="n">
        <v>0</v>
      </c>
      <c r="K856" s="22" t="n">
        <v>0</v>
      </c>
      <c r="L856" s="22" t="n">
        <v>0</v>
      </c>
      <c r="M856" s="22" t="n">
        <v>0</v>
      </c>
      <c r="N856" s="22" t="n">
        <v>0</v>
      </c>
      <c r="O856" s="22" t="n">
        <v>0</v>
      </c>
      <c r="P856" s="22" t="n">
        <v>0</v>
      </c>
      <c r="Q856" s="22" t="n">
        <v>0</v>
      </c>
      <c r="R856" s="22" t="n">
        <v>0</v>
      </c>
      <c r="S856" s="22" t="n">
        <v>0</v>
      </c>
      <c r="T856" s="22" t="n">
        <v>0</v>
      </c>
      <c r="U856" s="3">
        <f>IF(OR(N856=1,Q856=1),1,0)</f>
        <v/>
      </c>
      <c r="V856" s="3">
        <f>IF(OR(T856=1,P856=1),1,0)</f>
        <v/>
      </c>
      <c r="W856" s="3">
        <f>IF(OR(J856=1),1,0)</f>
        <v/>
      </c>
      <c r="X856" s="3">
        <f>IF(OR(I856=1,H856=1),1,0)</f>
        <v/>
      </c>
      <c r="Y856" s="3">
        <f>IF(OR(G856=1),1,0)</f>
        <v/>
      </c>
      <c r="Z856" s="3">
        <f>IF(OR(F856=1),1,0)</f>
        <v/>
      </c>
      <c r="AA856" s="3">
        <f>IF(OR(M856=1),1,0)</f>
        <v/>
      </c>
    </row>
    <row r="857">
      <c r="A857" s="22" t="inlineStr">
        <is>
          <t>8d06c33864b6148fe363a7f992da25f63291a9ca</t>
        </is>
      </c>
      <c r="B857" s="22" t="inlineStr">
        <is>
          <t>2026-10</t>
        </is>
      </c>
      <c r="C857" s="22" t="inlineStr">
        <is>
          <t>Nairaland</t>
        </is>
      </c>
      <c r="D857" s="22" t="n">
        <v>0</v>
      </c>
      <c r="E857" s="22" t="inlineStr">
        <is>
          <t>Nairaland: Nairaland</t>
        </is>
      </c>
      <c r="F857" s="22" t="inlineStr">
        <is>
          <t>nairaland:Nairaland</t>
        </is>
      </c>
      <c r="G857" s="22" t="n">
        <v>-0.527</v>
      </c>
      <c r="H857" s="22" t="n">
        <v>0</v>
      </c>
      <c r="I857" s="22" t="n">
        <v>0</v>
      </c>
      <c r="J857" s="22" t="n">
        <v>0</v>
      </c>
      <c r="K857" s="22" t="n">
        <v>0</v>
      </c>
      <c r="L857" s="22" t="n">
        <v>0</v>
      </c>
      <c r="M857" s="22" t="n">
        <v>1</v>
      </c>
      <c r="N857" s="22" t="n">
        <v>0</v>
      </c>
      <c r="O857" s="22" t="n">
        <v>0</v>
      </c>
      <c r="P857" s="22" t="n">
        <v>0</v>
      </c>
      <c r="Q857" s="22" t="n">
        <v>0</v>
      </c>
      <c r="R857" s="22" t="n">
        <v>0</v>
      </c>
      <c r="S857" s="22" t="n">
        <v>0</v>
      </c>
      <c r="T857" s="22" t="n">
        <v>0</v>
      </c>
      <c r="U857" s="3">
        <f>IF(OR(N857=1,Q857=1),1,0)</f>
        <v/>
      </c>
      <c r="V857" s="3">
        <f>IF(OR(T857=1,P857=1),1,0)</f>
        <v/>
      </c>
      <c r="W857" s="3">
        <f>IF(OR(J857=1),1,0)</f>
        <v/>
      </c>
      <c r="X857" s="3">
        <f>IF(OR(I857=1,H857=1),1,0)</f>
        <v/>
      </c>
      <c r="Y857" s="3">
        <f>IF(OR(G857=1),1,0)</f>
        <v/>
      </c>
      <c r="Z857" s="3">
        <f>IF(OR(F857=1),1,0)</f>
        <v/>
      </c>
      <c r="AA857" s="3">
        <f>IF(OR(M857=1),1,0)</f>
        <v/>
      </c>
    </row>
    <row r="858">
      <c r="A858" s="22" t="inlineStr">
        <is>
          <t>a5614a011c849724c67e964cbb233fd9f59cc140</t>
        </is>
      </c>
      <c r="B858" s="22" t="inlineStr">
        <is>
          <t>2026-10</t>
        </is>
      </c>
      <c r="C858" s="22" t="inlineStr">
        <is>
          <t>Nairaland</t>
        </is>
      </c>
      <c r="D858" s="22" t="n">
        <v>0</v>
      </c>
      <c r="E858" s="22" t="inlineStr">
        <is>
          <t>Nairaland: Nairaland</t>
        </is>
      </c>
      <c r="F858" s="22" t="inlineStr">
        <is>
          <t>nairaland:Nairaland</t>
        </is>
      </c>
      <c r="G858" s="22" t="n">
        <v>-0.71</v>
      </c>
      <c r="H858" s="22" t="n">
        <v>0</v>
      </c>
      <c r="I858" s="22" t="n">
        <v>0</v>
      </c>
      <c r="J858" s="22" t="n">
        <v>0</v>
      </c>
      <c r="K858" s="22" t="n">
        <v>0</v>
      </c>
      <c r="L858" s="22" t="n">
        <v>0</v>
      </c>
      <c r="M858" s="22" t="n">
        <v>1</v>
      </c>
      <c r="N858" s="22" t="n">
        <v>0</v>
      </c>
      <c r="O858" s="22" t="n">
        <v>0</v>
      </c>
      <c r="P858" s="22" t="n">
        <v>0</v>
      </c>
      <c r="Q858" s="22" t="n">
        <v>0</v>
      </c>
      <c r="R858" s="22" t="n">
        <v>0</v>
      </c>
      <c r="S858" s="22" t="n">
        <v>0</v>
      </c>
      <c r="T858" s="22" t="n">
        <v>0</v>
      </c>
      <c r="U858" s="3">
        <f>IF(OR(N858=1,Q858=1),1,0)</f>
        <v/>
      </c>
      <c r="V858" s="3">
        <f>IF(OR(T858=1,P858=1),1,0)</f>
        <v/>
      </c>
      <c r="W858" s="3">
        <f>IF(OR(J858=1),1,0)</f>
        <v/>
      </c>
      <c r="X858" s="3">
        <f>IF(OR(I858=1,H858=1),1,0)</f>
        <v/>
      </c>
      <c r="Y858" s="3">
        <f>IF(OR(G858=1),1,0)</f>
        <v/>
      </c>
      <c r="Z858" s="3">
        <f>IF(OR(F858=1),1,0)</f>
        <v/>
      </c>
      <c r="AA858" s="3">
        <f>IF(OR(M858=1),1,0)</f>
        <v/>
      </c>
    </row>
    <row r="859">
      <c r="A859" s="22" t="inlineStr">
        <is>
          <t>0d0c95f42ba567b3486b96c1c23e73fee9f4f12f</t>
        </is>
      </c>
      <c r="B859" s="22" t="inlineStr">
        <is>
          <t>2026-10</t>
        </is>
      </c>
      <c r="C859" s="22" t="inlineStr">
        <is>
          <t>Nairaland</t>
        </is>
      </c>
      <c r="D859" s="22" t="n">
        <v>0</v>
      </c>
      <c r="E859" s="22" t="inlineStr">
        <is>
          <t>Nairaland: Nairaland</t>
        </is>
      </c>
      <c r="F859" s="22" t="inlineStr">
        <is>
          <t>nairaland:Nairaland</t>
        </is>
      </c>
      <c r="G859" s="22" t="n">
        <v>0.439</v>
      </c>
      <c r="H859" s="22" t="n">
        <v>0</v>
      </c>
      <c r="I859" s="22" t="n">
        <v>0</v>
      </c>
      <c r="J859" s="22" t="n">
        <v>0</v>
      </c>
      <c r="K859" s="22" t="n">
        <v>0</v>
      </c>
      <c r="L859" s="22" t="n">
        <v>0</v>
      </c>
      <c r="M859" s="22" t="n">
        <v>0</v>
      </c>
      <c r="N859" s="22" t="n">
        <v>0</v>
      </c>
      <c r="O859" s="22" t="n">
        <v>1</v>
      </c>
      <c r="P859" s="22" t="n">
        <v>0</v>
      </c>
      <c r="Q859" s="22" t="n">
        <v>0</v>
      </c>
      <c r="R859" s="22" t="n">
        <v>0</v>
      </c>
      <c r="S859" s="22" t="n">
        <v>0</v>
      </c>
      <c r="T859" s="22" t="n">
        <v>0</v>
      </c>
      <c r="U859" s="3">
        <f>IF(OR(N859=1,Q859=1),1,0)</f>
        <v/>
      </c>
      <c r="V859" s="3">
        <f>IF(OR(T859=1,P859=1),1,0)</f>
        <v/>
      </c>
      <c r="W859" s="3">
        <f>IF(OR(J859=1),1,0)</f>
        <v/>
      </c>
      <c r="X859" s="3">
        <f>IF(OR(I859=1,H859=1),1,0)</f>
        <v/>
      </c>
      <c r="Y859" s="3">
        <f>IF(OR(G859=1),1,0)</f>
        <v/>
      </c>
      <c r="Z859" s="3">
        <f>IF(OR(F859=1),1,0)</f>
        <v/>
      </c>
      <c r="AA859" s="3">
        <f>IF(OR(M859=1),1,0)</f>
        <v/>
      </c>
    </row>
    <row r="860">
      <c r="A860" s="22" t="inlineStr">
        <is>
          <t>892cc118001ce4701f769b5d0dd04eb2a7bbb7b7</t>
        </is>
      </c>
      <c r="B860" s="22" t="inlineStr">
        <is>
          <t>2026-10</t>
        </is>
      </c>
      <c r="C860" s="22" t="inlineStr">
        <is>
          <t>Nairaland</t>
        </is>
      </c>
      <c r="D860" s="22" t="n">
        <v>0</v>
      </c>
      <c r="E860" s="22" t="inlineStr">
        <is>
          <t>Nairaland: Nairaland</t>
        </is>
      </c>
      <c r="F860" s="22" t="inlineStr">
        <is>
          <t>nairaland:Nairaland</t>
        </is>
      </c>
      <c r="G860" s="22" t="n">
        <v>0.625</v>
      </c>
      <c r="H860" s="22" t="n">
        <v>0</v>
      </c>
      <c r="I860" s="22" t="n">
        <v>0</v>
      </c>
      <c r="J860" s="22" t="n">
        <v>0</v>
      </c>
      <c r="K860" s="22" t="n">
        <v>0</v>
      </c>
      <c r="L860" s="22" t="n">
        <v>0</v>
      </c>
      <c r="M860" s="22" t="n">
        <v>0</v>
      </c>
      <c r="N860" s="22" t="n">
        <v>0</v>
      </c>
      <c r="O860" s="22" t="n">
        <v>1</v>
      </c>
      <c r="P860" s="22" t="n">
        <v>0</v>
      </c>
      <c r="Q860" s="22" t="n">
        <v>0</v>
      </c>
      <c r="R860" s="22" t="n">
        <v>0</v>
      </c>
      <c r="S860" s="22" t="n">
        <v>0</v>
      </c>
      <c r="T860" s="22" t="n">
        <v>0</v>
      </c>
      <c r="U860" s="3">
        <f>IF(OR(N860=1,Q860=1),1,0)</f>
        <v/>
      </c>
      <c r="V860" s="3">
        <f>IF(OR(T860=1,P860=1),1,0)</f>
        <v/>
      </c>
      <c r="W860" s="3">
        <f>IF(OR(J860=1),1,0)</f>
        <v/>
      </c>
      <c r="X860" s="3">
        <f>IF(OR(I860=1,H860=1),1,0)</f>
        <v/>
      </c>
      <c r="Y860" s="3">
        <f>IF(OR(G860=1),1,0)</f>
        <v/>
      </c>
      <c r="Z860" s="3">
        <f>IF(OR(F860=1),1,0)</f>
        <v/>
      </c>
      <c r="AA860" s="3">
        <f>IF(OR(M860=1),1,0)</f>
        <v/>
      </c>
    </row>
    <row r="861">
      <c r="A861" s="22" t="inlineStr">
        <is>
          <t>707908c7b7855acfbdfba36ddebc8531bbb21222</t>
        </is>
      </c>
      <c r="B861" s="22" t="inlineStr">
        <is>
          <t>2026-10</t>
        </is>
      </c>
      <c r="C861" s="22" t="inlineStr">
        <is>
          <t>Nairaland</t>
        </is>
      </c>
      <c r="D861" s="22" t="n">
        <v>0</v>
      </c>
      <c r="E861" s="22" t="inlineStr">
        <is>
          <t>Nairaland: Nairaland</t>
        </is>
      </c>
      <c r="F861" s="22" t="inlineStr">
        <is>
          <t>nairaland:Nairaland</t>
        </is>
      </c>
      <c r="G861" s="22" t="n">
        <v>0.586</v>
      </c>
      <c r="H861" s="22" t="n">
        <v>0</v>
      </c>
      <c r="I861" s="22" t="n">
        <v>0</v>
      </c>
      <c r="J861" s="22" t="n">
        <v>0</v>
      </c>
      <c r="K861" s="22" t="n">
        <v>0</v>
      </c>
      <c r="L861" s="22" t="n">
        <v>0</v>
      </c>
      <c r="M861" s="22" t="n">
        <v>0</v>
      </c>
      <c r="N861" s="22" t="n">
        <v>0</v>
      </c>
      <c r="O861" s="22" t="n">
        <v>1</v>
      </c>
      <c r="P861" s="22" t="n">
        <v>0</v>
      </c>
      <c r="Q861" s="22" t="n">
        <v>0</v>
      </c>
      <c r="R861" s="22" t="n">
        <v>0</v>
      </c>
      <c r="S861" s="22" t="n">
        <v>0</v>
      </c>
      <c r="T861" s="22" t="n">
        <v>0</v>
      </c>
      <c r="U861" s="3">
        <f>IF(OR(N861=1,Q861=1),1,0)</f>
        <v/>
      </c>
      <c r="V861" s="3">
        <f>IF(OR(T861=1,P861=1),1,0)</f>
        <v/>
      </c>
      <c r="W861" s="3">
        <f>IF(OR(J861=1),1,0)</f>
        <v/>
      </c>
      <c r="X861" s="3">
        <f>IF(OR(I861=1,H861=1),1,0)</f>
        <v/>
      </c>
      <c r="Y861" s="3">
        <f>IF(OR(G861=1),1,0)</f>
        <v/>
      </c>
      <c r="Z861" s="3">
        <f>IF(OR(F861=1),1,0)</f>
        <v/>
      </c>
      <c r="AA861" s="3">
        <f>IF(OR(M861=1),1,0)</f>
        <v/>
      </c>
    </row>
    <row r="862">
      <c r="A862" s="22" t="inlineStr">
        <is>
          <t>100be3c1dc6887dc10e280f4042bd0f932f51e91</t>
        </is>
      </c>
      <c r="B862" s="22" t="inlineStr">
        <is>
          <t>2026-10</t>
        </is>
      </c>
      <c r="C862" s="22" t="inlineStr">
        <is>
          <t>Nairaland</t>
        </is>
      </c>
      <c r="D862" s="22" t="n">
        <v>0</v>
      </c>
      <c r="E862" s="22" t="inlineStr">
        <is>
          <t>Nairaland: Nairaland</t>
        </is>
      </c>
      <c r="F862" s="22" t="inlineStr">
        <is>
          <t>nairaland:Nairaland</t>
        </is>
      </c>
      <c r="G862" s="22" t="n">
        <v>0.5570000000000001</v>
      </c>
      <c r="H862" s="22" t="n">
        <v>0</v>
      </c>
      <c r="I862" s="22" t="n">
        <v>0</v>
      </c>
      <c r="J862" s="22" t="n">
        <v>0</v>
      </c>
      <c r="K862" s="22" t="n">
        <v>0</v>
      </c>
      <c r="L862" s="22" t="n">
        <v>0</v>
      </c>
      <c r="M862" s="22" t="n">
        <v>0</v>
      </c>
      <c r="N862" s="22" t="n">
        <v>0</v>
      </c>
      <c r="O862" s="22" t="n">
        <v>1</v>
      </c>
      <c r="P862" s="22" t="n">
        <v>0</v>
      </c>
      <c r="Q862" s="22" t="n">
        <v>0</v>
      </c>
      <c r="R862" s="22" t="n">
        <v>0</v>
      </c>
      <c r="S862" s="22" t="n">
        <v>0</v>
      </c>
      <c r="T862" s="22" t="n">
        <v>0</v>
      </c>
      <c r="U862" s="3">
        <f>IF(OR(N862=1,Q862=1),1,0)</f>
        <v/>
      </c>
      <c r="V862" s="3">
        <f>IF(OR(T862=1,P862=1),1,0)</f>
        <v/>
      </c>
      <c r="W862" s="3">
        <f>IF(OR(J862=1),1,0)</f>
        <v/>
      </c>
      <c r="X862" s="3">
        <f>IF(OR(I862=1,H862=1),1,0)</f>
        <v/>
      </c>
      <c r="Y862" s="3">
        <f>IF(OR(G862=1),1,0)</f>
        <v/>
      </c>
      <c r="Z862" s="3">
        <f>IF(OR(F862=1),1,0)</f>
        <v/>
      </c>
      <c r="AA862" s="3">
        <f>IF(OR(M862=1),1,0)</f>
        <v/>
      </c>
    </row>
    <row r="863">
      <c r="A863" s="22" t="inlineStr">
        <is>
          <t>50a123d25a84b6bcaac089ff2308bbba7442d654</t>
        </is>
      </c>
      <c r="B863" s="22" t="inlineStr">
        <is>
          <t>2026-10</t>
        </is>
      </c>
      <c r="C863" s="22" t="inlineStr">
        <is>
          <t>Nairaland</t>
        </is>
      </c>
      <c r="D863" s="22" t="n">
        <v>0</v>
      </c>
      <c r="E863" s="22" t="inlineStr">
        <is>
          <t>Nairaland: Nairaland</t>
        </is>
      </c>
      <c r="F863" s="22" t="inlineStr">
        <is>
          <t>nairaland:Nairaland</t>
        </is>
      </c>
      <c r="G863" s="22" t="n">
        <v>-0.586</v>
      </c>
      <c r="H863" s="22" t="n">
        <v>0</v>
      </c>
      <c r="I863" s="22" t="n">
        <v>0</v>
      </c>
      <c r="J863" s="22" t="n">
        <v>0</v>
      </c>
      <c r="K863" s="22" t="n">
        <v>0</v>
      </c>
      <c r="L863" s="22" t="n">
        <v>0</v>
      </c>
      <c r="M863" s="22" t="n">
        <v>1</v>
      </c>
      <c r="N863" s="22" t="n">
        <v>0</v>
      </c>
      <c r="O863" s="22" t="n">
        <v>1</v>
      </c>
      <c r="P863" s="22" t="n">
        <v>0</v>
      </c>
      <c r="Q863" s="22" t="n">
        <v>0</v>
      </c>
      <c r="R863" s="22" t="n">
        <v>0</v>
      </c>
      <c r="S863" s="22" t="n">
        <v>0</v>
      </c>
      <c r="T863" s="22" t="n">
        <v>0</v>
      </c>
      <c r="U863" s="3">
        <f>IF(OR(N863=1,Q863=1),1,0)</f>
        <v/>
      </c>
      <c r="V863" s="3">
        <f>IF(OR(T863=1,P863=1),1,0)</f>
        <v/>
      </c>
      <c r="W863" s="3">
        <f>IF(OR(J863=1),1,0)</f>
        <v/>
      </c>
      <c r="X863" s="3">
        <f>IF(OR(I863=1,H863=1),1,0)</f>
        <v/>
      </c>
      <c r="Y863" s="3">
        <f>IF(OR(G863=1),1,0)</f>
        <v/>
      </c>
      <c r="Z863" s="3">
        <f>IF(OR(F863=1),1,0)</f>
        <v/>
      </c>
      <c r="AA863" s="3">
        <f>IF(OR(M863=1),1,0)</f>
        <v/>
      </c>
    </row>
    <row r="864">
      <c r="A864" s="22" t="inlineStr">
        <is>
          <t>5c5c0a3ea0f7984b1ea3f6a12e93a228fa01dbd4</t>
        </is>
      </c>
      <c r="B864" s="22" t="inlineStr">
        <is>
          <t>2026-10</t>
        </is>
      </c>
      <c r="C864" s="22" t="inlineStr">
        <is>
          <t>X</t>
        </is>
      </c>
      <c r="D864" s="22" t="n">
        <v>1</v>
      </c>
      <c r="E864" s="22" t="inlineStr">
        <is>
          <t>X: X search (Top): tribunal election Nigeria</t>
        </is>
      </c>
      <c r="F864" s="22" t="inlineStr">
        <is>
          <t>x:X search (Top): tribunal election Nigeria</t>
        </is>
      </c>
      <c r="G864" s="22" t="n">
        <v>-0.875</v>
      </c>
      <c r="H864" s="22" t="n">
        <v>1</v>
      </c>
      <c r="I864" s="22" t="n">
        <v>0</v>
      </c>
      <c r="J864" s="22" t="n">
        <v>0</v>
      </c>
      <c r="K864" s="22" t="n">
        <v>0</v>
      </c>
      <c r="L864" s="22" t="n">
        <v>0</v>
      </c>
      <c r="M864" s="22" t="n">
        <v>0</v>
      </c>
      <c r="N864" s="22" t="n">
        <v>0</v>
      </c>
      <c r="O864" s="22" t="n">
        <v>0</v>
      </c>
      <c r="P864" s="22" t="n">
        <v>0</v>
      </c>
      <c r="Q864" s="22" t="n">
        <v>0</v>
      </c>
      <c r="R864" s="22" t="n">
        <v>0</v>
      </c>
      <c r="S864" s="22" t="n">
        <v>0</v>
      </c>
      <c r="T864" s="22" t="n">
        <v>0</v>
      </c>
      <c r="U864" s="3">
        <f>IF(OR(N864=1,Q864=1),1,0)</f>
        <v/>
      </c>
      <c r="V864" s="3">
        <f>IF(OR(T864=1,P864=1),1,0)</f>
        <v/>
      </c>
      <c r="W864" s="3">
        <f>IF(OR(J864=1),1,0)</f>
        <v/>
      </c>
      <c r="X864" s="3">
        <f>IF(OR(I864=1,H864=1),1,0)</f>
        <v/>
      </c>
      <c r="Y864" s="3">
        <f>IF(OR(G864=1),1,0)</f>
        <v/>
      </c>
      <c r="Z864" s="3">
        <f>IF(OR(F864=1),1,0)</f>
        <v/>
      </c>
      <c r="AA864" s="3">
        <f>IF(OR(M864=1),1,0)</f>
        <v/>
      </c>
    </row>
    <row r="865">
      <c r="A865" s="22" t="inlineStr">
        <is>
          <t>8b80ca8e56f544692b20bb987a94fe21693d8483</t>
        </is>
      </c>
      <c r="B865" s="22" t="inlineStr">
        <is>
          <t>2026-10</t>
        </is>
      </c>
      <c r="C865" s="22" t="inlineStr">
        <is>
          <t>X</t>
        </is>
      </c>
      <c r="D865" s="22" t="n">
        <v>1</v>
      </c>
      <c r="E865" s="22" t="inlineStr">
        <is>
          <t>X: X search (Top): tribunal election Nigeria</t>
        </is>
      </c>
      <c r="F865" s="22" t="inlineStr">
        <is>
          <t>x:X search (Top): tribunal election Nigeria</t>
        </is>
      </c>
      <c r="G865" s="22" t="n">
        <v>-0.617</v>
      </c>
      <c r="H865" s="22" t="n">
        <v>1</v>
      </c>
      <c r="I865" s="22" t="n">
        <v>0</v>
      </c>
      <c r="J865" s="22" t="n">
        <v>0</v>
      </c>
      <c r="K865" s="22" t="n">
        <v>0</v>
      </c>
      <c r="L865" s="22" t="n">
        <v>0</v>
      </c>
      <c r="M865" s="22" t="n">
        <v>0</v>
      </c>
      <c r="N865" s="22" t="n">
        <v>0</v>
      </c>
      <c r="O865" s="22" t="n">
        <v>0</v>
      </c>
      <c r="P865" s="22" t="n">
        <v>0</v>
      </c>
      <c r="Q865" s="22" t="n">
        <v>0</v>
      </c>
      <c r="R865" s="22" t="n">
        <v>0</v>
      </c>
      <c r="S865" s="22" t="n">
        <v>0</v>
      </c>
      <c r="T865" s="22" t="n">
        <v>0</v>
      </c>
      <c r="U865" s="3">
        <f>IF(OR(N865=1,Q865=1),1,0)</f>
        <v/>
      </c>
      <c r="V865" s="3">
        <f>IF(OR(T865=1,P865=1),1,0)</f>
        <v/>
      </c>
      <c r="W865" s="3">
        <f>IF(OR(J865=1),1,0)</f>
        <v/>
      </c>
      <c r="X865" s="3">
        <f>IF(OR(I865=1,H865=1),1,0)</f>
        <v/>
      </c>
      <c r="Y865" s="3">
        <f>IF(OR(G865=1),1,0)</f>
        <v/>
      </c>
      <c r="Z865" s="3">
        <f>IF(OR(F865=1),1,0)</f>
        <v/>
      </c>
      <c r="AA865" s="3">
        <f>IF(OR(M865=1),1,0)</f>
        <v/>
      </c>
    </row>
    <row r="866">
      <c r="A866" s="22" t="inlineStr">
        <is>
          <t>3e3a6d09f47c38dcab0923a7a1ae8e9de7b723e6</t>
        </is>
      </c>
      <c r="B866" s="22" t="inlineStr">
        <is>
          <t>2026-10</t>
        </is>
      </c>
      <c r="C866" s="22" t="inlineStr">
        <is>
          <t>X</t>
        </is>
      </c>
      <c r="D866" s="22" t="n">
        <v>1</v>
      </c>
      <c r="E866" s="22" t="inlineStr">
        <is>
          <t>X: X search (Top): tribunal election Nigeria</t>
        </is>
      </c>
      <c r="F866" s="22" t="inlineStr">
        <is>
          <t>x:X search (Top): tribunal election Nigeria</t>
        </is>
      </c>
      <c r="G866" s="22" t="n">
        <v>-0.625</v>
      </c>
      <c r="H866" s="22" t="n">
        <v>1</v>
      </c>
      <c r="I866" s="22" t="n">
        <v>0</v>
      </c>
      <c r="J866" s="22" t="n">
        <v>0</v>
      </c>
      <c r="K866" s="22" t="n">
        <v>0</v>
      </c>
      <c r="L866" s="22" t="n">
        <v>0</v>
      </c>
      <c r="M866" s="22" t="n">
        <v>0</v>
      </c>
      <c r="N866" s="22" t="n">
        <v>0</v>
      </c>
      <c r="O866" s="22" t="n">
        <v>0</v>
      </c>
      <c r="P866" s="22" t="n">
        <v>0</v>
      </c>
      <c r="Q866" s="22" t="n">
        <v>0</v>
      </c>
      <c r="R866" s="22" t="n">
        <v>0</v>
      </c>
      <c r="S866" s="22" t="n">
        <v>0</v>
      </c>
      <c r="T866" s="22" t="n">
        <v>0</v>
      </c>
      <c r="U866" s="3">
        <f>IF(OR(N866=1,Q866=1),1,0)</f>
        <v/>
      </c>
      <c r="V866" s="3">
        <f>IF(OR(T866=1,P866=1),1,0)</f>
        <v/>
      </c>
      <c r="W866" s="3">
        <f>IF(OR(J866=1),1,0)</f>
        <v/>
      </c>
      <c r="X866" s="3">
        <f>IF(OR(I866=1,H866=1),1,0)</f>
        <v/>
      </c>
      <c r="Y866" s="3">
        <f>IF(OR(G866=1),1,0)</f>
        <v/>
      </c>
      <c r="Z866" s="3">
        <f>IF(OR(F866=1),1,0)</f>
        <v/>
      </c>
      <c r="AA866" s="3">
        <f>IF(OR(M866=1),1,0)</f>
        <v/>
      </c>
    </row>
    <row r="867">
      <c r="A867" s="22" t="inlineStr">
        <is>
          <t>c0d10b5bae90754e7ba6326a64000a840e11f296</t>
        </is>
      </c>
      <c r="B867" s="22" t="inlineStr">
        <is>
          <t>2026-10</t>
        </is>
      </c>
      <c r="C867" s="22" t="inlineStr">
        <is>
          <t>X</t>
        </is>
      </c>
      <c r="D867" s="22" t="n">
        <v>1</v>
      </c>
      <c r="E867" s="22" t="inlineStr">
        <is>
          <t>X: X search (Top): tribunal election Nigeria</t>
        </is>
      </c>
      <c r="F867" s="22" t="inlineStr">
        <is>
          <t>x:X search (Top): tribunal election Nigeria</t>
        </is>
      </c>
      <c r="G867" s="22" t="n">
        <v>-0.482</v>
      </c>
      <c r="H867" s="22" t="n">
        <v>1</v>
      </c>
      <c r="I867" s="22" t="n">
        <v>0</v>
      </c>
      <c r="J867" s="22" t="n">
        <v>0</v>
      </c>
      <c r="K867" s="22" t="n">
        <v>0</v>
      </c>
      <c r="L867" s="22" t="n">
        <v>0</v>
      </c>
      <c r="M867" s="22" t="n">
        <v>0</v>
      </c>
      <c r="N867" s="22" t="n">
        <v>0</v>
      </c>
      <c r="O867" s="22" t="n">
        <v>0</v>
      </c>
      <c r="P867" s="22" t="n">
        <v>0</v>
      </c>
      <c r="Q867" s="22" t="n">
        <v>0</v>
      </c>
      <c r="R867" s="22" t="n">
        <v>0</v>
      </c>
      <c r="S867" s="22" t="n">
        <v>0</v>
      </c>
      <c r="T867" s="22" t="n">
        <v>0</v>
      </c>
      <c r="U867" s="3">
        <f>IF(OR(N867=1,Q867=1),1,0)</f>
        <v/>
      </c>
      <c r="V867" s="3">
        <f>IF(OR(T867=1,P867=1),1,0)</f>
        <v/>
      </c>
      <c r="W867" s="3">
        <f>IF(OR(J867=1),1,0)</f>
        <v/>
      </c>
      <c r="X867" s="3">
        <f>IF(OR(I867=1,H867=1),1,0)</f>
        <v/>
      </c>
      <c r="Y867" s="3">
        <f>IF(OR(G867=1),1,0)</f>
        <v/>
      </c>
      <c r="Z867" s="3">
        <f>IF(OR(F867=1),1,0)</f>
        <v/>
      </c>
      <c r="AA867" s="3">
        <f>IF(OR(M867=1),1,0)</f>
        <v/>
      </c>
    </row>
    <row r="868">
      <c r="A868" s="22" t="inlineStr">
        <is>
          <t>30f59baaeb840417bdcc3230012b54ddffbddc8b</t>
        </is>
      </c>
      <c r="B868" s="22" t="inlineStr">
        <is>
          <t>2026-10</t>
        </is>
      </c>
      <c r="C868" s="22" t="inlineStr">
        <is>
          <t>X</t>
        </is>
      </c>
      <c r="D868" s="22" t="n">
        <v>1</v>
      </c>
      <c r="E868" s="22" t="inlineStr">
        <is>
          <t>X: X search (Top): tribunal election Nigeria</t>
        </is>
      </c>
      <c r="F868" s="22" t="inlineStr">
        <is>
          <t>x:X search (Top): tribunal election Nigeria</t>
        </is>
      </c>
      <c r="G868" s="22" t="n">
        <v>0.319</v>
      </c>
      <c r="H868" s="22" t="n">
        <v>1</v>
      </c>
      <c r="I868" s="22" t="n">
        <v>0</v>
      </c>
      <c r="J868" s="22" t="n">
        <v>0</v>
      </c>
      <c r="K868" s="22" t="n">
        <v>0</v>
      </c>
      <c r="L868" s="22" t="n">
        <v>0</v>
      </c>
      <c r="M868" s="22" t="n">
        <v>0</v>
      </c>
      <c r="N868" s="22" t="n">
        <v>0</v>
      </c>
      <c r="O868" s="22" t="n">
        <v>0</v>
      </c>
      <c r="P868" s="22" t="n">
        <v>0</v>
      </c>
      <c r="Q868" s="22" t="n">
        <v>0</v>
      </c>
      <c r="R868" s="22" t="n">
        <v>0</v>
      </c>
      <c r="S868" s="22" t="n">
        <v>0</v>
      </c>
      <c r="T868" s="22" t="n">
        <v>0</v>
      </c>
      <c r="U868" s="3">
        <f>IF(OR(N868=1,Q868=1),1,0)</f>
        <v/>
      </c>
      <c r="V868" s="3">
        <f>IF(OR(T868=1,P868=1),1,0)</f>
        <v/>
      </c>
      <c r="W868" s="3">
        <f>IF(OR(J868=1),1,0)</f>
        <v/>
      </c>
      <c r="X868" s="3">
        <f>IF(OR(I868=1,H868=1),1,0)</f>
        <v/>
      </c>
      <c r="Y868" s="3">
        <f>IF(OR(G868=1),1,0)</f>
        <v/>
      </c>
      <c r="Z868" s="3">
        <f>IF(OR(F868=1),1,0)</f>
        <v/>
      </c>
      <c r="AA868" s="3">
        <f>IF(OR(M868=1),1,0)</f>
        <v/>
      </c>
    </row>
    <row r="869">
      <c r="A869" s="22" t="inlineStr">
        <is>
          <t>cd517e0383013ffcbf3f48f3456ab47532a086b9</t>
        </is>
      </c>
      <c r="B869" s="22" t="inlineStr">
        <is>
          <t>2026-10</t>
        </is>
      </c>
      <c r="C869" s="22" t="inlineStr">
        <is>
          <t>X</t>
        </is>
      </c>
      <c r="D869" s="22" t="n">
        <v>1</v>
      </c>
      <c r="E869" s="22" t="inlineStr">
        <is>
          <t>X: X search: collation INEC</t>
        </is>
      </c>
      <c r="F869" s="22" t="inlineStr">
        <is>
          <t>x:X search: collation INEC</t>
        </is>
      </c>
      <c r="G869" s="22" t="n">
        <v>-0.591</v>
      </c>
      <c r="H869" s="22" t="n">
        <v>1</v>
      </c>
      <c r="I869" s="22" t="n">
        <v>0</v>
      </c>
      <c r="J869" s="22" t="n">
        <v>0</v>
      </c>
      <c r="K869" s="22" t="n">
        <v>0</v>
      </c>
      <c r="L869" s="22" t="n">
        <v>0</v>
      </c>
      <c r="M869" s="22" t="n">
        <v>1</v>
      </c>
      <c r="N869" s="22" t="n">
        <v>0</v>
      </c>
      <c r="O869" s="22" t="n">
        <v>0</v>
      </c>
      <c r="P869" s="22" t="n">
        <v>0</v>
      </c>
      <c r="Q869" s="22" t="n">
        <v>0</v>
      </c>
      <c r="R869" s="22" t="n">
        <v>0</v>
      </c>
      <c r="S869" s="22" t="n">
        <v>0</v>
      </c>
      <c r="T869" s="22" t="n">
        <v>0</v>
      </c>
      <c r="U869" s="3">
        <f>IF(OR(N869=1,Q869=1),1,0)</f>
        <v/>
      </c>
      <c r="V869" s="3">
        <f>IF(OR(T869=1,P869=1),1,0)</f>
        <v/>
      </c>
      <c r="W869" s="3">
        <f>IF(OR(J869=1),1,0)</f>
        <v/>
      </c>
      <c r="X869" s="3">
        <f>IF(OR(I869=1,H869=1),1,0)</f>
        <v/>
      </c>
      <c r="Y869" s="3">
        <f>IF(OR(G869=1),1,0)</f>
        <v/>
      </c>
      <c r="Z869" s="3">
        <f>IF(OR(F869=1),1,0)</f>
        <v/>
      </c>
      <c r="AA869" s="3">
        <f>IF(OR(M869=1),1,0)</f>
        <v/>
      </c>
    </row>
    <row r="870">
      <c r="A870" s="22" t="inlineStr">
        <is>
          <t>5fc826e7a942b45a6e62f17bb5f726d9e551bf6d</t>
        </is>
      </c>
      <c r="B870" s="22" t="inlineStr">
        <is>
          <t>2026-10</t>
        </is>
      </c>
      <c r="C870" s="22" t="inlineStr">
        <is>
          <t>X</t>
        </is>
      </c>
      <c r="D870" s="22" t="n">
        <v>1</v>
      </c>
      <c r="E870" s="22" t="inlineStr">
        <is>
          <t>X: X search: collation INEC</t>
        </is>
      </c>
      <c r="F870" s="22" t="inlineStr">
        <is>
          <t>x:X search: collation INEC</t>
        </is>
      </c>
      <c r="G870" s="22" t="n">
        <v>0.422</v>
      </c>
      <c r="H870" s="22" t="n">
        <v>1</v>
      </c>
      <c r="I870" s="22" t="n">
        <v>0</v>
      </c>
      <c r="J870" s="22" t="n">
        <v>0</v>
      </c>
      <c r="K870" s="22" t="n">
        <v>0</v>
      </c>
      <c r="L870" s="22" t="n">
        <v>0</v>
      </c>
      <c r="M870" s="22" t="n">
        <v>0</v>
      </c>
      <c r="N870" s="22" t="n">
        <v>0</v>
      </c>
      <c r="O870" s="22" t="n">
        <v>0</v>
      </c>
      <c r="P870" s="22" t="n">
        <v>0</v>
      </c>
      <c r="Q870" s="22" t="n">
        <v>0</v>
      </c>
      <c r="R870" s="22" t="n">
        <v>0</v>
      </c>
      <c r="S870" s="22" t="n">
        <v>0</v>
      </c>
      <c r="T870" s="22" t="n">
        <v>0</v>
      </c>
      <c r="U870" s="3">
        <f>IF(OR(N870=1,Q870=1),1,0)</f>
        <v/>
      </c>
      <c r="V870" s="3">
        <f>IF(OR(T870=1,P870=1),1,0)</f>
        <v/>
      </c>
      <c r="W870" s="3">
        <f>IF(OR(J870=1),1,0)</f>
        <v/>
      </c>
      <c r="X870" s="3">
        <f>IF(OR(I870=1,H870=1),1,0)</f>
        <v/>
      </c>
      <c r="Y870" s="3">
        <f>IF(OR(G870=1),1,0)</f>
        <v/>
      </c>
      <c r="Z870" s="3">
        <f>IF(OR(F870=1),1,0)</f>
        <v/>
      </c>
      <c r="AA870" s="3">
        <f>IF(OR(M870=1),1,0)</f>
        <v/>
      </c>
    </row>
    <row r="871">
      <c r="A871" s="22" t="inlineStr">
        <is>
          <t>34b693599a7753672f3c277b882234997ce7f77b</t>
        </is>
      </c>
      <c r="B871" s="22" t="inlineStr">
        <is>
          <t>2026-10</t>
        </is>
      </c>
      <c r="C871" s="22" t="inlineStr">
        <is>
          <t>X</t>
        </is>
      </c>
      <c r="D871" s="22" t="n">
        <v>1</v>
      </c>
      <c r="E871" s="22" t="inlineStr">
        <is>
          <t>X: X search: collation INEC</t>
        </is>
      </c>
      <c r="F871" s="22" t="inlineStr">
        <is>
          <t>x:X search: collation INEC</t>
        </is>
      </c>
      <c r="G871" s="22" t="n">
        <v>-0.402</v>
      </c>
      <c r="H871" s="22" t="n">
        <v>1</v>
      </c>
      <c r="I871" s="22" t="n">
        <v>0</v>
      </c>
      <c r="J871" s="22" t="n">
        <v>0</v>
      </c>
      <c r="K871" s="22" t="n">
        <v>0</v>
      </c>
      <c r="L871" s="22" t="n">
        <v>0</v>
      </c>
      <c r="M871" s="22" t="n">
        <v>0</v>
      </c>
      <c r="N871" s="22" t="n">
        <v>0</v>
      </c>
      <c r="O871" s="22" t="n">
        <v>0</v>
      </c>
      <c r="P871" s="22" t="n">
        <v>0</v>
      </c>
      <c r="Q871" s="22" t="n">
        <v>0</v>
      </c>
      <c r="R871" s="22" t="n">
        <v>0</v>
      </c>
      <c r="S871" s="22" t="n">
        <v>0</v>
      </c>
      <c r="T871" s="22" t="n">
        <v>0</v>
      </c>
      <c r="U871" s="3">
        <f>IF(OR(N871=1,Q871=1),1,0)</f>
        <v/>
      </c>
      <c r="V871" s="3">
        <f>IF(OR(T871=1,P871=1),1,0)</f>
        <v/>
      </c>
      <c r="W871" s="3">
        <f>IF(OR(J871=1),1,0)</f>
        <v/>
      </c>
      <c r="X871" s="3">
        <f>IF(OR(I871=1,H871=1),1,0)</f>
        <v/>
      </c>
      <c r="Y871" s="3">
        <f>IF(OR(G871=1),1,0)</f>
        <v/>
      </c>
      <c r="Z871" s="3">
        <f>IF(OR(F871=1),1,0)</f>
        <v/>
      </c>
      <c r="AA871" s="3">
        <f>IF(OR(M871=1),1,0)</f>
        <v/>
      </c>
    </row>
    <row r="872">
      <c r="A872" s="22" t="inlineStr">
        <is>
          <t>ca4534adca34d942260448266954d78f1b2383e5</t>
        </is>
      </c>
      <c r="B872" s="22" t="inlineStr">
        <is>
          <t>2026-10</t>
        </is>
      </c>
      <c r="C872" s="22" t="inlineStr">
        <is>
          <t>X</t>
        </is>
      </c>
      <c r="D872" s="22" t="n">
        <v>1</v>
      </c>
      <c r="E872" s="22" t="inlineStr">
        <is>
          <t>X: X search: collation INEC</t>
        </is>
      </c>
      <c r="F872" s="22" t="inlineStr">
        <is>
          <t>x:X search: collation INEC</t>
        </is>
      </c>
      <c r="G872" s="22" t="n">
        <v>0.273</v>
      </c>
      <c r="H872" s="22" t="n">
        <v>0</v>
      </c>
      <c r="I872" s="22" t="n">
        <v>1</v>
      </c>
      <c r="J872" s="22" t="n">
        <v>0</v>
      </c>
      <c r="K872" s="22" t="n">
        <v>0</v>
      </c>
      <c r="L872" s="22" t="n">
        <v>0</v>
      </c>
      <c r="M872" s="22" t="n">
        <v>0</v>
      </c>
      <c r="N872" s="22" t="n">
        <v>0</v>
      </c>
      <c r="O872" s="22" t="n">
        <v>0</v>
      </c>
      <c r="P872" s="22" t="n">
        <v>0</v>
      </c>
      <c r="Q872" s="22" t="n">
        <v>0</v>
      </c>
      <c r="R872" s="22" t="n">
        <v>0</v>
      </c>
      <c r="S872" s="22" t="n">
        <v>0</v>
      </c>
      <c r="T872" s="22" t="n">
        <v>0</v>
      </c>
      <c r="U872" s="3">
        <f>IF(OR(N872=1,Q872=1),1,0)</f>
        <v/>
      </c>
      <c r="V872" s="3">
        <f>IF(OR(T872=1,P872=1),1,0)</f>
        <v/>
      </c>
      <c r="W872" s="3">
        <f>IF(OR(J872=1),1,0)</f>
        <v/>
      </c>
      <c r="X872" s="3">
        <f>IF(OR(I872=1,H872=1),1,0)</f>
        <v/>
      </c>
      <c r="Y872" s="3">
        <f>IF(OR(G872=1),1,0)</f>
        <v/>
      </c>
      <c r="Z872" s="3">
        <f>IF(OR(F872=1),1,0)</f>
        <v/>
      </c>
      <c r="AA872" s="3">
        <f>IF(OR(M872=1),1,0)</f>
        <v/>
      </c>
    </row>
    <row r="873">
      <c r="A873" s="22" t="inlineStr">
        <is>
          <t>72ae3e5e351012456ec744c441e4a305febafc95</t>
        </is>
      </c>
      <c r="B873" s="22" t="inlineStr">
        <is>
          <t>2026-10</t>
        </is>
      </c>
      <c r="C873" s="22" t="inlineStr">
        <is>
          <t>X</t>
        </is>
      </c>
      <c r="D873" s="22" t="n">
        <v>1</v>
      </c>
      <c r="E873" s="22" t="inlineStr">
        <is>
          <t>X: X search: collation INEC</t>
        </is>
      </c>
      <c r="F873" s="22" t="inlineStr">
        <is>
          <t>x:X search: collation INEC</t>
        </is>
      </c>
      <c r="G873" s="22" t="n">
        <v>0.681</v>
      </c>
      <c r="H873" s="22" t="n">
        <v>1</v>
      </c>
      <c r="I873" s="22" t="n">
        <v>0</v>
      </c>
      <c r="J873" s="22" t="n">
        <v>0</v>
      </c>
      <c r="K873" s="22" t="n">
        <v>0</v>
      </c>
      <c r="L873" s="22" t="n">
        <v>0</v>
      </c>
      <c r="M873" s="22" t="n">
        <v>0</v>
      </c>
      <c r="N873" s="22" t="n">
        <v>0</v>
      </c>
      <c r="O873" s="22" t="n">
        <v>0</v>
      </c>
      <c r="P873" s="22" t="n">
        <v>0</v>
      </c>
      <c r="Q873" s="22" t="n">
        <v>0</v>
      </c>
      <c r="R873" s="22" t="n">
        <v>0</v>
      </c>
      <c r="S873" s="22" t="n">
        <v>0</v>
      </c>
      <c r="T873" s="22" t="n">
        <v>0</v>
      </c>
      <c r="U873" s="3">
        <f>IF(OR(N873=1,Q873=1),1,0)</f>
        <v/>
      </c>
      <c r="V873" s="3">
        <f>IF(OR(T873=1,P873=1),1,0)</f>
        <v/>
      </c>
      <c r="W873" s="3">
        <f>IF(OR(J873=1),1,0)</f>
        <v/>
      </c>
      <c r="X873" s="3">
        <f>IF(OR(I873=1,H873=1),1,0)</f>
        <v/>
      </c>
      <c r="Y873" s="3">
        <f>IF(OR(G873=1),1,0)</f>
        <v/>
      </c>
      <c r="Z873" s="3">
        <f>IF(OR(F873=1),1,0)</f>
        <v/>
      </c>
      <c r="AA873" s="3">
        <f>IF(OR(M873=1),1,0)</f>
        <v/>
      </c>
    </row>
    <row r="874">
      <c r="A874" s="22" t="inlineStr">
        <is>
          <t>ffd4cba47f84e2a9cea75f0b749ad4af30f081e4</t>
        </is>
      </c>
      <c r="B874" s="22" t="inlineStr">
        <is>
          <t>2026-10</t>
        </is>
      </c>
      <c r="C874" s="22" t="inlineStr">
        <is>
          <t>X</t>
        </is>
      </c>
      <c r="D874" s="22" t="n">
        <v>1</v>
      </c>
      <c r="E874" s="22" t="inlineStr">
        <is>
          <t>X: X search: collation INEC</t>
        </is>
      </c>
      <c r="F874" s="22" t="inlineStr">
        <is>
          <t>x:X search: collation INEC</t>
        </is>
      </c>
      <c r="G874" s="22" t="n">
        <v>-0.729</v>
      </c>
      <c r="H874" s="22" t="n">
        <v>1</v>
      </c>
      <c r="I874" s="22" t="n">
        <v>0</v>
      </c>
      <c r="J874" s="22" t="n">
        <v>0</v>
      </c>
      <c r="K874" s="22" t="n">
        <v>0</v>
      </c>
      <c r="L874" s="22" t="n">
        <v>0</v>
      </c>
      <c r="M874" s="22" t="n">
        <v>1</v>
      </c>
      <c r="N874" s="22" t="n">
        <v>0</v>
      </c>
      <c r="O874" s="22" t="n">
        <v>0</v>
      </c>
      <c r="P874" s="22" t="n">
        <v>0</v>
      </c>
      <c r="Q874" s="22" t="n">
        <v>0</v>
      </c>
      <c r="R874" s="22" t="n">
        <v>0</v>
      </c>
      <c r="S874" s="22" t="n">
        <v>0</v>
      </c>
      <c r="T874" s="22" t="n">
        <v>0</v>
      </c>
      <c r="U874" s="3">
        <f>IF(OR(N874=1,Q874=1),1,0)</f>
        <v/>
      </c>
      <c r="V874" s="3">
        <f>IF(OR(T874=1,P874=1),1,0)</f>
        <v/>
      </c>
      <c r="W874" s="3">
        <f>IF(OR(J874=1),1,0)</f>
        <v/>
      </c>
      <c r="X874" s="3">
        <f>IF(OR(I874=1,H874=1),1,0)</f>
        <v/>
      </c>
      <c r="Y874" s="3">
        <f>IF(OR(G874=1),1,0)</f>
        <v/>
      </c>
      <c r="Z874" s="3">
        <f>IF(OR(F874=1),1,0)</f>
        <v/>
      </c>
      <c r="AA874" s="3">
        <f>IF(OR(M874=1),1,0)</f>
        <v/>
      </c>
    </row>
    <row r="875">
      <c r="A875" s="22" t="inlineStr">
        <is>
          <t>3e0f8a9e2b966b8d8fdcde0ea23e3afa1193b10f</t>
        </is>
      </c>
      <c r="B875" s="22" t="inlineStr">
        <is>
          <t>2026-10</t>
        </is>
      </c>
      <c r="C875" s="22" t="inlineStr">
        <is>
          <t>X</t>
        </is>
      </c>
      <c r="D875" s="22" t="n">
        <v>1</v>
      </c>
      <c r="E875" s="22" t="inlineStr">
        <is>
          <t>X: X search: collation INEC</t>
        </is>
      </c>
      <c r="F875" s="22" t="inlineStr">
        <is>
          <t>x:X search: collation INEC</t>
        </is>
      </c>
      <c r="G875" s="22" t="n">
        <v>0.527</v>
      </c>
      <c r="H875" s="22" t="n">
        <v>1</v>
      </c>
      <c r="I875" s="22" t="n">
        <v>0</v>
      </c>
      <c r="J875" s="22" t="n">
        <v>0</v>
      </c>
      <c r="K875" s="22" t="n">
        <v>0</v>
      </c>
      <c r="L875" s="22" t="n">
        <v>0</v>
      </c>
      <c r="M875" s="22" t="n">
        <v>0</v>
      </c>
      <c r="N875" s="22" t="n">
        <v>0</v>
      </c>
      <c r="O875" s="22" t="n">
        <v>0</v>
      </c>
      <c r="P875" s="22" t="n">
        <v>0</v>
      </c>
      <c r="Q875" s="22" t="n">
        <v>0</v>
      </c>
      <c r="R875" s="22" t="n">
        <v>0</v>
      </c>
      <c r="S875" s="22" t="n">
        <v>0</v>
      </c>
      <c r="T875" s="22" t="n">
        <v>0</v>
      </c>
      <c r="U875" s="3">
        <f>IF(OR(N875=1,Q875=1),1,0)</f>
        <v/>
      </c>
      <c r="V875" s="3">
        <f>IF(OR(T875=1,P875=1),1,0)</f>
        <v/>
      </c>
      <c r="W875" s="3">
        <f>IF(OR(J875=1),1,0)</f>
        <v/>
      </c>
      <c r="X875" s="3">
        <f>IF(OR(I875=1,H875=1),1,0)</f>
        <v/>
      </c>
      <c r="Y875" s="3">
        <f>IF(OR(G875=1),1,0)</f>
        <v/>
      </c>
      <c r="Z875" s="3">
        <f>IF(OR(F875=1),1,0)</f>
        <v/>
      </c>
      <c r="AA875" s="3">
        <f>IF(OR(M875=1),1,0)</f>
        <v/>
      </c>
    </row>
    <row r="876">
      <c r="A876" s="22" t="inlineStr">
        <is>
          <t>987b517ffec919bbc1a69843854b502fe9982a22</t>
        </is>
      </c>
      <c r="B876" s="22" t="inlineStr">
        <is>
          <t>2026-10</t>
        </is>
      </c>
      <c r="C876" s="22" t="inlineStr">
        <is>
          <t>X</t>
        </is>
      </c>
      <c r="D876" s="22" t="n">
        <v>1</v>
      </c>
      <c r="E876" s="22" t="inlineStr">
        <is>
          <t>X: X search: collation INEC</t>
        </is>
      </c>
      <c r="F876" s="22" t="inlineStr">
        <is>
          <t>x:X search: collation INEC</t>
        </is>
      </c>
      <c r="G876" s="22" t="n">
        <v>0</v>
      </c>
      <c r="H876" s="22" t="n">
        <v>1</v>
      </c>
      <c r="I876" s="22" t="n">
        <v>0</v>
      </c>
      <c r="J876" s="22" t="n">
        <v>0</v>
      </c>
      <c r="K876" s="22" t="n">
        <v>0</v>
      </c>
      <c r="L876" s="22" t="n">
        <v>0</v>
      </c>
      <c r="M876" s="22" t="n">
        <v>0</v>
      </c>
      <c r="N876" s="22" t="n">
        <v>0</v>
      </c>
      <c r="O876" s="22" t="n">
        <v>0</v>
      </c>
      <c r="P876" s="22" t="n">
        <v>1</v>
      </c>
      <c r="Q876" s="22" t="n">
        <v>0</v>
      </c>
      <c r="R876" s="22" t="n">
        <v>0</v>
      </c>
      <c r="S876" s="22" t="n">
        <v>0</v>
      </c>
      <c r="T876" s="22" t="n">
        <v>0</v>
      </c>
      <c r="U876" s="3">
        <f>IF(OR(N876=1,Q876=1),1,0)</f>
        <v/>
      </c>
      <c r="V876" s="3">
        <f>IF(OR(T876=1,P876=1),1,0)</f>
        <v/>
      </c>
      <c r="W876" s="3">
        <f>IF(OR(J876=1),1,0)</f>
        <v/>
      </c>
      <c r="X876" s="3">
        <f>IF(OR(I876=1,H876=1),1,0)</f>
        <v/>
      </c>
      <c r="Y876" s="3">
        <f>IF(OR(G876=1),1,0)</f>
        <v/>
      </c>
      <c r="Z876" s="3">
        <f>IF(OR(F876=1),1,0)</f>
        <v/>
      </c>
      <c r="AA876" s="3">
        <f>IF(OR(M876=1),1,0)</f>
        <v/>
      </c>
    </row>
    <row r="877">
      <c r="A877" s="22" t="inlineStr">
        <is>
          <t>3ce7acc088e7bf25befd1aee011e60bf3a5c66af</t>
        </is>
      </c>
      <c r="B877" s="22" t="inlineStr">
        <is>
          <t>2026-10</t>
        </is>
      </c>
      <c r="C877" s="22" t="inlineStr">
        <is>
          <t>X</t>
        </is>
      </c>
      <c r="D877" s="22" t="n">
        <v>1</v>
      </c>
      <c r="E877" s="22" t="inlineStr">
        <is>
          <t>X: X search: collation INEC</t>
        </is>
      </c>
      <c r="F877" s="22" t="inlineStr">
        <is>
          <t>x:X search: collation INEC</t>
        </is>
      </c>
      <c r="G877" s="22" t="n">
        <v>0.202</v>
      </c>
      <c r="H877" s="22" t="n">
        <v>1</v>
      </c>
      <c r="I877" s="22" t="n">
        <v>0</v>
      </c>
      <c r="J877" s="22" t="n">
        <v>0</v>
      </c>
      <c r="K877" s="22" t="n">
        <v>0</v>
      </c>
      <c r="L877" s="22" t="n">
        <v>0</v>
      </c>
      <c r="M877" s="22" t="n">
        <v>0</v>
      </c>
      <c r="N877" s="22" t="n">
        <v>0</v>
      </c>
      <c r="O877" s="22" t="n">
        <v>0</v>
      </c>
      <c r="P877" s="22" t="n">
        <v>0</v>
      </c>
      <c r="Q877" s="22" t="n">
        <v>0</v>
      </c>
      <c r="R877" s="22" t="n">
        <v>0</v>
      </c>
      <c r="S877" s="22" t="n">
        <v>0</v>
      </c>
      <c r="T877" s="22" t="n">
        <v>0</v>
      </c>
      <c r="U877" s="3">
        <f>IF(OR(N877=1,Q877=1),1,0)</f>
        <v/>
      </c>
      <c r="V877" s="3">
        <f>IF(OR(T877=1,P877=1),1,0)</f>
        <v/>
      </c>
      <c r="W877" s="3">
        <f>IF(OR(J877=1),1,0)</f>
        <v/>
      </c>
      <c r="X877" s="3">
        <f>IF(OR(I877=1,H877=1),1,0)</f>
        <v/>
      </c>
      <c r="Y877" s="3">
        <f>IF(OR(G877=1),1,0)</f>
        <v/>
      </c>
      <c r="Z877" s="3">
        <f>IF(OR(F877=1),1,0)</f>
        <v/>
      </c>
      <c r="AA877" s="3">
        <f>IF(OR(M877=1),1,0)</f>
        <v/>
      </c>
    </row>
    <row r="878">
      <c r="A878" s="22" t="inlineStr">
        <is>
          <t>46700c5512890f0a2996d568335d569fc08afef6</t>
        </is>
      </c>
      <c r="B878" s="22" t="inlineStr">
        <is>
          <t>2026-10</t>
        </is>
      </c>
      <c r="C878" s="22" t="inlineStr">
        <is>
          <t>X</t>
        </is>
      </c>
      <c r="D878" s="22" t="n">
        <v>1</v>
      </c>
      <c r="E878" s="22" t="inlineStr">
        <is>
          <t>X: X search: collation INEC</t>
        </is>
      </c>
      <c r="F878" s="22" t="inlineStr">
        <is>
          <t>x:X search: collation INEC</t>
        </is>
      </c>
      <c r="G878" s="22" t="n">
        <v>-0.852</v>
      </c>
      <c r="H878" s="22" t="n">
        <v>1</v>
      </c>
      <c r="I878" s="22" t="n">
        <v>1</v>
      </c>
      <c r="J878" s="22" t="n">
        <v>0</v>
      </c>
      <c r="K878" s="22" t="n">
        <v>0</v>
      </c>
      <c r="L878" s="22" t="n">
        <v>1</v>
      </c>
      <c r="M878" s="22" t="n">
        <v>1</v>
      </c>
      <c r="N878" s="22" t="n">
        <v>0</v>
      </c>
      <c r="O878" s="22" t="n">
        <v>0</v>
      </c>
      <c r="P878" s="22" t="n">
        <v>0</v>
      </c>
      <c r="Q878" s="22" t="n">
        <v>0</v>
      </c>
      <c r="R878" s="22" t="n">
        <v>0</v>
      </c>
      <c r="S878" s="22" t="n">
        <v>0</v>
      </c>
      <c r="T878" s="22" t="n">
        <v>0</v>
      </c>
      <c r="U878" s="3">
        <f>IF(OR(N878=1,Q878=1),1,0)</f>
        <v/>
      </c>
      <c r="V878" s="3">
        <f>IF(OR(T878=1,P878=1),1,0)</f>
        <v/>
      </c>
      <c r="W878" s="3">
        <f>IF(OR(J878=1),1,0)</f>
        <v/>
      </c>
      <c r="X878" s="3">
        <f>IF(OR(I878=1,H878=1),1,0)</f>
        <v/>
      </c>
      <c r="Y878" s="3">
        <f>IF(OR(G878=1),1,0)</f>
        <v/>
      </c>
      <c r="Z878" s="3">
        <f>IF(OR(F878=1),1,0)</f>
        <v/>
      </c>
      <c r="AA878" s="3">
        <f>IF(OR(M878=1),1,0)</f>
        <v/>
      </c>
    </row>
    <row r="879">
      <c r="A879" s="22" t="inlineStr">
        <is>
          <t>47bf0d20a3d33523926153b3126e86ef03083013</t>
        </is>
      </c>
      <c r="B879" s="22" t="inlineStr">
        <is>
          <t>2026-10</t>
        </is>
      </c>
      <c r="C879" s="22" t="inlineStr">
        <is>
          <t>X</t>
        </is>
      </c>
      <c r="D879" s="22" t="n">
        <v>1</v>
      </c>
      <c r="E879" s="22" t="inlineStr">
        <is>
          <t>X: X search: collation INEC</t>
        </is>
      </c>
      <c r="F879" s="22" t="inlineStr">
        <is>
          <t>x:X search: collation INEC</t>
        </is>
      </c>
      <c r="G879" s="22" t="n">
        <v>0.038</v>
      </c>
      <c r="H879" s="22" t="n">
        <v>1</v>
      </c>
      <c r="I879" s="22" t="n">
        <v>0</v>
      </c>
      <c r="J879" s="22" t="n">
        <v>0</v>
      </c>
      <c r="K879" s="22" t="n">
        <v>0</v>
      </c>
      <c r="L879" s="22" t="n">
        <v>0</v>
      </c>
      <c r="M879" s="22" t="n">
        <v>0</v>
      </c>
      <c r="N879" s="22" t="n">
        <v>0</v>
      </c>
      <c r="O879" s="22" t="n">
        <v>0</v>
      </c>
      <c r="P879" s="22" t="n">
        <v>0</v>
      </c>
      <c r="Q879" s="22" t="n">
        <v>0</v>
      </c>
      <c r="R879" s="22" t="n">
        <v>0</v>
      </c>
      <c r="S879" s="22" t="n">
        <v>0</v>
      </c>
      <c r="T879" s="22" t="n">
        <v>0</v>
      </c>
      <c r="U879" s="3">
        <f>IF(OR(N879=1,Q879=1),1,0)</f>
        <v/>
      </c>
      <c r="V879" s="3">
        <f>IF(OR(T879=1,P879=1),1,0)</f>
        <v/>
      </c>
      <c r="W879" s="3">
        <f>IF(OR(J879=1),1,0)</f>
        <v/>
      </c>
      <c r="X879" s="3">
        <f>IF(OR(I879=1,H879=1),1,0)</f>
        <v/>
      </c>
      <c r="Y879" s="3">
        <f>IF(OR(G879=1),1,0)</f>
        <v/>
      </c>
      <c r="Z879" s="3">
        <f>IF(OR(F879=1),1,0)</f>
        <v/>
      </c>
      <c r="AA879" s="3">
        <f>IF(OR(M879=1),1,0)</f>
        <v/>
      </c>
    </row>
    <row r="880">
      <c r="A880" s="22" t="inlineStr">
        <is>
          <t>57f7f5c9f5b197dda78f86c67454a0cc6140cb63</t>
        </is>
      </c>
      <c r="B880" s="22" t="inlineStr">
        <is>
          <t>2026-10</t>
        </is>
      </c>
      <c r="C880" s="22" t="inlineStr">
        <is>
          <t>X</t>
        </is>
      </c>
      <c r="D880" s="22" t="n">
        <v>1</v>
      </c>
      <c r="E880" s="22" t="inlineStr">
        <is>
          <t>X: X search: collation INEC</t>
        </is>
      </c>
      <c r="F880" s="22" t="inlineStr">
        <is>
          <t>x:X search: collation INEC</t>
        </is>
      </c>
      <c r="G880" s="22" t="n">
        <v>0.772</v>
      </c>
      <c r="H880" s="22" t="n">
        <v>1</v>
      </c>
      <c r="I880" s="22" t="n">
        <v>0</v>
      </c>
      <c r="J880" s="22" t="n">
        <v>0</v>
      </c>
      <c r="K880" s="22" t="n">
        <v>0</v>
      </c>
      <c r="L880" s="22" t="n">
        <v>0</v>
      </c>
      <c r="M880" s="22" t="n">
        <v>1</v>
      </c>
      <c r="N880" s="22" t="n">
        <v>0</v>
      </c>
      <c r="O880" s="22" t="n">
        <v>0</v>
      </c>
      <c r="P880" s="22" t="n">
        <v>0</v>
      </c>
      <c r="Q880" s="22" t="n">
        <v>0</v>
      </c>
      <c r="R880" s="22" t="n">
        <v>0</v>
      </c>
      <c r="S880" s="22" t="n">
        <v>0</v>
      </c>
      <c r="T880" s="22" t="n">
        <v>0</v>
      </c>
      <c r="U880" s="3">
        <f>IF(OR(N880=1,Q880=1),1,0)</f>
        <v/>
      </c>
      <c r="V880" s="3">
        <f>IF(OR(T880=1,P880=1),1,0)</f>
        <v/>
      </c>
      <c r="W880" s="3">
        <f>IF(OR(J880=1),1,0)</f>
        <v/>
      </c>
      <c r="X880" s="3">
        <f>IF(OR(I880=1,H880=1),1,0)</f>
        <v/>
      </c>
      <c r="Y880" s="3">
        <f>IF(OR(G880=1),1,0)</f>
        <v/>
      </c>
      <c r="Z880" s="3">
        <f>IF(OR(F880=1),1,0)</f>
        <v/>
      </c>
      <c r="AA880" s="3">
        <f>IF(OR(M880=1),1,0)</f>
        <v/>
      </c>
    </row>
    <row r="881">
      <c r="A881" s="22" t="inlineStr">
        <is>
          <t>a86b0ad06e696e22d2dba353d5fed2cf3f1042aa</t>
        </is>
      </c>
      <c r="B881" s="22" t="inlineStr">
        <is>
          <t>2026-10</t>
        </is>
      </c>
      <c r="C881" s="22" t="inlineStr">
        <is>
          <t>X</t>
        </is>
      </c>
      <c r="D881" s="22" t="n">
        <v>1</v>
      </c>
      <c r="E881" s="22" t="inlineStr">
        <is>
          <t>X: X search: collation INEC</t>
        </is>
      </c>
      <c r="F881" s="22" t="inlineStr">
        <is>
          <t>x:X search: collation INEC</t>
        </is>
      </c>
      <c r="G881" s="22" t="n">
        <v>0</v>
      </c>
      <c r="H881" s="22" t="n">
        <v>0</v>
      </c>
      <c r="I881" s="22" t="n">
        <v>1</v>
      </c>
      <c r="J881" s="22" t="n">
        <v>0</v>
      </c>
      <c r="K881" s="22" t="n">
        <v>0</v>
      </c>
      <c r="L881" s="22" t="n">
        <v>0</v>
      </c>
      <c r="M881" s="22" t="n">
        <v>0</v>
      </c>
      <c r="N881" s="22" t="n">
        <v>0</v>
      </c>
      <c r="O881" s="22" t="n">
        <v>0</v>
      </c>
      <c r="P881" s="22" t="n">
        <v>0</v>
      </c>
      <c r="Q881" s="22" t="n">
        <v>0</v>
      </c>
      <c r="R881" s="22" t="n">
        <v>0</v>
      </c>
      <c r="S881" s="22" t="n">
        <v>0</v>
      </c>
      <c r="T881" s="22" t="n">
        <v>0</v>
      </c>
      <c r="U881" s="3">
        <f>IF(OR(N881=1,Q881=1),1,0)</f>
        <v/>
      </c>
      <c r="V881" s="3">
        <f>IF(OR(T881=1,P881=1),1,0)</f>
        <v/>
      </c>
      <c r="W881" s="3">
        <f>IF(OR(J881=1),1,0)</f>
        <v/>
      </c>
      <c r="X881" s="3">
        <f>IF(OR(I881=1,H881=1),1,0)</f>
        <v/>
      </c>
      <c r="Y881" s="3">
        <f>IF(OR(G881=1),1,0)</f>
        <v/>
      </c>
      <c r="Z881" s="3">
        <f>IF(OR(F881=1),1,0)</f>
        <v/>
      </c>
      <c r="AA881" s="3">
        <f>IF(OR(M881=1),1,0)</f>
        <v/>
      </c>
    </row>
    <row r="882">
      <c r="A882" s="22" t="inlineStr">
        <is>
          <t>aa8f3a38bac19129fd72848f7f12b32d9bb6140a</t>
        </is>
      </c>
      <c r="B882" s="22" t="inlineStr">
        <is>
          <t>2026-10</t>
        </is>
      </c>
      <c r="C882" s="22" t="inlineStr">
        <is>
          <t>X</t>
        </is>
      </c>
      <c r="D882" s="22" t="n">
        <v>1</v>
      </c>
      <c r="E882" s="22" t="inlineStr">
        <is>
          <t>X: X search: collation INEC</t>
        </is>
      </c>
      <c r="F882" s="22" t="inlineStr">
        <is>
          <t>x:X search: collation INEC</t>
        </is>
      </c>
      <c r="G882" s="22" t="n">
        <v>-0.226</v>
      </c>
      <c r="H882" s="22" t="n">
        <v>1</v>
      </c>
      <c r="I882" s="22" t="n">
        <v>0</v>
      </c>
      <c r="J882" s="22" t="n">
        <v>0</v>
      </c>
      <c r="K882" s="22" t="n">
        <v>0</v>
      </c>
      <c r="L882" s="22" t="n">
        <v>0</v>
      </c>
      <c r="M882" s="22" t="n">
        <v>0</v>
      </c>
      <c r="N882" s="22" t="n">
        <v>0</v>
      </c>
      <c r="O882" s="22" t="n">
        <v>0</v>
      </c>
      <c r="P882" s="22" t="n">
        <v>0</v>
      </c>
      <c r="Q882" s="22" t="n">
        <v>0</v>
      </c>
      <c r="R882" s="22" t="n">
        <v>0</v>
      </c>
      <c r="S882" s="22" t="n">
        <v>0</v>
      </c>
      <c r="T882" s="22" t="n">
        <v>0</v>
      </c>
      <c r="U882" s="3">
        <f>IF(OR(N882=1,Q882=1),1,0)</f>
        <v/>
      </c>
      <c r="V882" s="3">
        <f>IF(OR(T882=1,P882=1),1,0)</f>
        <v/>
      </c>
      <c r="W882" s="3">
        <f>IF(OR(J882=1),1,0)</f>
        <v/>
      </c>
      <c r="X882" s="3">
        <f>IF(OR(I882=1,H882=1),1,0)</f>
        <v/>
      </c>
      <c r="Y882" s="3">
        <f>IF(OR(G882=1),1,0)</f>
        <v/>
      </c>
      <c r="Z882" s="3">
        <f>IF(OR(F882=1),1,0)</f>
        <v/>
      </c>
      <c r="AA882" s="3">
        <f>IF(OR(M882=1),1,0)</f>
        <v/>
      </c>
    </row>
    <row r="883">
      <c r="A883" s="22" t="inlineStr">
        <is>
          <t>7634abc637411c193094cad89253c256d6beb649</t>
        </is>
      </c>
      <c r="B883" s="22" t="inlineStr">
        <is>
          <t>2026-10</t>
        </is>
      </c>
      <c r="C883" s="22" t="inlineStr">
        <is>
          <t>X</t>
        </is>
      </c>
      <c r="D883" s="22" t="n">
        <v>1</v>
      </c>
      <c r="E883" s="22" t="inlineStr">
        <is>
          <t>X: X search: collation INEC</t>
        </is>
      </c>
      <c r="F883" s="22" t="inlineStr">
        <is>
          <t>x:X search: collation INEC</t>
        </is>
      </c>
      <c r="G883" s="22" t="n">
        <v>0.115</v>
      </c>
      <c r="H883" s="22" t="n">
        <v>1</v>
      </c>
      <c r="I883" s="22" t="n">
        <v>0</v>
      </c>
      <c r="J883" s="22" t="n">
        <v>0</v>
      </c>
      <c r="K883" s="22" t="n">
        <v>0</v>
      </c>
      <c r="L883" s="22" t="n">
        <v>0</v>
      </c>
      <c r="M883" s="22" t="n">
        <v>0</v>
      </c>
      <c r="N883" s="22" t="n">
        <v>0</v>
      </c>
      <c r="O883" s="22" t="n">
        <v>0</v>
      </c>
      <c r="P883" s="22" t="n">
        <v>1</v>
      </c>
      <c r="Q883" s="22" t="n">
        <v>0</v>
      </c>
      <c r="R883" s="22" t="n">
        <v>0</v>
      </c>
      <c r="S883" s="22" t="n">
        <v>0</v>
      </c>
      <c r="T883" s="22" t="n">
        <v>0</v>
      </c>
      <c r="U883" s="3">
        <f>IF(OR(N883=1,Q883=1),1,0)</f>
        <v/>
      </c>
      <c r="V883" s="3">
        <f>IF(OR(T883=1,P883=1),1,0)</f>
        <v/>
      </c>
      <c r="W883" s="3">
        <f>IF(OR(J883=1),1,0)</f>
        <v/>
      </c>
      <c r="X883" s="3">
        <f>IF(OR(I883=1,H883=1),1,0)</f>
        <v/>
      </c>
      <c r="Y883" s="3">
        <f>IF(OR(G883=1),1,0)</f>
        <v/>
      </c>
      <c r="Z883" s="3">
        <f>IF(OR(F883=1),1,0)</f>
        <v/>
      </c>
      <c r="AA883" s="3">
        <f>IF(OR(M883=1),1,0)</f>
        <v/>
      </c>
    </row>
    <row r="884">
      <c r="A884" s="22" t="inlineStr">
        <is>
          <t>0d874db13dfac81e706a7bac09b9055aec49402a</t>
        </is>
      </c>
      <c r="B884" s="22" t="inlineStr">
        <is>
          <t>2026-10</t>
        </is>
      </c>
      <c r="C884" s="22" t="inlineStr">
        <is>
          <t>X</t>
        </is>
      </c>
      <c r="D884" s="22" t="n">
        <v>1</v>
      </c>
      <c r="E884" s="22" t="inlineStr">
        <is>
          <t>X: X search: collation INEC</t>
        </is>
      </c>
      <c r="F884" s="22" t="inlineStr">
        <is>
          <t>x:X search: collation INEC</t>
        </is>
      </c>
      <c r="G884" s="22" t="n">
        <v>0</v>
      </c>
      <c r="H884" s="22" t="n">
        <v>1</v>
      </c>
      <c r="I884" s="22" t="n">
        <v>1</v>
      </c>
      <c r="J884" s="22" t="n">
        <v>0</v>
      </c>
      <c r="K884" s="22" t="n">
        <v>0</v>
      </c>
      <c r="L884" s="22" t="n">
        <v>0</v>
      </c>
      <c r="M884" s="22" t="n">
        <v>0</v>
      </c>
      <c r="N884" s="22" t="n">
        <v>0</v>
      </c>
      <c r="O884" s="22" t="n">
        <v>0</v>
      </c>
      <c r="P884" s="22" t="n">
        <v>0</v>
      </c>
      <c r="Q884" s="22" t="n">
        <v>0</v>
      </c>
      <c r="R884" s="22" t="n">
        <v>0</v>
      </c>
      <c r="S884" s="22" t="n">
        <v>0</v>
      </c>
      <c r="T884" s="22" t="n">
        <v>0</v>
      </c>
      <c r="U884" s="3">
        <f>IF(OR(N884=1,Q884=1),1,0)</f>
        <v/>
      </c>
      <c r="V884" s="3">
        <f>IF(OR(T884=1,P884=1),1,0)</f>
        <v/>
      </c>
      <c r="W884" s="3">
        <f>IF(OR(J884=1),1,0)</f>
        <v/>
      </c>
      <c r="X884" s="3">
        <f>IF(OR(I884=1,H884=1),1,0)</f>
        <v/>
      </c>
      <c r="Y884" s="3">
        <f>IF(OR(G884=1),1,0)</f>
        <v/>
      </c>
      <c r="Z884" s="3">
        <f>IF(OR(F884=1),1,0)</f>
        <v/>
      </c>
      <c r="AA884" s="3">
        <f>IF(OR(M884=1),1,0)</f>
        <v/>
      </c>
    </row>
    <row r="885">
      <c r="A885" s="22" t="inlineStr">
        <is>
          <t>bf235e0203b2626ef6b197657f597c1406e7b4da</t>
        </is>
      </c>
      <c r="B885" s="22" t="inlineStr">
        <is>
          <t>2026-10</t>
        </is>
      </c>
      <c r="C885" s="22" t="inlineStr">
        <is>
          <t>X</t>
        </is>
      </c>
      <c r="D885" s="22" t="n">
        <v>1</v>
      </c>
      <c r="E885" s="22" t="inlineStr">
        <is>
          <t>X: X search: collation INEC</t>
        </is>
      </c>
      <c r="F885" s="22" t="inlineStr">
        <is>
          <t>x:X search: collation INEC</t>
        </is>
      </c>
      <c r="G885" s="22" t="n">
        <v>-0.739</v>
      </c>
      <c r="H885" s="22" t="n">
        <v>1</v>
      </c>
      <c r="I885" s="22" t="n">
        <v>1</v>
      </c>
      <c r="J885" s="22" t="n">
        <v>0</v>
      </c>
      <c r="K885" s="22" t="n">
        <v>0</v>
      </c>
      <c r="L885" s="22" t="n">
        <v>0</v>
      </c>
      <c r="M885" s="22" t="n">
        <v>1</v>
      </c>
      <c r="N885" s="22" t="n">
        <v>0</v>
      </c>
      <c r="O885" s="22" t="n">
        <v>0</v>
      </c>
      <c r="P885" s="22" t="n">
        <v>0</v>
      </c>
      <c r="Q885" s="22" t="n">
        <v>0</v>
      </c>
      <c r="R885" s="22" t="n">
        <v>0</v>
      </c>
      <c r="S885" s="22" t="n">
        <v>0</v>
      </c>
      <c r="T885" s="22" t="n">
        <v>0</v>
      </c>
      <c r="U885" s="3">
        <f>IF(OR(N885=1,Q885=1),1,0)</f>
        <v/>
      </c>
      <c r="V885" s="3">
        <f>IF(OR(T885=1,P885=1),1,0)</f>
        <v/>
      </c>
      <c r="W885" s="3">
        <f>IF(OR(J885=1),1,0)</f>
        <v/>
      </c>
      <c r="X885" s="3">
        <f>IF(OR(I885=1,H885=1),1,0)</f>
        <v/>
      </c>
      <c r="Y885" s="3">
        <f>IF(OR(G885=1),1,0)</f>
        <v/>
      </c>
      <c r="Z885" s="3">
        <f>IF(OR(F885=1),1,0)</f>
        <v/>
      </c>
      <c r="AA885" s="3">
        <f>IF(OR(M885=1),1,0)</f>
        <v/>
      </c>
    </row>
    <row r="886">
      <c r="A886" s="22" t="inlineStr">
        <is>
          <t>ae13f239ba91abd434b4fd34ed87f30781ede0ab</t>
        </is>
      </c>
      <c r="B886" s="22" t="inlineStr">
        <is>
          <t>2026-10</t>
        </is>
      </c>
      <c r="C886" s="22" t="inlineStr">
        <is>
          <t>X</t>
        </is>
      </c>
      <c r="D886" s="22" t="n">
        <v>1</v>
      </c>
      <c r="E886" s="22" t="inlineStr">
        <is>
          <t>X: X search: collation INEC</t>
        </is>
      </c>
      <c r="F886" s="22" t="inlineStr">
        <is>
          <t>x:X search: collation INEC</t>
        </is>
      </c>
      <c r="G886" s="22" t="n">
        <v>-0.599</v>
      </c>
      <c r="H886" s="22" t="n">
        <v>1</v>
      </c>
      <c r="I886" s="22" t="n">
        <v>0</v>
      </c>
      <c r="J886" s="22" t="n">
        <v>0</v>
      </c>
      <c r="K886" s="22" t="n">
        <v>0</v>
      </c>
      <c r="L886" s="22" t="n">
        <v>0</v>
      </c>
      <c r="M886" s="22" t="n">
        <v>1</v>
      </c>
      <c r="N886" s="22" t="n">
        <v>0</v>
      </c>
      <c r="O886" s="22" t="n">
        <v>0</v>
      </c>
      <c r="P886" s="22" t="n">
        <v>0</v>
      </c>
      <c r="Q886" s="22" t="n">
        <v>0</v>
      </c>
      <c r="R886" s="22" t="n">
        <v>0</v>
      </c>
      <c r="S886" s="22" t="n">
        <v>0</v>
      </c>
      <c r="T886" s="22" t="n">
        <v>0</v>
      </c>
      <c r="U886" s="3">
        <f>IF(OR(N886=1,Q886=1),1,0)</f>
        <v/>
      </c>
      <c r="V886" s="3">
        <f>IF(OR(T886=1,P886=1),1,0)</f>
        <v/>
      </c>
      <c r="W886" s="3">
        <f>IF(OR(J886=1),1,0)</f>
        <v/>
      </c>
      <c r="X886" s="3">
        <f>IF(OR(I886=1,H886=1),1,0)</f>
        <v/>
      </c>
      <c r="Y886" s="3">
        <f>IF(OR(G886=1),1,0)</f>
        <v/>
      </c>
      <c r="Z886" s="3">
        <f>IF(OR(F886=1),1,0)</f>
        <v/>
      </c>
      <c r="AA886" s="3">
        <f>IF(OR(M886=1),1,0)</f>
        <v/>
      </c>
    </row>
    <row r="887">
      <c r="A887" s="22" t="inlineStr">
        <is>
          <t>5554ff81cea378f1737ef2b0918ed85902fb8b93</t>
        </is>
      </c>
      <c r="B887" s="22" t="inlineStr">
        <is>
          <t>2026-10</t>
        </is>
      </c>
      <c r="C887" s="22" t="inlineStr">
        <is>
          <t>X</t>
        </is>
      </c>
      <c r="D887" s="22" t="n">
        <v>1</v>
      </c>
      <c r="E887" s="22" t="inlineStr">
        <is>
          <t>X: X search: collation INEC</t>
        </is>
      </c>
      <c r="F887" s="22" t="inlineStr">
        <is>
          <t>x:X search: collation INEC</t>
        </is>
      </c>
      <c r="G887" s="22" t="n">
        <v>0.293</v>
      </c>
      <c r="H887" s="22" t="n">
        <v>1</v>
      </c>
      <c r="I887" s="22" t="n">
        <v>1</v>
      </c>
      <c r="J887" s="22" t="n">
        <v>0</v>
      </c>
      <c r="K887" s="22" t="n">
        <v>0</v>
      </c>
      <c r="L887" s="22" t="n">
        <v>0</v>
      </c>
      <c r="M887" s="22" t="n">
        <v>0</v>
      </c>
      <c r="N887" s="22" t="n">
        <v>0</v>
      </c>
      <c r="O887" s="22" t="n">
        <v>0</v>
      </c>
      <c r="P887" s="22" t="n">
        <v>0</v>
      </c>
      <c r="Q887" s="22" t="n">
        <v>0</v>
      </c>
      <c r="R887" s="22" t="n">
        <v>0</v>
      </c>
      <c r="S887" s="22" t="n">
        <v>0</v>
      </c>
      <c r="T887" s="22" t="n">
        <v>0</v>
      </c>
      <c r="U887" s="3">
        <f>IF(OR(N887=1,Q887=1),1,0)</f>
        <v/>
      </c>
      <c r="V887" s="3">
        <f>IF(OR(T887=1,P887=1),1,0)</f>
        <v/>
      </c>
      <c r="W887" s="3">
        <f>IF(OR(J887=1),1,0)</f>
        <v/>
      </c>
      <c r="X887" s="3">
        <f>IF(OR(I887=1,H887=1),1,0)</f>
        <v/>
      </c>
      <c r="Y887" s="3">
        <f>IF(OR(G887=1),1,0)</f>
        <v/>
      </c>
      <c r="Z887" s="3">
        <f>IF(OR(F887=1),1,0)</f>
        <v/>
      </c>
      <c r="AA887" s="3">
        <f>IF(OR(M887=1),1,0)</f>
        <v/>
      </c>
    </row>
    <row r="888">
      <c r="A888" s="22" t="inlineStr">
        <is>
          <t>377fe00a1d5f6928a72437c09b11c7b9f8ac796d</t>
        </is>
      </c>
      <c r="B888" s="22" t="inlineStr">
        <is>
          <t>2026-10</t>
        </is>
      </c>
      <c r="C888" s="22" t="inlineStr">
        <is>
          <t>X</t>
        </is>
      </c>
      <c r="D888" s="22" t="n">
        <v>1</v>
      </c>
      <c r="E888" s="22" t="inlineStr">
        <is>
          <t>X: X search: collation INEC</t>
        </is>
      </c>
      <c r="F888" s="22" t="inlineStr">
        <is>
          <t>x:X search: collation INEC</t>
        </is>
      </c>
      <c r="G888" s="22" t="n">
        <v>-0.196</v>
      </c>
      <c r="H888" s="22" t="n">
        <v>1</v>
      </c>
      <c r="I888" s="22" t="n">
        <v>1</v>
      </c>
      <c r="J888" s="22" t="n">
        <v>0</v>
      </c>
      <c r="K888" s="22" t="n">
        <v>0</v>
      </c>
      <c r="L888" s="22" t="n">
        <v>0</v>
      </c>
      <c r="M888" s="22" t="n">
        <v>0</v>
      </c>
      <c r="N888" s="22" t="n">
        <v>0</v>
      </c>
      <c r="O888" s="22" t="n">
        <v>0</v>
      </c>
      <c r="P888" s="22" t="n">
        <v>0</v>
      </c>
      <c r="Q888" s="22" t="n">
        <v>0</v>
      </c>
      <c r="R888" s="22" t="n">
        <v>0</v>
      </c>
      <c r="S888" s="22" t="n">
        <v>0</v>
      </c>
      <c r="T888" s="22" t="n">
        <v>0</v>
      </c>
      <c r="U888" s="3">
        <f>IF(OR(N888=1,Q888=1),1,0)</f>
        <v/>
      </c>
      <c r="V888" s="3">
        <f>IF(OR(T888=1,P888=1),1,0)</f>
        <v/>
      </c>
      <c r="W888" s="3">
        <f>IF(OR(J888=1),1,0)</f>
        <v/>
      </c>
      <c r="X888" s="3">
        <f>IF(OR(I888=1,H888=1),1,0)</f>
        <v/>
      </c>
      <c r="Y888" s="3">
        <f>IF(OR(G888=1),1,0)</f>
        <v/>
      </c>
      <c r="Z888" s="3">
        <f>IF(OR(F888=1),1,0)</f>
        <v/>
      </c>
      <c r="AA888" s="3">
        <f>IF(OR(M888=1),1,0)</f>
        <v/>
      </c>
    </row>
    <row r="889">
      <c r="A889" s="22" t="inlineStr">
        <is>
          <t>0e91dd3ece8ec956f549a0dbd0a2f94a795b7093</t>
        </is>
      </c>
      <c r="B889" s="22" t="inlineStr">
        <is>
          <t>2026-10</t>
        </is>
      </c>
      <c r="C889" s="22" t="inlineStr">
        <is>
          <t>X</t>
        </is>
      </c>
      <c r="D889" s="22" t="n">
        <v>1</v>
      </c>
      <c r="E889" s="22" t="inlineStr">
        <is>
          <t>X: X search: collation INEC</t>
        </is>
      </c>
      <c r="F889" s="22" t="inlineStr">
        <is>
          <t>x:X search: collation INEC</t>
        </is>
      </c>
      <c r="G889" s="22" t="n">
        <v>0</v>
      </c>
      <c r="H889" s="22" t="n">
        <v>1</v>
      </c>
      <c r="I889" s="22" t="n">
        <v>0</v>
      </c>
      <c r="J889" s="22" t="n">
        <v>0</v>
      </c>
      <c r="K889" s="22" t="n">
        <v>0</v>
      </c>
      <c r="L889" s="22" t="n">
        <v>0</v>
      </c>
      <c r="M889" s="22" t="n">
        <v>0</v>
      </c>
      <c r="N889" s="22" t="n">
        <v>0</v>
      </c>
      <c r="O889" s="22" t="n">
        <v>0</v>
      </c>
      <c r="P889" s="22" t="n">
        <v>0</v>
      </c>
      <c r="Q889" s="22" t="n">
        <v>0</v>
      </c>
      <c r="R889" s="22" t="n">
        <v>0</v>
      </c>
      <c r="S889" s="22" t="n">
        <v>0</v>
      </c>
      <c r="T889" s="22" t="n">
        <v>0</v>
      </c>
      <c r="U889" s="3">
        <f>IF(OR(N889=1,Q889=1),1,0)</f>
        <v/>
      </c>
      <c r="V889" s="3">
        <f>IF(OR(T889=1,P889=1),1,0)</f>
        <v/>
      </c>
      <c r="W889" s="3">
        <f>IF(OR(J889=1),1,0)</f>
        <v/>
      </c>
      <c r="X889" s="3">
        <f>IF(OR(I889=1,H889=1),1,0)</f>
        <v/>
      </c>
      <c r="Y889" s="3">
        <f>IF(OR(G889=1),1,0)</f>
        <v/>
      </c>
      <c r="Z889" s="3">
        <f>IF(OR(F889=1),1,0)</f>
        <v/>
      </c>
      <c r="AA889" s="3">
        <f>IF(OR(M889=1),1,0)</f>
        <v/>
      </c>
    </row>
    <row r="890">
      <c r="A890" s="22" t="inlineStr">
        <is>
          <t>3cb190e4fca5840968c6da55b1954a8bd374d651</t>
        </is>
      </c>
      <c r="B890" s="22" t="inlineStr">
        <is>
          <t>2026-10</t>
        </is>
      </c>
      <c r="C890" s="22" t="inlineStr">
        <is>
          <t>X</t>
        </is>
      </c>
      <c r="D890" s="22" t="n">
        <v>1</v>
      </c>
      <c r="E890" s="22" t="inlineStr">
        <is>
          <t>X: X search: collation INEC</t>
        </is>
      </c>
      <c r="F890" s="22" t="inlineStr">
        <is>
          <t>x:X search: collation INEC</t>
        </is>
      </c>
      <c r="G890" s="22" t="n">
        <v>-0.547</v>
      </c>
      <c r="H890" s="22" t="n">
        <v>1</v>
      </c>
      <c r="I890" s="22" t="n">
        <v>0</v>
      </c>
      <c r="J890" s="22" t="n">
        <v>0</v>
      </c>
      <c r="K890" s="22" t="n">
        <v>0</v>
      </c>
      <c r="L890" s="22" t="n">
        <v>0</v>
      </c>
      <c r="M890" s="22" t="n">
        <v>1</v>
      </c>
      <c r="N890" s="22" t="n">
        <v>0</v>
      </c>
      <c r="O890" s="22" t="n">
        <v>0</v>
      </c>
      <c r="P890" s="22" t="n">
        <v>0</v>
      </c>
      <c r="Q890" s="22" t="n">
        <v>0</v>
      </c>
      <c r="R890" s="22" t="n">
        <v>0</v>
      </c>
      <c r="S890" s="22" t="n">
        <v>0</v>
      </c>
      <c r="T890" s="22" t="n">
        <v>0</v>
      </c>
      <c r="U890" s="3">
        <f>IF(OR(N890=1,Q890=1),1,0)</f>
        <v/>
      </c>
      <c r="V890" s="3">
        <f>IF(OR(T890=1,P890=1),1,0)</f>
        <v/>
      </c>
      <c r="W890" s="3">
        <f>IF(OR(J890=1),1,0)</f>
        <v/>
      </c>
      <c r="X890" s="3">
        <f>IF(OR(I890=1,H890=1),1,0)</f>
        <v/>
      </c>
      <c r="Y890" s="3">
        <f>IF(OR(G890=1),1,0)</f>
        <v/>
      </c>
      <c r="Z890" s="3">
        <f>IF(OR(F890=1),1,0)</f>
        <v/>
      </c>
      <c r="AA890" s="3">
        <f>IF(OR(M890=1),1,0)</f>
        <v/>
      </c>
    </row>
    <row r="891">
      <c r="A891" s="22" t="inlineStr">
        <is>
          <t>535885cdcf7c1a9ccd229c04d05fccaa204ef8be</t>
        </is>
      </c>
      <c r="B891" s="22" t="inlineStr">
        <is>
          <t>2026-10</t>
        </is>
      </c>
      <c r="C891" s="22" t="inlineStr">
        <is>
          <t>X</t>
        </is>
      </c>
      <c r="D891" s="22" t="n">
        <v>1</v>
      </c>
      <c r="E891" s="22" t="inlineStr">
        <is>
          <t>X: X search: collation INEC</t>
        </is>
      </c>
      <c r="F891" s="22" t="inlineStr">
        <is>
          <t>x:X search: collation INEC</t>
        </is>
      </c>
      <c r="G891" s="22" t="n">
        <v>0.143</v>
      </c>
      <c r="H891" s="22" t="n">
        <v>1</v>
      </c>
      <c r="I891" s="22" t="n">
        <v>1</v>
      </c>
      <c r="J891" s="22" t="n">
        <v>0</v>
      </c>
      <c r="K891" s="22" t="n">
        <v>0</v>
      </c>
      <c r="L891" s="22" t="n">
        <v>0</v>
      </c>
      <c r="M891" s="22" t="n">
        <v>0</v>
      </c>
      <c r="N891" s="22" t="n">
        <v>0</v>
      </c>
      <c r="O891" s="22" t="n">
        <v>0</v>
      </c>
      <c r="P891" s="22" t="n">
        <v>0</v>
      </c>
      <c r="Q891" s="22" t="n">
        <v>0</v>
      </c>
      <c r="R891" s="22" t="n">
        <v>0</v>
      </c>
      <c r="S891" s="22" t="n">
        <v>0</v>
      </c>
      <c r="T891" s="22" t="n">
        <v>0</v>
      </c>
      <c r="U891" s="3">
        <f>IF(OR(N891=1,Q891=1),1,0)</f>
        <v/>
      </c>
      <c r="V891" s="3">
        <f>IF(OR(T891=1,P891=1),1,0)</f>
        <v/>
      </c>
      <c r="W891" s="3">
        <f>IF(OR(J891=1),1,0)</f>
        <v/>
      </c>
      <c r="X891" s="3">
        <f>IF(OR(I891=1,H891=1),1,0)</f>
        <v/>
      </c>
      <c r="Y891" s="3">
        <f>IF(OR(G891=1),1,0)</f>
        <v/>
      </c>
      <c r="Z891" s="3">
        <f>IF(OR(F891=1),1,0)</f>
        <v/>
      </c>
      <c r="AA891" s="3">
        <f>IF(OR(M891=1),1,0)</f>
        <v/>
      </c>
    </row>
    <row r="892">
      <c r="A892" s="22" t="inlineStr">
        <is>
          <t>86016c4bbcf99dcb649552d5470145a186745b03</t>
        </is>
      </c>
      <c r="B892" s="22" t="inlineStr">
        <is>
          <t>2026-10</t>
        </is>
      </c>
      <c r="C892" s="22" t="inlineStr">
        <is>
          <t>X</t>
        </is>
      </c>
      <c r="D892" s="22" t="n">
        <v>1</v>
      </c>
      <c r="E892" s="22" t="inlineStr">
        <is>
          <t>X: X search: collation INEC</t>
        </is>
      </c>
      <c r="F892" s="22" t="inlineStr">
        <is>
          <t>x:X search: collation INEC</t>
        </is>
      </c>
      <c r="G892" s="22" t="n">
        <v>-0.888</v>
      </c>
      <c r="H892" s="22" t="n">
        <v>1</v>
      </c>
      <c r="I892" s="22" t="n">
        <v>0</v>
      </c>
      <c r="J892" s="22" t="n">
        <v>0</v>
      </c>
      <c r="K892" s="22" t="n">
        <v>0</v>
      </c>
      <c r="L892" s="22" t="n">
        <v>0</v>
      </c>
      <c r="M892" s="22" t="n">
        <v>1</v>
      </c>
      <c r="N892" s="22" t="n">
        <v>0</v>
      </c>
      <c r="O892" s="22" t="n">
        <v>0</v>
      </c>
      <c r="P892" s="22" t="n">
        <v>0</v>
      </c>
      <c r="Q892" s="22" t="n">
        <v>0</v>
      </c>
      <c r="R892" s="22" t="n">
        <v>0</v>
      </c>
      <c r="S892" s="22" t="n">
        <v>0</v>
      </c>
      <c r="T892" s="22" t="n">
        <v>0</v>
      </c>
      <c r="U892" s="3">
        <f>IF(OR(N892=1,Q892=1),1,0)</f>
        <v/>
      </c>
      <c r="V892" s="3">
        <f>IF(OR(T892=1,P892=1),1,0)</f>
        <v/>
      </c>
      <c r="W892" s="3">
        <f>IF(OR(J892=1),1,0)</f>
        <v/>
      </c>
      <c r="X892" s="3">
        <f>IF(OR(I892=1,H892=1),1,0)</f>
        <v/>
      </c>
      <c r="Y892" s="3">
        <f>IF(OR(G892=1),1,0)</f>
        <v/>
      </c>
      <c r="Z892" s="3">
        <f>IF(OR(F892=1),1,0)</f>
        <v/>
      </c>
      <c r="AA892" s="3">
        <f>IF(OR(M892=1),1,0)</f>
        <v/>
      </c>
    </row>
    <row r="893">
      <c r="A893" s="22" t="inlineStr">
        <is>
          <t>42814d816128f71f4ffca338814639277c106d41</t>
        </is>
      </c>
      <c r="B893" s="22" t="inlineStr">
        <is>
          <t>2026-10</t>
        </is>
      </c>
      <c r="C893" s="22" t="inlineStr">
        <is>
          <t>X</t>
        </is>
      </c>
      <c r="D893" s="22" t="n">
        <v>1</v>
      </c>
      <c r="E893" s="22" t="inlineStr">
        <is>
          <t>X: X search: collation INEC</t>
        </is>
      </c>
      <c r="F893" s="22" t="inlineStr">
        <is>
          <t>x:X search: collation INEC</t>
        </is>
      </c>
      <c r="G893" s="22" t="n">
        <v>-0.44</v>
      </c>
      <c r="H893" s="22" t="n">
        <v>1</v>
      </c>
      <c r="I893" s="22" t="n">
        <v>0</v>
      </c>
      <c r="J893" s="22" t="n">
        <v>0</v>
      </c>
      <c r="K893" s="22" t="n">
        <v>0</v>
      </c>
      <c r="L893" s="22" t="n">
        <v>0</v>
      </c>
      <c r="M893" s="22" t="n">
        <v>1</v>
      </c>
      <c r="N893" s="22" t="n">
        <v>0</v>
      </c>
      <c r="O893" s="22" t="n">
        <v>0</v>
      </c>
      <c r="P893" s="22" t="n">
        <v>0</v>
      </c>
      <c r="Q893" s="22" t="n">
        <v>0</v>
      </c>
      <c r="R893" s="22" t="n">
        <v>0</v>
      </c>
      <c r="S893" s="22" t="n">
        <v>0</v>
      </c>
      <c r="T893" s="22" t="n">
        <v>0</v>
      </c>
      <c r="U893" s="3">
        <f>IF(OR(N893=1,Q893=1),1,0)</f>
        <v/>
      </c>
      <c r="V893" s="3">
        <f>IF(OR(T893=1,P893=1),1,0)</f>
        <v/>
      </c>
      <c r="W893" s="3">
        <f>IF(OR(J893=1),1,0)</f>
        <v/>
      </c>
      <c r="X893" s="3">
        <f>IF(OR(I893=1,H893=1),1,0)</f>
        <v/>
      </c>
      <c r="Y893" s="3">
        <f>IF(OR(G893=1),1,0)</f>
        <v/>
      </c>
      <c r="Z893" s="3">
        <f>IF(OR(F893=1),1,0)</f>
        <v/>
      </c>
      <c r="AA893" s="3">
        <f>IF(OR(M893=1),1,0)</f>
        <v/>
      </c>
    </row>
    <row r="894">
      <c r="A894" s="22" t="inlineStr">
        <is>
          <t>7d9a9a99f8fce127c829cc4863a90943736ab2cd</t>
        </is>
      </c>
      <c r="B894" s="22" t="inlineStr">
        <is>
          <t>2026-10</t>
        </is>
      </c>
      <c r="C894" s="22" t="inlineStr">
        <is>
          <t>X</t>
        </is>
      </c>
      <c r="D894" s="22" t="n">
        <v>1</v>
      </c>
      <c r="E894" s="22" t="inlineStr">
        <is>
          <t>X: X search: collation INEC</t>
        </is>
      </c>
      <c r="F894" s="22" t="inlineStr">
        <is>
          <t>x:X search: collation INEC</t>
        </is>
      </c>
      <c r="G894" s="22" t="n">
        <v>0.586</v>
      </c>
      <c r="H894" s="22" t="n">
        <v>1</v>
      </c>
      <c r="I894" s="22" t="n">
        <v>0</v>
      </c>
      <c r="J894" s="22" t="n">
        <v>0</v>
      </c>
      <c r="K894" s="22" t="n">
        <v>0</v>
      </c>
      <c r="L894" s="22" t="n">
        <v>0</v>
      </c>
      <c r="M894" s="22" t="n">
        <v>0</v>
      </c>
      <c r="N894" s="22" t="n">
        <v>0</v>
      </c>
      <c r="O894" s="22" t="n">
        <v>0</v>
      </c>
      <c r="P894" s="22" t="n">
        <v>0</v>
      </c>
      <c r="Q894" s="22" t="n">
        <v>0</v>
      </c>
      <c r="R894" s="22" t="n">
        <v>0</v>
      </c>
      <c r="S894" s="22" t="n">
        <v>0</v>
      </c>
      <c r="T894" s="22" t="n">
        <v>0</v>
      </c>
      <c r="U894" s="3">
        <f>IF(OR(N894=1,Q894=1),1,0)</f>
        <v/>
      </c>
      <c r="V894" s="3">
        <f>IF(OR(T894=1,P894=1),1,0)</f>
        <v/>
      </c>
      <c r="W894" s="3">
        <f>IF(OR(J894=1),1,0)</f>
        <v/>
      </c>
      <c r="X894" s="3">
        <f>IF(OR(I894=1,H894=1),1,0)</f>
        <v/>
      </c>
      <c r="Y894" s="3">
        <f>IF(OR(G894=1),1,0)</f>
        <v/>
      </c>
      <c r="Z894" s="3">
        <f>IF(OR(F894=1),1,0)</f>
        <v/>
      </c>
      <c r="AA894" s="3">
        <f>IF(OR(M894=1),1,0)</f>
        <v/>
      </c>
    </row>
    <row r="895">
      <c r="A895" s="22" t="inlineStr">
        <is>
          <t>78d13becf7d121bb08f703de78604f31d0f8dcda</t>
        </is>
      </c>
      <c r="B895" s="22" t="inlineStr">
        <is>
          <t>2026-10</t>
        </is>
      </c>
      <c r="C895" s="22" t="inlineStr">
        <is>
          <t>X</t>
        </is>
      </c>
      <c r="D895" s="22" t="n">
        <v>1</v>
      </c>
      <c r="E895" s="22" t="inlineStr">
        <is>
          <t>X: X search: collation INEC</t>
        </is>
      </c>
      <c r="F895" s="22" t="inlineStr">
        <is>
          <t>x:X search: collation INEC</t>
        </is>
      </c>
      <c r="G895" s="22" t="n">
        <v>0</v>
      </c>
      <c r="H895" s="22" t="n">
        <v>1</v>
      </c>
      <c r="I895" s="22" t="n">
        <v>0</v>
      </c>
      <c r="J895" s="22" t="n">
        <v>0</v>
      </c>
      <c r="K895" s="22" t="n">
        <v>0</v>
      </c>
      <c r="L895" s="22" t="n">
        <v>0</v>
      </c>
      <c r="M895" s="22" t="n">
        <v>0</v>
      </c>
      <c r="N895" s="22" t="n">
        <v>0</v>
      </c>
      <c r="O895" s="22" t="n">
        <v>0</v>
      </c>
      <c r="P895" s="22" t="n">
        <v>0</v>
      </c>
      <c r="Q895" s="22" t="n">
        <v>0</v>
      </c>
      <c r="R895" s="22" t="n">
        <v>0</v>
      </c>
      <c r="S895" s="22" t="n">
        <v>0</v>
      </c>
      <c r="T895" s="22" t="n">
        <v>0</v>
      </c>
      <c r="U895" s="3">
        <f>IF(OR(N895=1,Q895=1),1,0)</f>
        <v/>
      </c>
      <c r="V895" s="3">
        <f>IF(OR(T895=1,P895=1),1,0)</f>
        <v/>
      </c>
      <c r="W895" s="3">
        <f>IF(OR(J895=1),1,0)</f>
        <v/>
      </c>
      <c r="X895" s="3">
        <f>IF(OR(I895=1,H895=1),1,0)</f>
        <v/>
      </c>
      <c r="Y895" s="3">
        <f>IF(OR(G895=1),1,0)</f>
        <v/>
      </c>
      <c r="Z895" s="3">
        <f>IF(OR(F895=1),1,0)</f>
        <v/>
      </c>
      <c r="AA895" s="3">
        <f>IF(OR(M895=1),1,0)</f>
        <v/>
      </c>
    </row>
    <row r="896">
      <c r="A896" s="22" t="inlineStr">
        <is>
          <t>0dd38dc51073358c8ac4dcd6c481f29030eb8b79</t>
        </is>
      </c>
      <c r="B896" s="22" t="inlineStr">
        <is>
          <t>2026-10</t>
        </is>
      </c>
      <c r="C896" s="22" t="inlineStr">
        <is>
          <t>X</t>
        </is>
      </c>
      <c r="D896" s="22" t="n">
        <v>1</v>
      </c>
      <c r="E896" s="22" t="inlineStr">
        <is>
          <t>X: X search: collation INEC</t>
        </is>
      </c>
      <c r="F896" s="22" t="inlineStr">
        <is>
          <t>x:X search: collation INEC</t>
        </is>
      </c>
      <c r="G896" s="22" t="n">
        <v>0.402</v>
      </c>
      <c r="H896" s="22" t="n">
        <v>1</v>
      </c>
      <c r="I896" s="22" t="n">
        <v>1</v>
      </c>
      <c r="J896" s="22" t="n">
        <v>0</v>
      </c>
      <c r="K896" s="22" t="n">
        <v>0</v>
      </c>
      <c r="L896" s="22" t="n">
        <v>0</v>
      </c>
      <c r="M896" s="22" t="n">
        <v>0</v>
      </c>
      <c r="N896" s="22" t="n">
        <v>0</v>
      </c>
      <c r="O896" s="22" t="n">
        <v>0</v>
      </c>
      <c r="P896" s="22" t="n">
        <v>0</v>
      </c>
      <c r="Q896" s="22" t="n">
        <v>0</v>
      </c>
      <c r="R896" s="22" t="n">
        <v>0</v>
      </c>
      <c r="S896" s="22" t="n">
        <v>0</v>
      </c>
      <c r="T896" s="22" t="n">
        <v>0</v>
      </c>
      <c r="U896" s="3">
        <f>IF(OR(N896=1,Q896=1),1,0)</f>
        <v/>
      </c>
      <c r="V896" s="3">
        <f>IF(OR(T896=1,P896=1),1,0)</f>
        <v/>
      </c>
      <c r="W896" s="3">
        <f>IF(OR(J896=1),1,0)</f>
        <v/>
      </c>
      <c r="X896" s="3">
        <f>IF(OR(I896=1,H896=1),1,0)</f>
        <v/>
      </c>
      <c r="Y896" s="3">
        <f>IF(OR(G896=1),1,0)</f>
        <v/>
      </c>
      <c r="Z896" s="3">
        <f>IF(OR(F896=1),1,0)</f>
        <v/>
      </c>
      <c r="AA896" s="3">
        <f>IF(OR(M896=1),1,0)</f>
        <v/>
      </c>
    </row>
    <row r="897">
      <c r="A897" s="22" t="inlineStr">
        <is>
          <t>d1df1845337483b7fe14b6e586856fd5a1e16c6d</t>
        </is>
      </c>
      <c r="B897" s="22" t="inlineStr">
        <is>
          <t>2026-10</t>
        </is>
      </c>
      <c r="C897" s="22" t="inlineStr">
        <is>
          <t>X</t>
        </is>
      </c>
      <c r="D897" s="22" t="n">
        <v>1</v>
      </c>
      <c r="E897" s="22" t="inlineStr">
        <is>
          <t>X: X search: collation INEC</t>
        </is>
      </c>
      <c r="F897" s="22" t="inlineStr">
        <is>
          <t>x:X search: collation INEC</t>
        </is>
      </c>
      <c r="G897" s="22" t="n">
        <v>0.511</v>
      </c>
      <c r="H897" s="22" t="n">
        <v>1</v>
      </c>
      <c r="I897" s="22" t="n">
        <v>0</v>
      </c>
      <c r="J897" s="22" t="n">
        <v>0</v>
      </c>
      <c r="K897" s="22" t="n">
        <v>0</v>
      </c>
      <c r="L897" s="22" t="n">
        <v>0</v>
      </c>
      <c r="M897" s="22" t="n">
        <v>1</v>
      </c>
      <c r="N897" s="22" t="n">
        <v>0</v>
      </c>
      <c r="O897" s="22" t="n">
        <v>0</v>
      </c>
      <c r="P897" s="22" t="n">
        <v>0</v>
      </c>
      <c r="Q897" s="22" t="n">
        <v>0</v>
      </c>
      <c r="R897" s="22" t="n">
        <v>0</v>
      </c>
      <c r="S897" s="22" t="n">
        <v>0</v>
      </c>
      <c r="T897" s="22" t="n">
        <v>0</v>
      </c>
      <c r="U897" s="3">
        <f>IF(OR(N897=1,Q897=1),1,0)</f>
        <v/>
      </c>
      <c r="V897" s="3">
        <f>IF(OR(T897=1,P897=1),1,0)</f>
        <v/>
      </c>
      <c r="W897" s="3">
        <f>IF(OR(J897=1),1,0)</f>
        <v/>
      </c>
      <c r="X897" s="3">
        <f>IF(OR(I897=1,H897=1),1,0)</f>
        <v/>
      </c>
      <c r="Y897" s="3">
        <f>IF(OR(G897=1),1,0)</f>
        <v/>
      </c>
      <c r="Z897" s="3">
        <f>IF(OR(F897=1),1,0)</f>
        <v/>
      </c>
      <c r="AA897" s="3">
        <f>IF(OR(M897=1),1,0)</f>
        <v/>
      </c>
    </row>
    <row r="898">
      <c r="A898" s="22" t="inlineStr">
        <is>
          <t>6b715f4232316833fd85518897f61d75636a7c72</t>
        </is>
      </c>
      <c r="B898" s="22" t="inlineStr">
        <is>
          <t>2026-10</t>
        </is>
      </c>
      <c r="C898" s="22" t="inlineStr">
        <is>
          <t>X</t>
        </is>
      </c>
      <c r="D898" s="22" t="n">
        <v>1</v>
      </c>
      <c r="E898" s="22" t="inlineStr">
        <is>
          <t>X: X search: collation INEC</t>
        </is>
      </c>
      <c r="F898" s="22" t="inlineStr">
        <is>
          <t>x:X search: collation INEC</t>
        </is>
      </c>
      <c r="G898" s="22" t="n">
        <v>0.382</v>
      </c>
      <c r="H898" s="22" t="n">
        <v>1</v>
      </c>
      <c r="I898" s="22" t="n">
        <v>0</v>
      </c>
      <c r="J898" s="22" t="n">
        <v>0</v>
      </c>
      <c r="K898" s="22" t="n">
        <v>0</v>
      </c>
      <c r="L898" s="22" t="n">
        <v>0</v>
      </c>
      <c r="M898" s="22" t="n">
        <v>0</v>
      </c>
      <c r="N898" s="22" t="n">
        <v>0</v>
      </c>
      <c r="O898" s="22" t="n">
        <v>0</v>
      </c>
      <c r="P898" s="22" t="n">
        <v>0</v>
      </c>
      <c r="Q898" s="22" t="n">
        <v>0</v>
      </c>
      <c r="R898" s="22" t="n">
        <v>0</v>
      </c>
      <c r="S898" s="22" t="n">
        <v>0</v>
      </c>
      <c r="T898" s="22" t="n">
        <v>0</v>
      </c>
      <c r="U898" s="3">
        <f>IF(OR(N898=1,Q898=1),1,0)</f>
        <v/>
      </c>
      <c r="V898" s="3">
        <f>IF(OR(T898=1,P898=1),1,0)</f>
        <v/>
      </c>
      <c r="W898" s="3">
        <f>IF(OR(J898=1),1,0)</f>
        <v/>
      </c>
      <c r="X898" s="3">
        <f>IF(OR(I898=1,H898=1),1,0)</f>
        <v/>
      </c>
      <c r="Y898" s="3">
        <f>IF(OR(G898=1),1,0)</f>
        <v/>
      </c>
      <c r="Z898" s="3">
        <f>IF(OR(F898=1),1,0)</f>
        <v/>
      </c>
      <c r="AA898" s="3">
        <f>IF(OR(M898=1),1,0)</f>
        <v/>
      </c>
    </row>
    <row r="899">
      <c r="A899" s="22" t="inlineStr">
        <is>
          <t>34432dc05a6d887dc4e683270f2d31504d76d854</t>
        </is>
      </c>
      <c r="B899" s="22" t="inlineStr">
        <is>
          <t>2026-10</t>
        </is>
      </c>
      <c r="C899" s="22" t="inlineStr">
        <is>
          <t>X</t>
        </is>
      </c>
      <c r="D899" s="22" t="n">
        <v>1</v>
      </c>
      <c r="E899" s="22" t="inlineStr">
        <is>
          <t>X: X search: collation INEC</t>
        </is>
      </c>
      <c r="F899" s="22" t="inlineStr">
        <is>
          <t>x:X search: collation INEC</t>
        </is>
      </c>
      <c r="G899" s="22" t="n">
        <v>0.881</v>
      </c>
      <c r="H899" s="22" t="n">
        <v>1</v>
      </c>
      <c r="I899" s="22" t="n">
        <v>0</v>
      </c>
      <c r="J899" s="22" t="n">
        <v>0</v>
      </c>
      <c r="K899" s="22" t="n">
        <v>0</v>
      </c>
      <c r="L899" s="22" t="n">
        <v>0</v>
      </c>
      <c r="M899" s="22" t="n">
        <v>1</v>
      </c>
      <c r="N899" s="22" t="n">
        <v>0</v>
      </c>
      <c r="O899" s="22" t="n">
        <v>0</v>
      </c>
      <c r="P899" s="22" t="n">
        <v>0</v>
      </c>
      <c r="Q899" s="22" t="n">
        <v>0</v>
      </c>
      <c r="R899" s="22" t="n">
        <v>0</v>
      </c>
      <c r="S899" s="22" t="n">
        <v>0</v>
      </c>
      <c r="T899" s="22" t="n">
        <v>0</v>
      </c>
      <c r="U899" s="3">
        <f>IF(OR(N899=1,Q899=1),1,0)</f>
        <v/>
      </c>
      <c r="V899" s="3">
        <f>IF(OR(T899=1,P899=1),1,0)</f>
        <v/>
      </c>
      <c r="W899" s="3">
        <f>IF(OR(J899=1),1,0)</f>
        <v/>
      </c>
      <c r="X899" s="3">
        <f>IF(OR(I899=1,H899=1),1,0)</f>
        <v/>
      </c>
      <c r="Y899" s="3">
        <f>IF(OR(G899=1),1,0)</f>
        <v/>
      </c>
      <c r="Z899" s="3">
        <f>IF(OR(F899=1),1,0)</f>
        <v/>
      </c>
      <c r="AA899" s="3">
        <f>IF(OR(M899=1),1,0)</f>
        <v/>
      </c>
    </row>
    <row r="900">
      <c r="A900" s="22" t="inlineStr">
        <is>
          <t>7831dad862129540e0ee384964201c3f766dcfd6</t>
        </is>
      </c>
      <c r="B900" s="22" t="inlineStr">
        <is>
          <t>2026-10</t>
        </is>
      </c>
      <c r="C900" s="22" t="inlineStr">
        <is>
          <t>X</t>
        </is>
      </c>
      <c r="D900" s="22" t="n">
        <v>1</v>
      </c>
      <c r="E900" s="22" t="inlineStr">
        <is>
          <t>X: X search: collation INEC</t>
        </is>
      </c>
      <c r="F900" s="22" t="inlineStr">
        <is>
          <t>x:X search: collation INEC</t>
        </is>
      </c>
      <c r="G900" s="22" t="n">
        <v>-0.649</v>
      </c>
      <c r="H900" s="22" t="n">
        <v>1</v>
      </c>
      <c r="I900" s="22" t="n">
        <v>1</v>
      </c>
      <c r="J900" s="22" t="n">
        <v>0</v>
      </c>
      <c r="K900" s="22" t="n">
        <v>0</v>
      </c>
      <c r="L900" s="22" t="n">
        <v>0</v>
      </c>
      <c r="M900" s="22" t="n">
        <v>1</v>
      </c>
      <c r="N900" s="22" t="n">
        <v>0</v>
      </c>
      <c r="O900" s="22" t="n">
        <v>0</v>
      </c>
      <c r="P900" s="22" t="n">
        <v>0</v>
      </c>
      <c r="Q900" s="22" t="n">
        <v>0</v>
      </c>
      <c r="R900" s="22" t="n">
        <v>0</v>
      </c>
      <c r="S900" s="22" t="n">
        <v>0</v>
      </c>
      <c r="T900" s="22" t="n">
        <v>0</v>
      </c>
      <c r="U900" s="3">
        <f>IF(OR(N900=1,Q900=1),1,0)</f>
        <v/>
      </c>
      <c r="V900" s="3">
        <f>IF(OR(T900=1,P900=1),1,0)</f>
        <v/>
      </c>
      <c r="W900" s="3">
        <f>IF(OR(J900=1),1,0)</f>
        <v/>
      </c>
      <c r="X900" s="3">
        <f>IF(OR(I900=1,H900=1),1,0)</f>
        <v/>
      </c>
      <c r="Y900" s="3">
        <f>IF(OR(G900=1),1,0)</f>
        <v/>
      </c>
      <c r="Z900" s="3">
        <f>IF(OR(F900=1),1,0)</f>
        <v/>
      </c>
      <c r="AA900" s="3">
        <f>IF(OR(M900=1),1,0)</f>
        <v/>
      </c>
    </row>
    <row r="901">
      <c r="A901" s="22" t="inlineStr">
        <is>
          <t>783a8e525fc82e8bad2b0a3ddc83a8c58faf681d</t>
        </is>
      </c>
      <c r="B901" s="22" t="inlineStr">
        <is>
          <t>2026-10</t>
        </is>
      </c>
      <c r="C901" s="22" t="inlineStr">
        <is>
          <t>X</t>
        </is>
      </c>
      <c r="D901" s="22" t="n">
        <v>1</v>
      </c>
      <c r="E901" s="22" t="inlineStr">
        <is>
          <t>X: X search: collation INEC</t>
        </is>
      </c>
      <c r="F901" s="22" t="inlineStr">
        <is>
          <t>x:X search: collation INEC</t>
        </is>
      </c>
      <c r="G901" s="22" t="n">
        <v>0.625</v>
      </c>
      <c r="H901" s="22" t="n">
        <v>1</v>
      </c>
      <c r="I901" s="22" t="n">
        <v>0</v>
      </c>
      <c r="J901" s="22" t="n">
        <v>0</v>
      </c>
      <c r="K901" s="22" t="n">
        <v>0</v>
      </c>
      <c r="L901" s="22" t="n">
        <v>0</v>
      </c>
      <c r="M901" s="22" t="n">
        <v>0</v>
      </c>
      <c r="N901" s="22" t="n">
        <v>0</v>
      </c>
      <c r="O901" s="22" t="n">
        <v>0</v>
      </c>
      <c r="P901" s="22" t="n">
        <v>0</v>
      </c>
      <c r="Q901" s="22" t="n">
        <v>0</v>
      </c>
      <c r="R901" s="22" t="n">
        <v>0</v>
      </c>
      <c r="S901" s="22" t="n">
        <v>0</v>
      </c>
      <c r="T901" s="22" t="n">
        <v>0</v>
      </c>
      <c r="U901" s="3">
        <f>IF(OR(N901=1,Q901=1),1,0)</f>
        <v/>
      </c>
      <c r="V901" s="3">
        <f>IF(OR(T901=1,P901=1),1,0)</f>
        <v/>
      </c>
      <c r="W901" s="3">
        <f>IF(OR(J901=1),1,0)</f>
        <v/>
      </c>
      <c r="X901" s="3">
        <f>IF(OR(I901=1,H901=1),1,0)</f>
        <v/>
      </c>
      <c r="Y901" s="3">
        <f>IF(OR(G901=1),1,0)</f>
        <v/>
      </c>
      <c r="Z901" s="3">
        <f>IF(OR(F901=1),1,0)</f>
        <v/>
      </c>
      <c r="AA901" s="3">
        <f>IF(OR(M901=1),1,0)</f>
        <v/>
      </c>
    </row>
    <row r="902">
      <c r="A902" s="22" t="inlineStr">
        <is>
          <t>c7061dba20d8f3f547421dc94904abf456ff3b1f</t>
        </is>
      </c>
      <c r="B902" s="22" t="inlineStr">
        <is>
          <t>2026-10</t>
        </is>
      </c>
      <c r="C902" s="22" t="inlineStr">
        <is>
          <t>X</t>
        </is>
      </c>
      <c r="D902" s="22" t="n">
        <v>1</v>
      </c>
      <c r="E902" s="22" t="inlineStr">
        <is>
          <t>X: X search: collation INEC</t>
        </is>
      </c>
      <c r="F902" s="22" t="inlineStr">
        <is>
          <t>x:X search: collation INEC</t>
        </is>
      </c>
      <c r="G902" s="22" t="n">
        <v>0.115</v>
      </c>
      <c r="H902" s="22" t="n">
        <v>1</v>
      </c>
      <c r="I902" s="22" t="n">
        <v>0</v>
      </c>
      <c r="J902" s="22" t="n">
        <v>0</v>
      </c>
      <c r="K902" s="22" t="n">
        <v>0</v>
      </c>
      <c r="L902" s="22" t="n">
        <v>0</v>
      </c>
      <c r="M902" s="22" t="n">
        <v>0</v>
      </c>
      <c r="N902" s="22" t="n">
        <v>0</v>
      </c>
      <c r="O902" s="22" t="n">
        <v>0</v>
      </c>
      <c r="P902" s="22" t="n">
        <v>0</v>
      </c>
      <c r="Q902" s="22" t="n">
        <v>0</v>
      </c>
      <c r="R902" s="22" t="n">
        <v>0</v>
      </c>
      <c r="S902" s="22" t="n">
        <v>0</v>
      </c>
      <c r="T902" s="22" t="n">
        <v>0</v>
      </c>
      <c r="U902" s="3">
        <f>IF(OR(N902=1,Q902=1),1,0)</f>
        <v/>
      </c>
      <c r="V902" s="3">
        <f>IF(OR(T902=1,P902=1),1,0)</f>
        <v/>
      </c>
      <c r="W902" s="3">
        <f>IF(OR(J902=1),1,0)</f>
        <v/>
      </c>
      <c r="X902" s="3">
        <f>IF(OR(I902=1,H902=1),1,0)</f>
        <v/>
      </c>
      <c r="Y902" s="3">
        <f>IF(OR(G902=1),1,0)</f>
        <v/>
      </c>
      <c r="Z902" s="3">
        <f>IF(OR(F902=1),1,0)</f>
        <v/>
      </c>
      <c r="AA902" s="3">
        <f>IF(OR(M902=1),1,0)</f>
        <v/>
      </c>
    </row>
    <row r="903">
      <c r="A903" s="22" t="inlineStr">
        <is>
          <t>732bc21a28508611a125e66034976fe32d02cdd1</t>
        </is>
      </c>
      <c r="B903" s="22" t="inlineStr">
        <is>
          <t>2026-10</t>
        </is>
      </c>
      <c r="C903" s="22" t="inlineStr">
        <is>
          <t>X</t>
        </is>
      </c>
      <c r="D903" s="22" t="n">
        <v>1</v>
      </c>
      <c r="E903" s="22" t="inlineStr">
        <is>
          <t>X: X search: collation INEC</t>
        </is>
      </c>
      <c r="F903" s="22" t="inlineStr">
        <is>
          <t>x:X search: collation INEC</t>
        </is>
      </c>
      <c r="G903" s="22" t="n">
        <v>0.724</v>
      </c>
      <c r="H903" s="22" t="n">
        <v>1</v>
      </c>
      <c r="I903" s="22" t="n">
        <v>1</v>
      </c>
      <c r="J903" s="22" t="n">
        <v>0</v>
      </c>
      <c r="K903" s="22" t="n">
        <v>0</v>
      </c>
      <c r="L903" s="22" t="n">
        <v>0</v>
      </c>
      <c r="M903" s="22" t="n">
        <v>0</v>
      </c>
      <c r="N903" s="22" t="n">
        <v>0</v>
      </c>
      <c r="O903" s="22" t="n">
        <v>0</v>
      </c>
      <c r="P903" s="22" t="n">
        <v>0</v>
      </c>
      <c r="Q903" s="22" t="n">
        <v>0</v>
      </c>
      <c r="R903" s="22" t="n">
        <v>0</v>
      </c>
      <c r="S903" s="22" t="n">
        <v>0</v>
      </c>
      <c r="T903" s="22" t="n">
        <v>0</v>
      </c>
      <c r="U903" s="3">
        <f>IF(OR(N903=1,Q903=1),1,0)</f>
        <v/>
      </c>
      <c r="V903" s="3">
        <f>IF(OR(T903=1,P903=1),1,0)</f>
        <v/>
      </c>
      <c r="W903" s="3">
        <f>IF(OR(J903=1),1,0)</f>
        <v/>
      </c>
      <c r="X903" s="3">
        <f>IF(OR(I903=1,H903=1),1,0)</f>
        <v/>
      </c>
      <c r="Y903" s="3">
        <f>IF(OR(G903=1),1,0)</f>
        <v/>
      </c>
      <c r="Z903" s="3">
        <f>IF(OR(F903=1),1,0)</f>
        <v/>
      </c>
      <c r="AA903" s="3">
        <f>IF(OR(M903=1),1,0)</f>
        <v/>
      </c>
    </row>
    <row r="904">
      <c r="A904" s="22" t="inlineStr">
        <is>
          <t>e6b32cf44599e19eccc214ca69607aeccacec550</t>
        </is>
      </c>
      <c r="B904" s="22" t="inlineStr">
        <is>
          <t>2026-10</t>
        </is>
      </c>
      <c r="C904" s="22" t="inlineStr">
        <is>
          <t>X</t>
        </is>
      </c>
      <c r="D904" s="22" t="n">
        <v>1</v>
      </c>
      <c r="E904" s="22" t="inlineStr">
        <is>
          <t>X: X search: collation INEC</t>
        </is>
      </c>
      <c r="F904" s="22" t="inlineStr">
        <is>
          <t>x:X search: collation INEC</t>
        </is>
      </c>
      <c r="G904" s="22" t="n">
        <v>0.34</v>
      </c>
      <c r="H904" s="22" t="n">
        <v>1</v>
      </c>
      <c r="I904" s="22" t="n">
        <v>0</v>
      </c>
      <c r="J904" s="22" t="n">
        <v>0</v>
      </c>
      <c r="K904" s="22" t="n">
        <v>0</v>
      </c>
      <c r="L904" s="22" t="n">
        <v>0</v>
      </c>
      <c r="M904" s="22" t="n">
        <v>0</v>
      </c>
      <c r="N904" s="22" t="n">
        <v>0</v>
      </c>
      <c r="O904" s="22" t="n">
        <v>0</v>
      </c>
      <c r="P904" s="22" t="n">
        <v>0</v>
      </c>
      <c r="Q904" s="22" t="n">
        <v>0</v>
      </c>
      <c r="R904" s="22" t="n">
        <v>0</v>
      </c>
      <c r="S904" s="22" t="n">
        <v>0</v>
      </c>
      <c r="T904" s="22" t="n">
        <v>0</v>
      </c>
      <c r="U904" s="3">
        <f>IF(OR(N904=1,Q904=1),1,0)</f>
        <v/>
      </c>
      <c r="V904" s="3">
        <f>IF(OR(T904=1,P904=1),1,0)</f>
        <v/>
      </c>
      <c r="W904" s="3">
        <f>IF(OR(J904=1),1,0)</f>
        <v/>
      </c>
      <c r="X904" s="3">
        <f>IF(OR(I904=1,H904=1),1,0)</f>
        <v/>
      </c>
      <c r="Y904" s="3">
        <f>IF(OR(G904=1),1,0)</f>
        <v/>
      </c>
      <c r="Z904" s="3">
        <f>IF(OR(F904=1),1,0)</f>
        <v/>
      </c>
      <c r="AA904" s="3">
        <f>IF(OR(M904=1),1,0)</f>
        <v/>
      </c>
    </row>
    <row r="905">
      <c r="A905" s="22" t="inlineStr">
        <is>
          <t>fafcff9bd7cb452c7305e69d1724ba2ba3deaf0c</t>
        </is>
      </c>
      <c r="B905" s="22" t="inlineStr">
        <is>
          <t>2026-10</t>
        </is>
      </c>
      <c r="C905" s="22" t="inlineStr">
        <is>
          <t>X</t>
        </is>
      </c>
      <c r="D905" s="22" t="n">
        <v>1</v>
      </c>
      <c r="E905" s="22" t="inlineStr">
        <is>
          <t>X: X search: collation INEC</t>
        </is>
      </c>
      <c r="F905" s="22" t="inlineStr">
        <is>
          <t>x:X search: collation INEC</t>
        </is>
      </c>
      <c r="G905" s="22" t="n">
        <v>-0.645</v>
      </c>
      <c r="H905" s="22" t="n">
        <v>1</v>
      </c>
      <c r="I905" s="22" t="n">
        <v>0</v>
      </c>
      <c r="J905" s="22" t="n">
        <v>0</v>
      </c>
      <c r="K905" s="22" t="n">
        <v>0</v>
      </c>
      <c r="L905" s="22" t="n">
        <v>0</v>
      </c>
      <c r="M905" s="22" t="n">
        <v>1</v>
      </c>
      <c r="N905" s="22" t="n">
        <v>0</v>
      </c>
      <c r="O905" s="22" t="n">
        <v>0</v>
      </c>
      <c r="P905" s="22" t="n">
        <v>0</v>
      </c>
      <c r="Q905" s="22" t="n">
        <v>0</v>
      </c>
      <c r="R905" s="22" t="n">
        <v>0</v>
      </c>
      <c r="S905" s="22" t="n">
        <v>0</v>
      </c>
      <c r="T905" s="22" t="n">
        <v>0</v>
      </c>
      <c r="U905" s="3">
        <f>IF(OR(N905=1,Q905=1),1,0)</f>
        <v/>
      </c>
      <c r="V905" s="3">
        <f>IF(OR(T905=1,P905=1),1,0)</f>
        <v/>
      </c>
      <c r="W905" s="3">
        <f>IF(OR(J905=1),1,0)</f>
        <v/>
      </c>
      <c r="X905" s="3">
        <f>IF(OR(I905=1,H905=1),1,0)</f>
        <v/>
      </c>
      <c r="Y905" s="3">
        <f>IF(OR(G905=1),1,0)</f>
        <v/>
      </c>
      <c r="Z905" s="3">
        <f>IF(OR(F905=1),1,0)</f>
        <v/>
      </c>
      <c r="AA905" s="3">
        <f>IF(OR(M905=1),1,0)</f>
        <v/>
      </c>
    </row>
    <row r="906">
      <c r="A906" s="22" t="inlineStr">
        <is>
          <t>41e32646ae2cca8a4543bcc8c2287f7e9d93eed9</t>
        </is>
      </c>
      <c r="B906" s="22" t="inlineStr">
        <is>
          <t>2026-10</t>
        </is>
      </c>
      <c r="C906" s="22" t="inlineStr">
        <is>
          <t>X</t>
        </is>
      </c>
      <c r="D906" s="22" t="n">
        <v>1</v>
      </c>
      <c r="E906" s="22" t="inlineStr">
        <is>
          <t>X: X search: collation INEC</t>
        </is>
      </c>
      <c r="F906" s="22" t="inlineStr">
        <is>
          <t>x:X search: collation INEC</t>
        </is>
      </c>
      <c r="G906" s="22" t="n">
        <v>-0.9</v>
      </c>
      <c r="H906" s="22" t="n">
        <v>1</v>
      </c>
      <c r="I906" s="22" t="n">
        <v>0</v>
      </c>
      <c r="J906" s="22" t="n">
        <v>0</v>
      </c>
      <c r="K906" s="22" t="n">
        <v>0</v>
      </c>
      <c r="L906" s="22" t="n">
        <v>0</v>
      </c>
      <c r="M906" s="22" t="n">
        <v>1</v>
      </c>
      <c r="N906" s="22" t="n">
        <v>0</v>
      </c>
      <c r="O906" s="22" t="n">
        <v>0</v>
      </c>
      <c r="P906" s="22" t="n">
        <v>0</v>
      </c>
      <c r="Q906" s="22" t="n">
        <v>0</v>
      </c>
      <c r="R906" s="22" t="n">
        <v>0</v>
      </c>
      <c r="S906" s="22" t="n">
        <v>0</v>
      </c>
      <c r="T906" s="22" t="n">
        <v>0</v>
      </c>
      <c r="U906" s="3">
        <f>IF(OR(N906=1,Q906=1),1,0)</f>
        <v/>
      </c>
      <c r="V906" s="3">
        <f>IF(OR(T906=1,P906=1),1,0)</f>
        <v/>
      </c>
      <c r="W906" s="3">
        <f>IF(OR(J906=1),1,0)</f>
        <v/>
      </c>
      <c r="X906" s="3">
        <f>IF(OR(I906=1,H906=1),1,0)</f>
        <v/>
      </c>
      <c r="Y906" s="3">
        <f>IF(OR(G906=1),1,0)</f>
        <v/>
      </c>
      <c r="Z906" s="3">
        <f>IF(OR(F906=1),1,0)</f>
        <v/>
      </c>
      <c r="AA906" s="3">
        <f>IF(OR(M906=1),1,0)</f>
        <v/>
      </c>
    </row>
    <row r="907">
      <c r="A907" s="22" t="inlineStr">
        <is>
          <t>4095bc9629eded8feffeeaf03525cb85d42c4d59</t>
        </is>
      </c>
      <c r="B907" s="22" t="inlineStr">
        <is>
          <t>2026-10</t>
        </is>
      </c>
      <c r="C907" s="22" t="inlineStr">
        <is>
          <t>Nairaland</t>
        </is>
      </c>
      <c r="D907" s="22" t="n">
        <v>0</v>
      </c>
      <c r="E907" s="22" t="inlineStr">
        <is>
          <t>Nairaland: Nairaland</t>
        </is>
      </c>
      <c r="F907" s="22" t="inlineStr">
        <is>
          <t>nairaland:Nairaland</t>
        </is>
      </c>
      <c r="G907" s="22" t="n">
        <v>-0.586</v>
      </c>
      <c r="H907" s="22" t="n">
        <v>0</v>
      </c>
      <c r="I907" s="22" t="n">
        <v>0</v>
      </c>
      <c r="J907" s="22" t="n">
        <v>0</v>
      </c>
      <c r="K907" s="22" t="n">
        <v>0</v>
      </c>
      <c r="L907" s="22" t="n">
        <v>0</v>
      </c>
      <c r="M907" s="22" t="n">
        <v>1</v>
      </c>
      <c r="N907" s="22" t="n">
        <v>0</v>
      </c>
      <c r="O907" s="22" t="n">
        <v>0</v>
      </c>
      <c r="P907" s="22" t="n">
        <v>0</v>
      </c>
      <c r="Q907" s="22" t="n">
        <v>0</v>
      </c>
      <c r="R907" s="22" t="n">
        <v>0</v>
      </c>
      <c r="S907" s="22" t="n">
        <v>0</v>
      </c>
      <c r="T907" s="22" t="n">
        <v>0</v>
      </c>
      <c r="U907" s="3">
        <f>IF(OR(N907=1,Q907=1),1,0)</f>
        <v/>
      </c>
      <c r="V907" s="3">
        <f>IF(OR(T907=1,P907=1),1,0)</f>
        <v/>
      </c>
      <c r="W907" s="3">
        <f>IF(OR(J907=1),1,0)</f>
        <v/>
      </c>
      <c r="X907" s="3">
        <f>IF(OR(I907=1,H907=1),1,0)</f>
        <v/>
      </c>
      <c r="Y907" s="3">
        <f>IF(OR(G907=1),1,0)</f>
        <v/>
      </c>
      <c r="Z907" s="3">
        <f>IF(OR(F907=1),1,0)</f>
        <v/>
      </c>
      <c r="AA907" s="3">
        <f>IF(OR(M907=1),1,0)</f>
        <v/>
      </c>
    </row>
    <row r="908">
      <c r="A908" s="22" t="inlineStr">
        <is>
          <t>9cd0531cc0c93e4785e3e7a9ee9ea09f14c9e331</t>
        </is>
      </c>
      <c r="B908" s="22" t="inlineStr">
        <is>
          <t>2026-10</t>
        </is>
      </c>
      <c r="C908" s="22" t="inlineStr">
        <is>
          <t>Nairaland</t>
        </is>
      </c>
      <c r="D908" s="22" t="n">
        <v>0</v>
      </c>
      <c r="E908" s="22" t="inlineStr">
        <is>
          <t>Nairaland: Nairaland</t>
        </is>
      </c>
      <c r="F908" s="22" t="inlineStr">
        <is>
          <t>nairaland:Nairaland</t>
        </is>
      </c>
      <c r="G908" s="22" t="n">
        <v>-0.319</v>
      </c>
      <c r="H908" s="22" t="n">
        <v>0</v>
      </c>
      <c r="I908" s="22" t="n">
        <v>0</v>
      </c>
      <c r="J908" s="22" t="n">
        <v>0</v>
      </c>
      <c r="K908" s="22" t="n">
        <v>0</v>
      </c>
      <c r="L908" s="22" t="n">
        <v>0</v>
      </c>
      <c r="M908" s="22" t="n">
        <v>1</v>
      </c>
      <c r="N908" s="22" t="n">
        <v>0</v>
      </c>
      <c r="O908" s="22" t="n">
        <v>1</v>
      </c>
      <c r="P908" s="22" t="n">
        <v>0</v>
      </c>
      <c r="Q908" s="22" t="n">
        <v>0</v>
      </c>
      <c r="R908" s="22" t="n">
        <v>0</v>
      </c>
      <c r="S908" s="22" t="n">
        <v>0</v>
      </c>
      <c r="T908" s="22" t="n">
        <v>0</v>
      </c>
      <c r="U908" s="3">
        <f>IF(OR(N908=1,Q908=1),1,0)</f>
        <v/>
      </c>
      <c r="V908" s="3">
        <f>IF(OR(T908=1,P908=1),1,0)</f>
        <v/>
      </c>
      <c r="W908" s="3">
        <f>IF(OR(J908=1),1,0)</f>
        <v/>
      </c>
      <c r="X908" s="3">
        <f>IF(OR(I908=1,H908=1),1,0)</f>
        <v/>
      </c>
      <c r="Y908" s="3">
        <f>IF(OR(G908=1),1,0)</f>
        <v/>
      </c>
      <c r="Z908" s="3">
        <f>IF(OR(F908=1),1,0)</f>
        <v/>
      </c>
      <c r="AA908" s="3">
        <f>IF(OR(M908=1),1,0)</f>
        <v/>
      </c>
    </row>
    <row r="909">
      <c r="A909" s="22" t="inlineStr">
        <is>
          <t>fe0732ed0617d05df89847195226e560cd26f652</t>
        </is>
      </c>
      <c r="B909" s="22" t="inlineStr">
        <is>
          <t>2026-10</t>
        </is>
      </c>
      <c r="C909" s="22" t="inlineStr">
        <is>
          <t>Nairaland</t>
        </is>
      </c>
      <c r="D909" s="22" t="n">
        <v>0</v>
      </c>
      <c r="E909" s="22" t="inlineStr">
        <is>
          <t>Nairaland: Nairaland</t>
        </is>
      </c>
      <c r="F909" s="22" t="inlineStr">
        <is>
          <t>nairaland:Nairaland</t>
        </is>
      </c>
      <c r="G909" s="22" t="n">
        <v>0.402</v>
      </c>
      <c r="H909" s="22" t="n">
        <v>0</v>
      </c>
      <c r="I909" s="22" t="n">
        <v>0</v>
      </c>
      <c r="J909" s="22" t="n">
        <v>0</v>
      </c>
      <c r="K909" s="22" t="n">
        <v>0</v>
      </c>
      <c r="L909" s="22" t="n">
        <v>0</v>
      </c>
      <c r="M909" s="22" t="n">
        <v>1</v>
      </c>
      <c r="N909" s="22" t="n">
        <v>0</v>
      </c>
      <c r="O909" s="22" t="n">
        <v>0</v>
      </c>
      <c r="P909" s="22" t="n">
        <v>0</v>
      </c>
      <c r="Q909" s="22" t="n">
        <v>0</v>
      </c>
      <c r="R909" s="22" t="n">
        <v>0</v>
      </c>
      <c r="S909" s="22" t="n">
        <v>0</v>
      </c>
      <c r="T909" s="22" t="n">
        <v>0</v>
      </c>
      <c r="U909" s="3">
        <f>IF(OR(N909=1,Q909=1),1,0)</f>
        <v/>
      </c>
      <c r="V909" s="3">
        <f>IF(OR(T909=1,P909=1),1,0)</f>
        <v/>
      </c>
      <c r="W909" s="3">
        <f>IF(OR(J909=1),1,0)</f>
        <v/>
      </c>
      <c r="X909" s="3">
        <f>IF(OR(I909=1,H909=1),1,0)</f>
        <v/>
      </c>
      <c r="Y909" s="3">
        <f>IF(OR(G909=1),1,0)</f>
        <v/>
      </c>
      <c r="Z909" s="3">
        <f>IF(OR(F909=1),1,0)</f>
        <v/>
      </c>
      <c r="AA909" s="3">
        <f>IF(OR(M909=1),1,0)</f>
        <v/>
      </c>
    </row>
    <row r="910">
      <c r="A910" s="22" t="inlineStr">
        <is>
          <t>19cf08d0d3c86fbbd5535d3789cc34a4841b2c04</t>
        </is>
      </c>
      <c r="B910" s="22" t="inlineStr">
        <is>
          <t>2026-10</t>
        </is>
      </c>
      <c r="C910" s="22" t="inlineStr">
        <is>
          <t>Nairaland</t>
        </is>
      </c>
      <c r="D910" s="22" t="n">
        <v>0</v>
      </c>
      <c r="E910" s="22" t="inlineStr">
        <is>
          <t>Nairaland: Nairaland</t>
        </is>
      </c>
      <c r="F910" s="22" t="inlineStr">
        <is>
          <t>nairaland:Nairaland</t>
        </is>
      </c>
      <c r="G910" s="22" t="n">
        <v>0</v>
      </c>
      <c r="H910" s="22" t="n">
        <v>0</v>
      </c>
      <c r="I910" s="22" t="n">
        <v>0</v>
      </c>
      <c r="J910" s="22" t="n">
        <v>0</v>
      </c>
      <c r="K910" s="22" t="n">
        <v>0</v>
      </c>
      <c r="L910" s="22" t="n">
        <v>0</v>
      </c>
      <c r="M910" s="22" t="n">
        <v>0</v>
      </c>
      <c r="N910" s="22" t="n">
        <v>0</v>
      </c>
      <c r="O910" s="22" t="n">
        <v>1</v>
      </c>
      <c r="P910" s="22" t="n">
        <v>0</v>
      </c>
      <c r="Q910" s="22" t="n">
        <v>0</v>
      </c>
      <c r="R910" s="22" t="n">
        <v>0</v>
      </c>
      <c r="S910" s="22" t="n">
        <v>0</v>
      </c>
      <c r="T910" s="22" t="n">
        <v>0</v>
      </c>
      <c r="U910" s="3">
        <f>IF(OR(N910=1,Q910=1),1,0)</f>
        <v/>
      </c>
      <c r="V910" s="3">
        <f>IF(OR(T910=1,P910=1),1,0)</f>
        <v/>
      </c>
      <c r="W910" s="3">
        <f>IF(OR(J910=1),1,0)</f>
        <v/>
      </c>
      <c r="X910" s="3">
        <f>IF(OR(I910=1,H910=1),1,0)</f>
        <v/>
      </c>
      <c r="Y910" s="3">
        <f>IF(OR(G910=1),1,0)</f>
        <v/>
      </c>
      <c r="Z910" s="3">
        <f>IF(OR(F910=1),1,0)</f>
        <v/>
      </c>
      <c r="AA910" s="3">
        <f>IF(OR(M910=1),1,0)</f>
        <v/>
      </c>
    </row>
    <row r="911">
      <c r="A911" s="22" t="inlineStr">
        <is>
          <t>f74ee221767fc908cba0db3db221253bba15f413</t>
        </is>
      </c>
      <c r="B911" s="22" t="inlineStr">
        <is>
          <t>2026-10</t>
        </is>
      </c>
      <c r="C911" s="22" t="inlineStr">
        <is>
          <t>Nairaland</t>
        </is>
      </c>
      <c r="D911" s="22" t="n">
        <v>0</v>
      </c>
      <c r="E911" s="22" t="inlineStr">
        <is>
          <t>Nairaland: Nairaland</t>
        </is>
      </c>
      <c r="F911" s="22" t="inlineStr">
        <is>
          <t>nairaland:Nairaland</t>
        </is>
      </c>
      <c r="G911" s="22" t="n">
        <v>0.738</v>
      </c>
      <c r="H911" s="22" t="n">
        <v>0</v>
      </c>
      <c r="I911" s="22" t="n">
        <v>0</v>
      </c>
      <c r="J911" s="22" t="n">
        <v>0</v>
      </c>
      <c r="K911" s="22" t="n">
        <v>0</v>
      </c>
      <c r="L911" s="22" t="n">
        <v>0</v>
      </c>
      <c r="M911" s="22" t="n">
        <v>0</v>
      </c>
      <c r="N911" s="22" t="n">
        <v>0</v>
      </c>
      <c r="O911" s="22" t="n">
        <v>1</v>
      </c>
      <c r="P911" s="22" t="n">
        <v>0</v>
      </c>
      <c r="Q911" s="22" t="n">
        <v>0</v>
      </c>
      <c r="R911" s="22" t="n">
        <v>0</v>
      </c>
      <c r="S911" s="22" t="n">
        <v>0</v>
      </c>
      <c r="T911" s="22" t="n">
        <v>0</v>
      </c>
      <c r="U911" s="3">
        <f>IF(OR(N911=1,Q911=1),1,0)</f>
        <v/>
      </c>
      <c r="V911" s="3">
        <f>IF(OR(T911=1,P911=1),1,0)</f>
        <v/>
      </c>
      <c r="W911" s="3">
        <f>IF(OR(J911=1),1,0)</f>
        <v/>
      </c>
      <c r="X911" s="3">
        <f>IF(OR(I911=1,H911=1),1,0)</f>
        <v/>
      </c>
      <c r="Y911" s="3">
        <f>IF(OR(G911=1),1,0)</f>
        <v/>
      </c>
      <c r="Z911" s="3">
        <f>IF(OR(F911=1),1,0)</f>
        <v/>
      </c>
      <c r="AA911" s="3">
        <f>IF(OR(M911=1),1,0)</f>
        <v/>
      </c>
    </row>
    <row r="912">
      <c r="A912" s="22" t="inlineStr">
        <is>
          <t>5a4eb7567bf5948f586a44f3109637a988c406f0</t>
        </is>
      </c>
      <c r="B912" s="22" t="inlineStr">
        <is>
          <t>2026-10</t>
        </is>
      </c>
      <c r="C912" s="22" t="inlineStr">
        <is>
          <t>Nairaland</t>
        </is>
      </c>
      <c r="D912" s="22" t="n">
        <v>0</v>
      </c>
      <c r="E912" s="22" t="inlineStr">
        <is>
          <t>Nairaland: Nairaland</t>
        </is>
      </c>
      <c r="F912" s="22" t="inlineStr">
        <is>
          <t>nairaland:Nairaland</t>
        </is>
      </c>
      <c r="G912" s="22" t="n">
        <v>0.361</v>
      </c>
      <c r="H912" s="22" t="n">
        <v>0</v>
      </c>
      <c r="I912" s="22" t="n">
        <v>0</v>
      </c>
      <c r="J912" s="22" t="n">
        <v>0</v>
      </c>
      <c r="K912" s="22" t="n">
        <v>0</v>
      </c>
      <c r="L912" s="22" t="n">
        <v>0</v>
      </c>
      <c r="M912" s="22" t="n">
        <v>0</v>
      </c>
      <c r="N912" s="22" t="n">
        <v>0</v>
      </c>
      <c r="O912" s="22" t="n">
        <v>1</v>
      </c>
      <c r="P912" s="22" t="n">
        <v>0</v>
      </c>
      <c r="Q912" s="22" t="n">
        <v>0</v>
      </c>
      <c r="R912" s="22" t="n">
        <v>0</v>
      </c>
      <c r="S912" s="22" t="n">
        <v>0</v>
      </c>
      <c r="T912" s="22" t="n">
        <v>0</v>
      </c>
      <c r="U912" s="3">
        <f>IF(OR(N912=1,Q912=1),1,0)</f>
        <v/>
      </c>
      <c r="V912" s="3">
        <f>IF(OR(T912=1,P912=1),1,0)</f>
        <v/>
      </c>
      <c r="W912" s="3">
        <f>IF(OR(J912=1),1,0)</f>
        <v/>
      </c>
      <c r="X912" s="3">
        <f>IF(OR(I912=1,H912=1),1,0)</f>
        <v/>
      </c>
      <c r="Y912" s="3">
        <f>IF(OR(G912=1),1,0)</f>
        <v/>
      </c>
      <c r="Z912" s="3">
        <f>IF(OR(F912=1),1,0)</f>
        <v/>
      </c>
      <c r="AA912" s="3">
        <f>IF(OR(M912=1),1,0)</f>
        <v/>
      </c>
    </row>
    <row r="913">
      <c r="A913" s="22" t="inlineStr">
        <is>
          <t>f3401dc39236b9fa055984a93f0d24b9a6f63cfe</t>
        </is>
      </c>
      <c r="B913" s="22" t="inlineStr">
        <is>
          <t>2026-10</t>
        </is>
      </c>
      <c r="C913" s="22" t="inlineStr">
        <is>
          <t>Nairaland</t>
        </is>
      </c>
      <c r="D913" s="22" t="n">
        <v>0</v>
      </c>
      <c r="E913" s="22" t="inlineStr">
        <is>
          <t>Nairaland: Nairaland</t>
        </is>
      </c>
      <c r="F913" s="22" t="inlineStr">
        <is>
          <t>nairaland:Nairaland</t>
        </is>
      </c>
      <c r="G913" s="22" t="n">
        <v>0.637</v>
      </c>
      <c r="H913" s="22" t="n">
        <v>0</v>
      </c>
      <c r="I913" s="22" t="n">
        <v>0</v>
      </c>
      <c r="J913" s="22" t="n">
        <v>0</v>
      </c>
      <c r="K913" s="22" t="n">
        <v>0</v>
      </c>
      <c r="L913" s="22" t="n">
        <v>0</v>
      </c>
      <c r="M913" s="22" t="n">
        <v>0</v>
      </c>
      <c r="N913" s="22" t="n">
        <v>0</v>
      </c>
      <c r="O913" s="22" t="n">
        <v>1</v>
      </c>
      <c r="P913" s="22" t="n">
        <v>0</v>
      </c>
      <c r="Q913" s="22" t="n">
        <v>0</v>
      </c>
      <c r="R913" s="22" t="n">
        <v>0</v>
      </c>
      <c r="S913" s="22" t="n">
        <v>0</v>
      </c>
      <c r="T913" s="22" t="n">
        <v>0</v>
      </c>
      <c r="U913" s="3">
        <f>IF(OR(N913=1,Q913=1),1,0)</f>
        <v/>
      </c>
      <c r="V913" s="3">
        <f>IF(OR(T913=1,P913=1),1,0)</f>
        <v/>
      </c>
      <c r="W913" s="3">
        <f>IF(OR(J913=1),1,0)</f>
        <v/>
      </c>
      <c r="X913" s="3">
        <f>IF(OR(I913=1,H913=1),1,0)</f>
        <v/>
      </c>
      <c r="Y913" s="3">
        <f>IF(OR(G913=1),1,0)</f>
        <v/>
      </c>
      <c r="Z913" s="3">
        <f>IF(OR(F913=1),1,0)</f>
        <v/>
      </c>
      <c r="AA913" s="3">
        <f>IF(OR(M913=1),1,0)</f>
        <v/>
      </c>
    </row>
    <row r="914">
      <c r="A914" s="22" t="inlineStr">
        <is>
          <t>006b85ccb4cd8bceaf31952b321cade969953c3b</t>
        </is>
      </c>
      <c r="B914" s="22" t="inlineStr">
        <is>
          <t>2026-10</t>
        </is>
      </c>
      <c r="C914" s="22" t="inlineStr">
        <is>
          <t>Nairaland</t>
        </is>
      </c>
      <c r="D914" s="22" t="n">
        <v>0</v>
      </c>
      <c r="E914" s="22" t="inlineStr">
        <is>
          <t>Nairaland: Nairaland</t>
        </is>
      </c>
      <c r="F914" s="22" t="inlineStr">
        <is>
          <t>nairaland:Nairaland</t>
        </is>
      </c>
      <c r="G914" s="22" t="n">
        <v>-0.5580000000000001</v>
      </c>
      <c r="H914" s="22" t="n">
        <v>0</v>
      </c>
      <c r="I914" s="22" t="n">
        <v>0</v>
      </c>
      <c r="J914" s="22" t="n">
        <v>0</v>
      </c>
      <c r="K914" s="22" t="n">
        <v>0</v>
      </c>
      <c r="L914" s="22" t="n">
        <v>0</v>
      </c>
      <c r="M914" s="22" t="n">
        <v>0</v>
      </c>
      <c r="N914" s="22" t="n">
        <v>0</v>
      </c>
      <c r="O914" s="22" t="n">
        <v>0</v>
      </c>
      <c r="P914" s="22" t="n">
        <v>0</v>
      </c>
      <c r="Q914" s="22" t="n">
        <v>0</v>
      </c>
      <c r="R914" s="22" t="n">
        <v>0</v>
      </c>
      <c r="S914" s="22" t="n">
        <v>0</v>
      </c>
      <c r="T914" s="22" t="n">
        <v>0</v>
      </c>
      <c r="U914" s="3">
        <f>IF(OR(N914=1,Q914=1),1,0)</f>
        <v/>
      </c>
      <c r="V914" s="3">
        <f>IF(OR(T914=1,P914=1),1,0)</f>
        <v/>
      </c>
      <c r="W914" s="3">
        <f>IF(OR(J914=1),1,0)</f>
        <v/>
      </c>
      <c r="X914" s="3">
        <f>IF(OR(I914=1,H914=1),1,0)</f>
        <v/>
      </c>
      <c r="Y914" s="3">
        <f>IF(OR(G914=1),1,0)</f>
        <v/>
      </c>
      <c r="Z914" s="3">
        <f>IF(OR(F914=1),1,0)</f>
        <v/>
      </c>
      <c r="AA914" s="3">
        <f>IF(OR(M914=1),1,0)</f>
        <v/>
      </c>
    </row>
    <row r="915">
      <c r="A915" s="22" t="inlineStr">
        <is>
          <t>9b39e8fc47c5b88c8420176a9bc19cf9d2b6f503</t>
        </is>
      </c>
      <c r="B915" s="22" t="inlineStr">
        <is>
          <t>2026-10</t>
        </is>
      </c>
      <c r="C915" s="22" t="inlineStr">
        <is>
          <t>Nairaland</t>
        </is>
      </c>
      <c r="D915" s="22" t="n">
        <v>0</v>
      </c>
      <c r="E915" s="22" t="inlineStr">
        <is>
          <t>Nairaland: Nairaland</t>
        </is>
      </c>
      <c r="F915" s="22" t="inlineStr">
        <is>
          <t>nairaland:Nairaland</t>
        </is>
      </c>
      <c r="G915" s="22" t="n">
        <v>-0.312</v>
      </c>
      <c r="H915" s="22" t="n">
        <v>1</v>
      </c>
      <c r="I915" s="22" t="n">
        <v>0</v>
      </c>
      <c r="J915" s="22" t="n">
        <v>0</v>
      </c>
      <c r="K915" s="22" t="n">
        <v>0</v>
      </c>
      <c r="L915" s="22" t="n">
        <v>0</v>
      </c>
      <c r="M915" s="22" t="n">
        <v>0</v>
      </c>
      <c r="N915" s="22" t="n">
        <v>0</v>
      </c>
      <c r="O915" s="22" t="n">
        <v>0</v>
      </c>
      <c r="P915" s="22" t="n">
        <v>0</v>
      </c>
      <c r="Q915" s="22" t="n">
        <v>0</v>
      </c>
      <c r="R915" s="22" t="n">
        <v>0</v>
      </c>
      <c r="S915" s="22" t="n">
        <v>0</v>
      </c>
      <c r="T915" s="22" t="n">
        <v>0</v>
      </c>
      <c r="U915" s="3">
        <f>IF(OR(N915=1,Q915=1),1,0)</f>
        <v/>
      </c>
      <c r="V915" s="3">
        <f>IF(OR(T915=1,P915=1),1,0)</f>
        <v/>
      </c>
      <c r="W915" s="3">
        <f>IF(OR(J915=1),1,0)</f>
        <v/>
      </c>
      <c r="X915" s="3">
        <f>IF(OR(I915=1,H915=1),1,0)</f>
        <v/>
      </c>
      <c r="Y915" s="3">
        <f>IF(OR(G915=1),1,0)</f>
        <v/>
      </c>
      <c r="Z915" s="3">
        <f>IF(OR(F915=1),1,0)</f>
        <v/>
      </c>
      <c r="AA915" s="3">
        <f>IF(OR(M915=1),1,0)</f>
        <v/>
      </c>
    </row>
    <row r="916">
      <c r="A916" s="22" t="inlineStr">
        <is>
          <t>487f2f0af160b7376284ffdd3cfeff20599327cb</t>
        </is>
      </c>
      <c r="B916" s="22" t="inlineStr">
        <is>
          <t>2026-10</t>
        </is>
      </c>
      <c r="C916" s="22" t="inlineStr">
        <is>
          <t>Nairaland</t>
        </is>
      </c>
      <c r="D916" s="22" t="n">
        <v>0</v>
      </c>
      <c r="E916" s="22" t="inlineStr">
        <is>
          <t>Nairaland: Nairaland</t>
        </is>
      </c>
      <c r="F916" s="22" t="inlineStr">
        <is>
          <t>nairaland:Nairaland</t>
        </is>
      </c>
      <c r="G916" s="22" t="n">
        <v>0.494</v>
      </c>
      <c r="H916" s="22" t="n">
        <v>0</v>
      </c>
      <c r="I916" s="22" t="n">
        <v>0</v>
      </c>
      <c r="J916" s="22" t="n">
        <v>0</v>
      </c>
      <c r="K916" s="22" t="n">
        <v>0</v>
      </c>
      <c r="L916" s="22" t="n">
        <v>0</v>
      </c>
      <c r="M916" s="22" t="n">
        <v>0</v>
      </c>
      <c r="N916" s="22" t="n">
        <v>0</v>
      </c>
      <c r="O916" s="22" t="n">
        <v>1</v>
      </c>
      <c r="P916" s="22" t="n">
        <v>0</v>
      </c>
      <c r="Q916" s="22" t="n">
        <v>0</v>
      </c>
      <c r="R916" s="22" t="n">
        <v>0</v>
      </c>
      <c r="S916" s="22" t="n">
        <v>0</v>
      </c>
      <c r="T916" s="22" t="n">
        <v>0</v>
      </c>
      <c r="U916" s="3">
        <f>IF(OR(N916=1,Q916=1),1,0)</f>
        <v/>
      </c>
      <c r="V916" s="3">
        <f>IF(OR(T916=1,P916=1),1,0)</f>
        <v/>
      </c>
      <c r="W916" s="3">
        <f>IF(OR(J916=1),1,0)</f>
        <v/>
      </c>
      <c r="X916" s="3">
        <f>IF(OR(I916=1,H916=1),1,0)</f>
        <v/>
      </c>
      <c r="Y916" s="3">
        <f>IF(OR(G916=1),1,0)</f>
        <v/>
      </c>
      <c r="Z916" s="3">
        <f>IF(OR(F916=1),1,0)</f>
        <v/>
      </c>
      <c r="AA916" s="3">
        <f>IF(OR(M916=1),1,0)</f>
        <v/>
      </c>
    </row>
    <row r="917">
      <c r="A917" s="22" t="inlineStr">
        <is>
          <t>a34b4bbc7298bf246cdbf3c1ac1bb9a7b4ef9302</t>
        </is>
      </c>
      <c r="B917" s="22" t="inlineStr">
        <is>
          <t>2026-10</t>
        </is>
      </c>
      <c r="C917" s="22" t="inlineStr">
        <is>
          <t>Nairaland</t>
        </is>
      </c>
      <c r="D917" s="22" t="n">
        <v>0</v>
      </c>
      <c r="E917" s="22" t="inlineStr">
        <is>
          <t>Nairaland: Nairaland</t>
        </is>
      </c>
      <c r="F917" s="22" t="inlineStr">
        <is>
          <t>nairaland:Nairaland</t>
        </is>
      </c>
      <c r="G917" s="22" t="n">
        <v>-0.586</v>
      </c>
      <c r="H917" s="22" t="n">
        <v>1</v>
      </c>
      <c r="I917" s="22" t="n">
        <v>0</v>
      </c>
      <c r="J917" s="22" t="n">
        <v>0</v>
      </c>
      <c r="K917" s="22" t="n">
        <v>0</v>
      </c>
      <c r="L917" s="22" t="n">
        <v>0</v>
      </c>
      <c r="M917" s="22" t="n">
        <v>0</v>
      </c>
      <c r="N917" s="22" t="n">
        <v>0</v>
      </c>
      <c r="O917" s="22" t="n">
        <v>0</v>
      </c>
      <c r="P917" s="22" t="n">
        <v>0</v>
      </c>
      <c r="Q917" s="22" t="n">
        <v>0</v>
      </c>
      <c r="R917" s="22" t="n">
        <v>0</v>
      </c>
      <c r="S917" s="22" t="n">
        <v>0</v>
      </c>
      <c r="T917" s="22" t="n">
        <v>0</v>
      </c>
      <c r="U917" s="3">
        <f>IF(OR(N917=1,Q917=1),1,0)</f>
        <v/>
      </c>
      <c r="V917" s="3">
        <f>IF(OR(T917=1,P917=1),1,0)</f>
        <v/>
      </c>
      <c r="W917" s="3">
        <f>IF(OR(J917=1),1,0)</f>
        <v/>
      </c>
      <c r="X917" s="3">
        <f>IF(OR(I917=1,H917=1),1,0)</f>
        <v/>
      </c>
      <c r="Y917" s="3">
        <f>IF(OR(G917=1),1,0)</f>
        <v/>
      </c>
      <c r="Z917" s="3">
        <f>IF(OR(F917=1),1,0)</f>
        <v/>
      </c>
      <c r="AA917" s="3">
        <f>IF(OR(M917=1),1,0)</f>
        <v/>
      </c>
    </row>
    <row r="918">
      <c r="A918" s="22" t="inlineStr">
        <is>
          <t>f6cfd059548524d5f5a5a9b0139bd06740c16515</t>
        </is>
      </c>
      <c r="B918" s="22" t="inlineStr">
        <is>
          <t>2026-10</t>
        </is>
      </c>
      <c r="C918" s="22" t="inlineStr">
        <is>
          <t>Nairaland</t>
        </is>
      </c>
      <c r="D918" s="22" t="n">
        <v>0</v>
      </c>
      <c r="E918" s="22" t="inlineStr">
        <is>
          <t>Nairaland: Nairaland</t>
        </is>
      </c>
      <c r="F918" s="22" t="inlineStr">
        <is>
          <t>nairaland:Nairaland</t>
        </is>
      </c>
      <c r="G918" s="22" t="n">
        <v>-0.65</v>
      </c>
      <c r="H918" s="22" t="n">
        <v>0</v>
      </c>
      <c r="I918" s="22" t="n">
        <v>0</v>
      </c>
      <c r="J918" s="22" t="n">
        <v>0</v>
      </c>
      <c r="K918" s="22" t="n">
        <v>0</v>
      </c>
      <c r="L918" s="22" t="n">
        <v>0</v>
      </c>
      <c r="M918" s="22" t="n">
        <v>1</v>
      </c>
      <c r="N918" s="22" t="n">
        <v>0</v>
      </c>
      <c r="O918" s="22" t="n">
        <v>0</v>
      </c>
      <c r="P918" s="22" t="n">
        <v>0</v>
      </c>
      <c r="Q918" s="22" t="n">
        <v>0</v>
      </c>
      <c r="R918" s="22" t="n">
        <v>0</v>
      </c>
      <c r="S918" s="22" t="n">
        <v>0</v>
      </c>
      <c r="T918" s="22" t="n">
        <v>0</v>
      </c>
      <c r="U918" s="3">
        <f>IF(OR(N918=1,Q918=1),1,0)</f>
        <v/>
      </c>
      <c r="V918" s="3">
        <f>IF(OR(T918=1,P918=1),1,0)</f>
        <v/>
      </c>
      <c r="W918" s="3">
        <f>IF(OR(J918=1),1,0)</f>
        <v/>
      </c>
      <c r="X918" s="3">
        <f>IF(OR(I918=1,H918=1),1,0)</f>
        <v/>
      </c>
      <c r="Y918" s="3">
        <f>IF(OR(G918=1),1,0)</f>
        <v/>
      </c>
      <c r="Z918" s="3">
        <f>IF(OR(F918=1),1,0)</f>
        <v/>
      </c>
      <c r="AA918" s="3">
        <f>IF(OR(M918=1),1,0)</f>
        <v/>
      </c>
    </row>
    <row r="919">
      <c r="A919" s="22" t="inlineStr">
        <is>
          <t>73d8672562aa209325584487a282fad52110fae1</t>
        </is>
      </c>
      <c r="B919" s="22" t="inlineStr">
        <is>
          <t>2026-10</t>
        </is>
      </c>
      <c r="C919" s="22" t="inlineStr">
        <is>
          <t>Nairaland</t>
        </is>
      </c>
      <c r="D919" s="22" t="n">
        <v>0</v>
      </c>
      <c r="E919" s="22" t="inlineStr">
        <is>
          <t>Nairaland: Nairaland</t>
        </is>
      </c>
      <c r="F919" s="22" t="inlineStr">
        <is>
          <t>nairaland:Nairaland</t>
        </is>
      </c>
      <c r="G919" s="22" t="n">
        <v>0.509</v>
      </c>
      <c r="H919" s="22" t="n">
        <v>0</v>
      </c>
      <c r="I919" s="22" t="n">
        <v>0</v>
      </c>
      <c r="J919" s="22" t="n">
        <v>0</v>
      </c>
      <c r="K919" s="22" t="n">
        <v>0</v>
      </c>
      <c r="L919" s="22" t="n">
        <v>0</v>
      </c>
      <c r="M919" s="22" t="n">
        <v>0</v>
      </c>
      <c r="N919" s="22" t="n">
        <v>0</v>
      </c>
      <c r="O919" s="22" t="n">
        <v>1</v>
      </c>
      <c r="P919" s="22" t="n">
        <v>0</v>
      </c>
      <c r="Q919" s="22" t="n">
        <v>0</v>
      </c>
      <c r="R919" s="22" t="n">
        <v>0</v>
      </c>
      <c r="S919" s="22" t="n">
        <v>0</v>
      </c>
      <c r="T919" s="22" t="n">
        <v>0</v>
      </c>
      <c r="U919" s="3">
        <f>IF(OR(N919=1,Q919=1),1,0)</f>
        <v/>
      </c>
      <c r="V919" s="3">
        <f>IF(OR(T919=1,P919=1),1,0)</f>
        <v/>
      </c>
      <c r="W919" s="3">
        <f>IF(OR(J919=1),1,0)</f>
        <v/>
      </c>
      <c r="X919" s="3">
        <f>IF(OR(I919=1,H919=1),1,0)</f>
        <v/>
      </c>
      <c r="Y919" s="3">
        <f>IF(OR(G919=1),1,0)</f>
        <v/>
      </c>
      <c r="Z919" s="3">
        <f>IF(OR(F919=1),1,0)</f>
        <v/>
      </c>
      <c r="AA919" s="3">
        <f>IF(OR(M919=1),1,0)</f>
        <v/>
      </c>
    </row>
    <row r="920">
      <c r="A920" s="22" t="inlineStr">
        <is>
          <t>79363a8af3e69196400cb218b97ae924c3d313ec</t>
        </is>
      </c>
      <c r="B920" s="22" t="inlineStr">
        <is>
          <t>2026-10</t>
        </is>
      </c>
      <c r="C920" s="22" t="inlineStr">
        <is>
          <t>Nairaland</t>
        </is>
      </c>
      <c r="D920" s="22" t="n">
        <v>0</v>
      </c>
      <c r="E920" s="22" t="inlineStr">
        <is>
          <t>Nairaland: Nairaland</t>
        </is>
      </c>
      <c r="F920" s="22" t="inlineStr">
        <is>
          <t>nairaland:Nairaland</t>
        </is>
      </c>
      <c r="G920" s="22" t="n">
        <v>0.8129999999999999</v>
      </c>
      <c r="H920" s="22" t="n">
        <v>0</v>
      </c>
      <c r="I920" s="22" t="n">
        <v>0</v>
      </c>
      <c r="J920" s="22" t="n">
        <v>0</v>
      </c>
      <c r="K920" s="22" t="n">
        <v>0</v>
      </c>
      <c r="L920" s="22" t="n">
        <v>0</v>
      </c>
      <c r="M920" s="22" t="n">
        <v>0</v>
      </c>
      <c r="N920" s="22" t="n">
        <v>0</v>
      </c>
      <c r="O920" s="22" t="n">
        <v>1</v>
      </c>
      <c r="P920" s="22" t="n">
        <v>0</v>
      </c>
      <c r="Q920" s="22" t="n">
        <v>0</v>
      </c>
      <c r="R920" s="22" t="n">
        <v>0</v>
      </c>
      <c r="S920" s="22" t="n">
        <v>0</v>
      </c>
      <c r="T920" s="22" t="n">
        <v>0</v>
      </c>
      <c r="U920" s="3">
        <f>IF(OR(N920=1,Q920=1),1,0)</f>
        <v/>
      </c>
      <c r="V920" s="3">
        <f>IF(OR(T920=1,P920=1),1,0)</f>
        <v/>
      </c>
      <c r="W920" s="3">
        <f>IF(OR(J920=1),1,0)</f>
        <v/>
      </c>
      <c r="X920" s="3">
        <f>IF(OR(I920=1,H920=1),1,0)</f>
        <v/>
      </c>
      <c r="Y920" s="3">
        <f>IF(OR(G920=1),1,0)</f>
        <v/>
      </c>
      <c r="Z920" s="3">
        <f>IF(OR(F920=1),1,0)</f>
        <v/>
      </c>
      <c r="AA920" s="3">
        <f>IF(OR(M920=1),1,0)</f>
        <v/>
      </c>
    </row>
    <row r="921">
      <c r="A921" s="22" t="inlineStr">
        <is>
          <t>52d468dc554eaa00cbcc9279bac5889d61a0c233</t>
        </is>
      </c>
      <c r="B921" s="22" t="inlineStr">
        <is>
          <t>2026-09</t>
        </is>
      </c>
      <c r="C921" s="22" t="inlineStr">
        <is>
          <t>Nairaland</t>
        </is>
      </c>
      <c r="D921" s="22" t="n">
        <v>0</v>
      </c>
      <c r="E921" s="22" t="inlineStr">
        <is>
          <t>Nairaland: Nairaland</t>
        </is>
      </c>
      <c r="F921" s="22" t="inlineStr">
        <is>
          <t>nairaland:Nairaland</t>
        </is>
      </c>
      <c r="G921" s="22" t="n">
        <v>0.914</v>
      </c>
      <c r="H921" s="22" t="n">
        <v>0</v>
      </c>
      <c r="I921" s="22" t="n">
        <v>0</v>
      </c>
      <c r="J921" s="22" t="n">
        <v>0</v>
      </c>
      <c r="K921" s="22" t="n">
        <v>0</v>
      </c>
      <c r="L921" s="22" t="n">
        <v>0</v>
      </c>
      <c r="M921" s="22" t="n">
        <v>0</v>
      </c>
      <c r="N921" s="22" t="n">
        <v>0</v>
      </c>
      <c r="O921" s="22" t="n">
        <v>1</v>
      </c>
      <c r="P921" s="22" t="n">
        <v>0</v>
      </c>
      <c r="Q921" s="22" t="n">
        <v>0</v>
      </c>
      <c r="R921" s="22" t="n">
        <v>0</v>
      </c>
      <c r="S921" s="22" t="n">
        <v>0</v>
      </c>
      <c r="T921" s="22" t="n">
        <v>0</v>
      </c>
      <c r="U921" s="3">
        <f>IF(OR(N921=1,Q921=1),1,0)</f>
        <v/>
      </c>
      <c r="V921" s="3">
        <f>IF(OR(T921=1,P921=1),1,0)</f>
        <v/>
      </c>
      <c r="W921" s="3">
        <f>IF(OR(J921=1),1,0)</f>
        <v/>
      </c>
      <c r="X921" s="3">
        <f>IF(OR(I921=1,H921=1),1,0)</f>
        <v/>
      </c>
      <c r="Y921" s="3">
        <f>IF(OR(G921=1),1,0)</f>
        <v/>
      </c>
      <c r="Z921" s="3">
        <f>IF(OR(F921=1),1,0)</f>
        <v/>
      </c>
      <c r="AA921" s="3">
        <f>IF(OR(M921=1),1,0)</f>
        <v/>
      </c>
    </row>
    <row r="922">
      <c r="A922" s="22" t="inlineStr">
        <is>
          <t>f38f211ac57969a41b148d0bfd6dc3f0257f188a</t>
        </is>
      </c>
      <c r="B922" s="22" t="inlineStr">
        <is>
          <t>2026-09</t>
        </is>
      </c>
      <c r="C922" s="22" t="inlineStr">
        <is>
          <t>Nairaland</t>
        </is>
      </c>
      <c r="D922" s="22" t="n">
        <v>0</v>
      </c>
      <c r="E922" s="22" t="inlineStr">
        <is>
          <t>Nairaland: Nairaland</t>
        </is>
      </c>
      <c r="F922" s="22" t="inlineStr">
        <is>
          <t>nairaland:Nairaland</t>
        </is>
      </c>
      <c r="G922" s="22" t="n">
        <v>0</v>
      </c>
      <c r="H922" s="22" t="n">
        <v>0</v>
      </c>
      <c r="I922" s="22" t="n">
        <v>0</v>
      </c>
      <c r="J922" s="22" t="n">
        <v>0</v>
      </c>
      <c r="K922" s="22" t="n">
        <v>0</v>
      </c>
      <c r="L922" s="22" t="n">
        <v>0</v>
      </c>
      <c r="M922" s="22" t="n">
        <v>0</v>
      </c>
      <c r="N922" s="22" t="n">
        <v>0</v>
      </c>
      <c r="O922" s="22" t="n">
        <v>1</v>
      </c>
      <c r="P922" s="22" t="n">
        <v>0</v>
      </c>
      <c r="Q922" s="22" t="n">
        <v>0</v>
      </c>
      <c r="R922" s="22" t="n">
        <v>0</v>
      </c>
      <c r="S922" s="22" t="n">
        <v>0</v>
      </c>
      <c r="T922" s="22" t="n">
        <v>0</v>
      </c>
      <c r="U922" s="3">
        <f>IF(OR(N922=1,Q922=1),1,0)</f>
        <v/>
      </c>
      <c r="V922" s="3">
        <f>IF(OR(T922=1,P922=1),1,0)</f>
        <v/>
      </c>
      <c r="W922" s="3">
        <f>IF(OR(J922=1),1,0)</f>
        <v/>
      </c>
      <c r="X922" s="3">
        <f>IF(OR(I922=1,H922=1),1,0)</f>
        <v/>
      </c>
      <c r="Y922" s="3">
        <f>IF(OR(G922=1),1,0)</f>
        <v/>
      </c>
      <c r="Z922" s="3">
        <f>IF(OR(F922=1),1,0)</f>
        <v/>
      </c>
      <c r="AA922" s="3">
        <f>IF(OR(M922=1),1,0)</f>
        <v/>
      </c>
    </row>
    <row r="923">
      <c r="A923" s="22" t="inlineStr">
        <is>
          <t>68c779115b0b3e18f12de72a52dae9da74dcd032</t>
        </is>
      </c>
      <c r="B923" s="22" t="inlineStr">
        <is>
          <t>2026-08</t>
        </is>
      </c>
      <c r="C923" s="22" t="inlineStr">
        <is>
          <t>X</t>
        </is>
      </c>
      <c r="D923" s="22" t="n">
        <v>1</v>
      </c>
      <c r="E923" s="22" t="inlineStr">
        <is>
          <t>X: X search (Top): Electoral Act 2026</t>
        </is>
      </c>
      <c r="F923" s="22" t="inlineStr">
        <is>
          <t>x:X search (Top): Electoral Act 2026</t>
        </is>
      </c>
      <c r="G923" s="22" t="n">
        <v>-0.8129999999999999</v>
      </c>
      <c r="H923" s="22" t="n">
        <v>0</v>
      </c>
      <c r="I923" s="22" t="n">
        <v>0</v>
      </c>
      <c r="J923" s="22" t="n">
        <v>0</v>
      </c>
      <c r="K923" s="22" t="n">
        <v>0</v>
      </c>
      <c r="L923" s="22" t="n">
        <v>0</v>
      </c>
      <c r="M923" s="22" t="n">
        <v>0</v>
      </c>
      <c r="N923" s="22" t="n">
        <v>0</v>
      </c>
      <c r="O923" s="22" t="n">
        <v>1</v>
      </c>
      <c r="P923" s="22" t="n">
        <v>0</v>
      </c>
      <c r="Q923" s="22" t="n">
        <v>0</v>
      </c>
      <c r="R923" s="22" t="n">
        <v>0</v>
      </c>
      <c r="S923" s="22" t="n">
        <v>0</v>
      </c>
      <c r="T923" s="22" t="n">
        <v>0</v>
      </c>
      <c r="U923" s="3">
        <f>IF(OR(N923=1,Q923=1),1,0)</f>
        <v/>
      </c>
      <c r="V923" s="3">
        <f>IF(OR(T923=1,P923=1),1,0)</f>
        <v/>
      </c>
      <c r="W923" s="3">
        <f>IF(OR(J923=1),1,0)</f>
        <v/>
      </c>
      <c r="X923" s="3">
        <f>IF(OR(I923=1,H923=1),1,0)</f>
        <v/>
      </c>
      <c r="Y923" s="3">
        <f>IF(OR(G923=1),1,0)</f>
        <v/>
      </c>
      <c r="Z923" s="3">
        <f>IF(OR(F923=1),1,0)</f>
        <v/>
      </c>
      <c r="AA923" s="3">
        <f>IF(OR(M923=1),1,0)</f>
        <v/>
      </c>
    </row>
    <row r="924">
      <c r="A924" s="22" t="inlineStr">
        <is>
          <t>dca47b71a2145f29b06382fd918835cd5218170d</t>
        </is>
      </c>
      <c r="B924" s="22" t="inlineStr">
        <is>
          <t>2026-10</t>
        </is>
      </c>
      <c r="C924" s="22" t="inlineStr">
        <is>
          <t>X</t>
        </is>
      </c>
      <c r="D924" s="22" t="n">
        <v>1</v>
      </c>
      <c r="E924" s="22" t="inlineStr">
        <is>
          <t>X: X search (Top): Electoral Act 2026</t>
        </is>
      </c>
      <c r="F924" s="22" t="inlineStr">
        <is>
          <t>x:X search (Top): Electoral Act 2026</t>
        </is>
      </c>
      <c r="G924" s="22" t="n">
        <v>-0.744</v>
      </c>
      <c r="H924" s="22" t="n">
        <v>0</v>
      </c>
      <c r="I924" s="22" t="n">
        <v>0</v>
      </c>
      <c r="J924" s="22" t="n">
        <v>0</v>
      </c>
      <c r="K924" s="22" t="n">
        <v>0</v>
      </c>
      <c r="L924" s="22" t="n">
        <v>0</v>
      </c>
      <c r="M924" s="22" t="n">
        <v>1</v>
      </c>
      <c r="N924" s="22" t="n">
        <v>0</v>
      </c>
      <c r="O924" s="22" t="n">
        <v>0</v>
      </c>
      <c r="P924" s="22" t="n">
        <v>0</v>
      </c>
      <c r="Q924" s="22" t="n">
        <v>0</v>
      </c>
      <c r="R924" s="22" t="n">
        <v>0</v>
      </c>
      <c r="S924" s="22" t="n">
        <v>0</v>
      </c>
      <c r="T924" s="22" t="n">
        <v>0</v>
      </c>
      <c r="U924" s="3">
        <f>IF(OR(N924=1,Q924=1),1,0)</f>
        <v/>
      </c>
      <c r="V924" s="3">
        <f>IF(OR(T924=1,P924=1),1,0)</f>
        <v/>
      </c>
      <c r="W924" s="3">
        <f>IF(OR(J924=1),1,0)</f>
        <v/>
      </c>
      <c r="X924" s="3">
        <f>IF(OR(I924=1,H924=1),1,0)</f>
        <v/>
      </c>
      <c r="Y924" s="3">
        <f>IF(OR(G924=1),1,0)</f>
        <v/>
      </c>
      <c r="Z924" s="3">
        <f>IF(OR(F924=1),1,0)</f>
        <v/>
      </c>
      <c r="AA924" s="3">
        <f>IF(OR(M924=1),1,0)</f>
        <v/>
      </c>
    </row>
    <row r="925">
      <c r="A925" s="22" t="inlineStr">
        <is>
          <t>2aecd305eed454ff4c75e25681153915f399001d</t>
        </is>
      </c>
      <c r="B925" s="22" t="inlineStr">
        <is>
          <t>2026-08</t>
        </is>
      </c>
      <c r="C925" s="22" t="inlineStr">
        <is>
          <t>X</t>
        </is>
      </c>
      <c r="D925" s="22" t="n">
        <v>1</v>
      </c>
      <c r="E925" s="22" t="inlineStr">
        <is>
          <t>X: X search (Top): Electoral Act 2026</t>
        </is>
      </c>
      <c r="F925" s="22" t="inlineStr">
        <is>
          <t>x:X search (Top): Electoral Act 2026</t>
        </is>
      </c>
      <c r="G925" s="22" t="n">
        <v>-0.758</v>
      </c>
      <c r="H925" s="22" t="n">
        <v>0</v>
      </c>
      <c r="I925" s="22" t="n">
        <v>0</v>
      </c>
      <c r="J925" s="22" t="n">
        <v>0</v>
      </c>
      <c r="K925" s="22" t="n">
        <v>0</v>
      </c>
      <c r="L925" s="22" t="n">
        <v>0</v>
      </c>
      <c r="M925" s="22" t="n">
        <v>0</v>
      </c>
      <c r="N925" s="22" t="n">
        <v>0</v>
      </c>
      <c r="O925" s="22" t="n">
        <v>1</v>
      </c>
      <c r="P925" s="22" t="n">
        <v>0</v>
      </c>
      <c r="Q925" s="22" t="n">
        <v>0</v>
      </c>
      <c r="R925" s="22" t="n">
        <v>0</v>
      </c>
      <c r="S925" s="22" t="n">
        <v>0</v>
      </c>
      <c r="T925" s="22" t="n">
        <v>0</v>
      </c>
      <c r="U925" s="3">
        <f>IF(OR(N925=1,Q925=1),1,0)</f>
        <v/>
      </c>
      <c r="V925" s="3">
        <f>IF(OR(T925=1,P925=1),1,0)</f>
        <v/>
      </c>
      <c r="W925" s="3">
        <f>IF(OR(J925=1),1,0)</f>
        <v/>
      </c>
      <c r="X925" s="3">
        <f>IF(OR(I925=1,H925=1),1,0)</f>
        <v/>
      </c>
      <c r="Y925" s="3">
        <f>IF(OR(G925=1),1,0)</f>
        <v/>
      </c>
      <c r="Z925" s="3">
        <f>IF(OR(F925=1),1,0)</f>
        <v/>
      </c>
      <c r="AA925" s="3">
        <f>IF(OR(M925=1),1,0)</f>
        <v/>
      </c>
    </row>
    <row r="926">
      <c r="A926" s="22" t="inlineStr">
        <is>
          <t>1e6d16c24a8de0ee870aef90532e893ed99aeff1</t>
        </is>
      </c>
      <c r="B926" s="22" t="inlineStr">
        <is>
          <t>2026-09</t>
        </is>
      </c>
      <c r="C926" s="22" t="inlineStr">
        <is>
          <t>X</t>
        </is>
      </c>
      <c r="D926" s="22" t="n">
        <v>1</v>
      </c>
      <c r="E926" s="22" t="inlineStr">
        <is>
          <t>X: X search (Top): Electoral Act 2026</t>
        </is>
      </c>
      <c r="F926" s="22" t="inlineStr">
        <is>
          <t>x:X search (Top): Electoral Act 2026</t>
        </is>
      </c>
      <c r="G926" s="22" t="n">
        <v>0.6909999999999999</v>
      </c>
      <c r="H926" s="22" t="n">
        <v>0</v>
      </c>
      <c r="I926" s="22" t="n">
        <v>0</v>
      </c>
      <c r="J926" s="22" t="n">
        <v>0</v>
      </c>
      <c r="K926" s="22" t="n">
        <v>0</v>
      </c>
      <c r="L926" s="22" t="n">
        <v>0</v>
      </c>
      <c r="M926" s="22" t="n">
        <v>0</v>
      </c>
      <c r="N926" s="22" t="n">
        <v>0</v>
      </c>
      <c r="O926" s="22" t="n">
        <v>1</v>
      </c>
      <c r="P926" s="22" t="n">
        <v>0</v>
      </c>
      <c r="Q926" s="22" t="n">
        <v>0</v>
      </c>
      <c r="R926" s="22" t="n">
        <v>0</v>
      </c>
      <c r="S926" s="22" t="n">
        <v>0</v>
      </c>
      <c r="T926" s="22" t="n">
        <v>0</v>
      </c>
      <c r="U926" s="3">
        <f>IF(OR(N926=1,Q926=1),1,0)</f>
        <v/>
      </c>
      <c r="V926" s="3">
        <f>IF(OR(T926=1,P926=1),1,0)</f>
        <v/>
      </c>
      <c r="W926" s="3">
        <f>IF(OR(J926=1),1,0)</f>
        <v/>
      </c>
      <c r="X926" s="3">
        <f>IF(OR(I926=1,H926=1),1,0)</f>
        <v/>
      </c>
      <c r="Y926" s="3">
        <f>IF(OR(G926=1),1,0)</f>
        <v/>
      </c>
      <c r="Z926" s="3">
        <f>IF(OR(F926=1),1,0)</f>
        <v/>
      </c>
      <c r="AA926" s="3">
        <f>IF(OR(M926=1),1,0)</f>
        <v/>
      </c>
    </row>
    <row r="927">
      <c r="A927" s="22" t="inlineStr">
        <is>
          <t>71ddfbc4bee361cc1f9bbda608aa89b6fce8a6f1</t>
        </is>
      </c>
      <c r="B927" s="22" t="inlineStr">
        <is>
          <t>2026-06</t>
        </is>
      </c>
      <c r="C927" s="22" t="inlineStr">
        <is>
          <t>X</t>
        </is>
      </c>
      <c r="D927" s="22" t="n">
        <v>1</v>
      </c>
      <c r="E927" s="22" t="inlineStr">
        <is>
          <t>X: X search (Top): Electoral Act 2026</t>
        </is>
      </c>
      <c r="F927" s="22" t="inlineStr">
        <is>
          <t>x:X search (Top): Electoral Act 2026</t>
        </is>
      </c>
      <c r="G927" s="22" t="n">
        <v>0.723</v>
      </c>
      <c r="H927" s="22" t="n">
        <v>0</v>
      </c>
      <c r="I927" s="22" t="n">
        <v>1</v>
      </c>
      <c r="J927" s="22" t="n">
        <v>0</v>
      </c>
      <c r="K927" s="22" t="n">
        <v>0</v>
      </c>
      <c r="L927" s="22" t="n">
        <v>0</v>
      </c>
      <c r="M927" s="22" t="n">
        <v>0</v>
      </c>
      <c r="N927" s="22" t="n">
        <v>0</v>
      </c>
      <c r="O927" s="22" t="n">
        <v>0</v>
      </c>
      <c r="P927" s="22" t="n">
        <v>0</v>
      </c>
      <c r="Q927" s="22" t="n">
        <v>0</v>
      </c>
      <c r="R927" s="22" t="n">
        <v>0</v>
      </c>
      <c r="S927" s="22" t="n">
        <v>0</v>
      </c>
      <c r="T927" s="22" t="n">
        <v>0</v>
      </c>
      <c r="U927" s="3">
        <f>IF(OR(N927=1,Q927=1),1,0)</f>
        <v/>
      </c>
      <c r="V927" s="3">
        <f>IF(OR(T927=1,P927=1),1,0)</f>
        <v/>
      </c>
      <c r="W927" s="3">
        <f>IF(OR(J927=1),1,0)</f>
        <v/>
      </c>
      <c r="X927" s="3">
        <f>IF(OR(I927=1,H927=1),1,0)</f>
        <v/>
      </c>
      <c r="Y927" s="3">
        <f>IF(OR(G927=1),1,0)</f>
        <v/>
      </c>
      <c r="Z927" s="3">
        <f>IF(OR(F927=1),1,0)</f>
        <v/>
      </c>
      <c r="AA927" s="3">
        <f>IF(OR(M927=1),1,0)</f>
        <v/>
      </c>
    </row>
    <row r="928">
      <c r="A928" s="22" t="inlineStr">
        <is>
          <t>abab48213f939bef506fc0cf8360d70380e70340</t>
        </is>
      </c>
      <c r="B928" s="22" t="inlineStr">
        <is>
          <t>2026-02</t>
        </is>
      </c>
      <c r="C928" s="22" t="inlineStr">
        <is>
          <t>X</t>
        </is>
      </c>
      <c r="D928" s="22" t="n">
        <v>1</v>
      </c>
      <c r="E928" s="22" t="inlineStr">
        <is>
          <t>X: X search (Top): Electoral Act 2026</t>
        </is>
      </c>
      <c r="F928" s="22" t="inlineStr">
        <is>
          <t>x:X search (Top): Electoral Act 2026</t>
        </is>
      </c>
      <c r="G928" s="22" t="n">
        <v>-0.374</v>
      </c>
      <c r="H928" s="22" t="n">
        <v>0</v>
      </c>
      <c r="I928" s="22" t="n">
        <v>1</v>
      </c>
      <c r="J928" s="22" t="n">
        <v>0</v>
      </c>
      <c r="K928" s="22" t="n">
        <v>0</v>
      </c>
      <c r="L928" s="22" t="n">
        <v>0</v>
      </c>
      <c r="M928" s="22" t="n">
        <v>0</v>
      </c>
      <c r="N928" s="22" t="n">
        <v>0</v>
      </c>
      <c r="O928" s="22" t="n">
        <v>0</v>
      </c>
      <c r="P928" s="22" t="n">
        <v>0</v>
      </c>
      <c r="Q928" s="22" t="n">
        <v>0</v>
      </c>
      <c r="R928" s="22" t="n">
        <v>0</v>
      </c>
      <c r="S928" s="22" t="n">
        <v>0</v>
      </c>
      <c r="T928" s="22" t="n">
        <v>0</v>
      </c>
      <c r="U928" s="3">
        <f>IF(OR(N928=1,Q928=1),1,0)</f>
        <v/>
      </c>
      <c r="V928" s="3">
        <f>IF(OR(T928=1,P928=1),1,0)</f>
        <v/>
      </c>
      <c r="W928" s="3">
        <f>IF(OR(J928=1),1,0)</f>
        <v/>
      </c>
      <c r="X928" s="3">
        <f>IF(OR(I928=1,H928=1),1,0)</f>
        <v/>
      </c>
      <c r="Y928" s="3">
        <f>IF(OR(G928=1),1,0)</f>
        <v/>
      </c>
      <c r="Z928" s="3">
        <f>IF(OR(F928=1),1,0)</f>
        <v/>
      </c>
      <c r="AA928" s="3">
        <f>IF(OR(M928=1),1,0)</f>
        <v/>
      </c>
    </row>
    <row r="929">
      <c r="A929" s="22" t="inlineStr">
        <is>
          <t>68af488fd9fe3b3a3e59472766f5711528751446</t>
        </is>
      </c>
      <c r="B929" s="22" t="inlineStr">
        <is>
          <t>2026-05</t>
        </is>
      </c>
      <c r="C929" s="22" t="inlineStr">
        <is>
          <t>X</t>
        </is>
      </c>
      <c r="D929" s="22" t="n">
        <v>1</v>
      </c>
      <c r="E929" s="22" t="inlineStr">
        <is>
          <t>X: X search (Top): Electoral Act 2026</t>
        </is>
      </c>
      <c r="F929" s="22" t="inlineStr">
        <is>
          <t>x:X search (Top): Electoral Act 2026</t>
        </is>
      </c>
      <c r="G929" s="22" t="n">
        <v>-0.82</v>
      </c>
      <c r="H929" s="22" t="n">
        <v>1</v>
      </c>
      <c r="I929" s="22" t="n">
        <v>0</v>
      </c>
      <c r="J929" s="22" t="n">
        <v>0</v>
      </c>
      <c r="K929" s="22" t="n">
        <v>0</v>
      </c>
      <c r="L929" s="22" t="n">
        <v>0</v>
      </c>
      <c r="M929" s="22" t="n">
        <v>1</v>
      </c>
      <c r="N929" s="22" t="n">
        <v>0</v>
      </c>
      <c r="O929" s="22" t="n">
        <v>0</v>
      </c>
      <c r="P929" s="22" t="n">
        <v>0</v>
      </c>
      <c r="Q929" s="22" t="n">
        <v>0</v>
      </c>
      <c r="R929" s="22" t="n">
        <v>0</v>
      </c>
      <c r="S929" s="22" t="n">
        <v>0</v>
      </c>
      <c r="T929" s="22" t="n">
        <v>0</v>
      </c>
      <c r="U929" s="3">
        <f>IF(OR(N929=1,Q929=1),1,0)</f>
        <v/>
      </c>
      <c r="V929" s="3">
        <f>IF(OR(T929=1,P929=1),1,0)</f>
        <v/>
      </c>
      <c r="W929" s="3">
        <f>IF(OR(J929=1),1,0)</f>
        <v/>
      </c>
      <c r="X929" s="3">
        <f>IF(OR(I929=1,H929=1),1,0)</f>
        <v/>
      </c>
      <c r="Y929" s="3">
        <f>IF(OR(G929=1),1,0)</f>
        <v/>
      </c>
      <c r="Z929" s="3">
        <f>IF(OR(F929=1),1,0)</f>
        <v/>
      </c>
      <c r="AA929" s="3">
        <f>IF(OR(M929=1),1,0)</f>
        <v/>
      </c>
    </row>
    <row r="930">
      <c r="A930" s="22" t="inlineStr">
        <is>
          <t>749c28cc29a0fdb85c5e46759087d8e91144a3b1</t>
        </is>
      </c>
      <c r="B930" s="22" t="inlineStr">
        <is>
          <t>2026-10</t>
        </is>
      </c>
      <c r="C930" s="22" t="inlineStr">
        <is>
          <t>X</t>
        </is>
      </c>
      <c r="D930" s="22" t="n">
        <v>1</v>
      </c>
      <c r="E930" s="22" t="inlineStr">
        <is>
          <t>X: X search (Top): Electoral Act 2026</t>
        </is>
      </c>
      <c r="F930" s="22" t="inlineStr">
        <is>
          <t>x:X search (Top): Electoral Act 2026</t>
        </is>
      </c>
      <c r="G930" s="22" t="n">
        <v>-0.136</v>
      </c>
      <c r="H930" s="22" t="n">
        <v>0</v>
      </c>
      <c r="I930" s="22" t="n">
        <v>0</v>
      </c>
      <c r="J930" s="22" t="n">
        <v>0</v>
      </c>
      <c r="K930" s="22" t="n">
        <v>0</v>
      </c>
      <c r="L930" s="22" t="n">
        <v>0</v>
      </c>
      <c r="M930" s="22" t="n">
        <v>0</v>
      </c>
      <c r="N930" s="22" t="n">
        <v>0</v>
      </c>
      <c r="O930" s="22" t="n">
        <v>1</v>
      </c>
      <c r="P930" s="22" t="n">
        <v>0</v>
      </c>
      <c r="Q930" s="22" t="n">
        <v>0</v>
      </c>
      <c r="R930" s="22" t="n">
        <v>0</v>
      </c>
      <c r="S930" s="22" t="n">
        <v>0</v>
      </c>
      <c r="T930" s="22" t="n">
        <v>0</v>
      </c>
      <c r="U930" s="3">
        <f>IF(OR(N930=1,Q930=1),1,0)</f>
        <v/>
      </c>
      <c r="V930" s="3">
        <f>IF(OR(T930=1,P930=1),1,0)</f>
        <v/>
      </c>
      <c r="W930" s="3">
        <f>IF(OR(J930=1),1,0)</f>
        <v/>
      </c>
      <c r="X930" s="3">
        <f>IF(OR(I930=1,H930=1),1,0)</f>
        <v/>
      </c>
      <c r="Y930" s="3">
        <f>IF(OR(G930=1),1,0)</f>
        <v/>
      </c>
      <c r="Z930" s="3">
        <f>IF(OR(F930=1),1,0)</f>
        <v/>
      </c>
      <c r="AA930" s="3">
        <f>IF(OR(M930=1),1,0)</f>
        <v/>
      </c>
    </row>
    <row r="931">
      <c r="A931" s="22" t="inlineStr">
        <is>
          <t>12407cc5419a9605a185cfafd4a670dc75ed4da0</t>
        </is>
      </c>
      <c r="B931" s="22" t="inlineStr">
        <is>
          <t>2026-08</t>
        </is>
      </c>
      <c r="C931" s="22" t="inlineStr">
        <is>
          <t>X</t>
        </is>
      </c>
      <c r="D931" s="22" t="n">
        <v>1</v>
      </c>
      <c r="E931" s="22" t="inlineStr">
        <is>
          <t>X: X search (Top): Electoral Act 2026</t>
        </is>
      </c>
      <c r="F931" s="22" t="inlineStr">
        <is>
          <t>x:X search (Top): Electoral Act 2026</t>
        </is>
      </c>
      <c r="G931" s="22" t="n">
        <v>0.153</v>
      </c>
      <c r="H931" s="22" t="n">
        <v>0</v>
      </c>
      <c r="I931" s="22" t="n">
        <v>0</v>
      </c>
      <c r="J931" s="22" t="n">
        <v>0</v>
      </c>
      <c r="K931" s="22" t="n">
        <v>0</v>
      </c>
      <c r="L931" s="22" t="n">
        <v>0</v>
      </c>
      <c r="M931" s="22" t="n">
        <v>0</v>
      </c>
      <c r="N931" s="22" t="n">
        <v>0</v>
      </c>
      <c r="O931" s="22" t="n">
        <v>1</v>
      </c>
      <c r="P931" s="22" t="n">
        <v>0</v>
      </c>
      <c r="Q931" s="22" t="n">
        <v>0</v>
      </c>
      <c r="R931" s="22" t="n">
        <v>0</v>
      </c>
      <c r="S931" s="22" t="n">
        <v>0</v>
      </c>
      <c r="T931" s="22" t="n">
        <v>0</v>
      </c>
      <c r="U931" s="3">
        <f>IF(OR(N931=1,Q931=1),1,0)</f>
        <v/>
      </c>
      <c r="V931" s="3">
        <f>IF(OR(T931=1,P931=1),1,0)</f>
        <v/>
      </c>
      <c r="W931" s="3">
        <f>IF(OR(J931=1),1,0)</f>
        <v/>
      </c>
      <c r="X931" s="3">
        <f>IF(OR(I931=1,H931=1),1,0)</f>
        <v/>
      </c>
      <c r="Y931" s="3">
        <f>IF(OR(G931=1),1,0)</f>
        <v/>
      </c>
      <c r="Z931" s="3">
        <f>IF(OR(F931=1),1,0)</f>
        <v/>
      </c>
      <c r="AA931" s="3">
        <f>IF(OR(M931=1),1,0)</f>
        <v/>
      </c>
    </row>
    <row r="932">
      <c r="A932" s="22" t="inlineStr">
        <is>
          <t>915faee26476cacd704531d0b0fb7842836422b8</t>
        </is>
      </c>
      <c r="B932" s="22" t="inlineStr">
        <is>
          <t>2026-06</t>
        </is>
      </c>
      <c r="C932" s="22" t="inlineStr">
        <is>
          <t>X</t>
        </is>
      </c>
      <c r="D932" s="22" t="n">
        <v>1</v>
      </c>
      <c r="E932" s="22" t="inlineStr">
        <is>
          <t>X: X search (Top): Electoral Act 2026</t>
        </is>
      </c>
      <c r="F932" s="22" t="inlineStr">
        <is>
          <t>x:X search (Top): Electoral Act 2026</t>
        </is>
      </c>
      <c r="G932" s="22" t="n">
        <v>0.586</v>
      </c>
      <c r="H932" s="22" t="n">
        <v>1</v>
      </c>
      <c r="I932" s="22" t="n">
        <v>1</v>
      </c>
      <c r="J932" s="22" t="n">
        <v>0</v>
      </c>
      <c r="K932" s="22" t="n">
        <v>0</v>
      </c>
      <c r="L932" s="22" t="n">
        <v>0</v>
      </c>
      <c r="M932" s="22" t="n">
        <v>0</v>
      </c>
      <c r="N932" s="22" t="n">
        <v>0</v>
      </c>
      <c r="O932" s="22" t="n">
        <v>0</v>
      </c>
      <c r="P932" s="22" t="n">
        <v>0</v>
      </c>
      <c r="Q932" s="22" t="n">
        <v>0</v>
      </c>
      <c r="R932" s="22" t="n">
        <v>0</v>
      </c>
      <c r="S932" s="22" t="n">
        <v>0</v>
      </c>
      <c r="T932" s="22" t="n">
        <v>0</v>
      </c>
      <c r="U932" s="3">
        <f>IF(OR(N932=1,Q932=1),1,0)</f>
        <v/>
      </c>
      <c r="V932" s="3">
        <f>IF(OR(T932=1,P932=1),1,0)</f>
        <v/>
      </c>
      <c r="W932" s="3">
        <f>IF(OR(J932=1),1,0)</f>
        <v/>
      </c>
      <c r="X932" s="3">
        <f>IF(OR(I932=1,H932=1),1,0)</f>
        <v/>
      </c>
      <c r="Y932" s="3">
        <f>IF(OR(G932=1),1,0)</f>
        <v/>
      </c>
      <c r="Z932" s="3">
        <f>IF(OR(F932=1),1,0)</f>
        <v/>
      </c>
      <c r="AA932" s="3">
        <f>IF(OR(M932=1),1,0)</f>
        <v/>
      </c>
    </row>
    <row r="933">
      <c r="A933" s="22" t="inlineStr">
        <is>
          <t>1d64110ce224a9707e668ee2c4e37b93f85a9c97</t>
        </is>
      </c>
      <c r="B933" s="22" t="inlineStr">
        <is>
          <t>2026-03</t>
        </is>
      </c>
      <c r="C933" s="22" t="inlineStr">
        <is>
          <t>X</t>
        </is>
      </c>
      <c r="D933" s="22" t="n">
        <v>1</v>
      </c>
      <c r="E933" s="22" t="inlineStr">
        <is>
          <t>X: X search (Top): Electoral Act 2026</t>
        </is>
      </c>
      <c r="F933" s="22" t="inlineStr">
        <is>
          <t>x:X search (Top): Electoral Act 2026</t>
        </is>
      </c>
      <c r="G933" s="22" t="n">
        <v>0.44</v>
      </c>
      <c r="H933" s="22" t="n">
        <v>0</v>
      </c>
      <c r="I933" s="22" t="n">
        <v>0</v>
      </c>
      <c r="J933" s="22" t="n">
        <v>0</v>
      </c>
      <c r="K933" s="22" t="n">
        <v>0</v>
      </c>
      <c r="L933" s="22" t="n">
        <v>0</v>
      </c>
      <c r="M933" s="22" t="n">
        <v>0</v>
      </c>
      <c r="N933" s="22" t="n">
        <v>0</v>
      </c>
      <c r="O933" s="22" t="n">
        <v>1</v>
      </c>
      <c r="P933" s="22" t="n">
        <v>0</v>
      </c>
      <c r="Q933" s="22" t="n">
        <v>0</v>
      </c>
      <c r="R933" s="22" t="n">
        <v>0</v>
      </c>
      <c r="S933" s="22" t="n">
        <v>0</v>
      </c>
      <c r="T933" s="22" t="n">
        <v>0</v>
      </c>
      <c r="U933" s="3">
        <f>IF(OR(N933=1,Q933=1),1,0)</f>
        <v/>
      </c>
      <c r="V933" s="3">
        <f>IF(OR(T933=1,P933=1),1,0)</f>
        <v/>
      </c>
      <c r="W933" s="3">
        <f>IF(OR(J933=1),1,0)</f>
        <v/>
      </c>
      <c r="X933" s="3">
        <f>IF(OR(I933=1,H933=1),1,0)</f>
        <v/>
      </c>
      <c r="Y933" s="3">
        <f>IF(OR(G933=1),1,0)</f>
        <v/>
      </c>
      <c r="Z933" s="3">
        <f>IF(OR(F933=1),1,0)</f>
        <v/>
      </c>
      <c r="AA933" s="3">
        <f>IF(OR(M933=1),1,0)</f>
        <v/>
      </c>
    </row>
    <row r="934">
      <c r="A934" s="22" t="inlineStr">
        <is>
          <t>9b92d6d3cb41141ef50b3d83e7492089fb8b39b2</t>
        </is>
      </c>
      <c r="B934" s="22" t="inlineStr">
        <is>
          <t>2026-10</t>
        </is>
      </c>
      <c r="C934" s="22" t="inlineStr">
        <is>
          <t>X</t>
        </is>
      </c>
      <c r="D934" s="22" t="n">
        <v>1</v>
      </c>
      <c r="E934" s="22" t="inlineStr">
        <is>
          <t>X: X search (Top): Electoral Act 2026</t>
        </is>
      </c>
      <c r="F934" s="22" t="inlineStr">
        <is>
          <t>x:X search (Top): Electoral Act 2026</t>
        </is>
      </c>
      <c r="G934" s="22" t="n">
        <v>0.867</v>
      </c>
      <c r="H934" s="22" t="n">
        <v>0</v>
      </c>
      <c r="I934" s="22" t="n">
        <v>0</v>
      </c>
      <c r="J934" s="22" t="n">
        <v>0</v>
      </c>
      <c r="K934" s="22" t="n">
        <v>0</v>
      </c>
      <c r="L934" s="22" t="n">
        <v>0</v>
      </c>
      <c r="M934" s="22" t="n">
        <v>0</v>
      </c>
      <c r="N934" s="22" t="n">
        <v>0</v>
      </c>
      <c r="O934" s="22" t="n">
        <v>1</v>
      </c>
      <c r="P934" s="22" t="n">
        <v>0</v>
      </c>
      <c r="Q934" s="22" t="n">
        <v>0</v>
      </c>
      <c r="R934" s="22" t="n">
        <v>0</v>
      </c>
      <c r="S934" s="22" t="n">
        <v>0</v>
      </c>
      <c r="T934" s="22" t="n">
        <v>0</v>
      </c>
      <c r="U934" s="3">
        <f>IF(OR(N934=1,Q934=1),1,0)</f>
        <v/>
      </c>
      <c r="V934" s="3">
        <f>IF(OR(T934=1,P934=1),1,0)</f>
        <v/>
      </c>
      <c r="W934" s="3">
        <f>IF(OR(J934=1),1,0)</f>
        <v/>
      </c>
      <c r="X934" s="3">
        <f>IF(OR(I934=1,H934=1),1,0)</f>
        <v/>
      </c>
      <c r="Y934" s="3">
        <f>IF(OR(G934=1),1,0)</f>
        <v/>
      </c>
      <c r="Z934" s="3">
        <f>IF(OR(F934=1),1,0)</f>
        <v/>
      </c>
      <c r="AA934" s="3">
        <f>IF(OR(M934=1),1,0)</f>
        <v/>
      </c>
    </row>
    <row r="935">
      <c r="A935" s="22" t="inlineStr">
        <is>
          <t>4b90a2daaed69560a1fdf9fa2faa47bdec05a3ba</t>
        </is>
      </c>
      <c r="B935" s="22" t="inlineStr">
        <is>
          <t>2026-02</t>
        </is>
      </c>
      <c r="C935" s="22" t="inlineStr">
        <is>
          <t>X</t>
        </is>
      </c>
      <c r="D935" s="22" t="n">
        <v>1</v>
      </c>
      <c r="E935" s="22" t="inlineStr">
        <is>
          <t>X: X search (Top): Electoral Act 2026</t>
        </is>
      </c>
      <c r="F935" s="22" t="inlineStr">
        <is>
          <t>x:X search (Top): Electoral Act 2026</t>
        </is>
      </c>
      <c r="G935" s="22" t="n">
        <v>-0.402</v>
      </c>
      <c r="H935" s="22" t="n">
        <v>0</v>
      </c>
      <c r="I935" s="22" t="n">
        <v>1</v>
      </c>
      <c r="J935" s="22" t="n">
        <v>0</v>
      </c>
      <c r="K935" s="22" t="n">
        <v>0</v>
      </c>
      <c r="L935" s="22" t="n">
        <v>0</v>
      </c>
      <c r="M935" s="22" t="n">
        <v>0</v>
      </c>
      <c r="N935" s="22" t="n">
        <v>0</v>
      </c>
      <c r="O935" s="22" t="n">
        <v>0</v>
      </c>
      <c r="P935" s="22" t="n">
        <v>0</v>
      </c>
      <c r="Q935" s="22" t="n">
        <v>0</v>
      </c>
      <c r="R935" s="22" t="n">
        <v>0</v>
      </c>
      <c r="S935" s="22" t="n">
        <v>0</v>
      </c>
      <c r="T935" s="22" t="n">
        <v>0</v>
      </c>
      <c r="U935" s="3">
        <f>IF(OR(N935=1,Q935=1),1,0)</f>
        <v/>
      </c>
      <c r="V935" s="3">
        <f>IF(OR(T935=1,P935=1),1,0)</f>
        <v/>
      </c>
      <c r="W935" s="3">
        <f>IF(OR(J935=1),1,0)</f>
        <v/>
      </c>
      <c r="X935" s="3">
        <f>IF(OR(I935=1,H935=1),1,0)</f>
        <v/>
      </c>
      <c r="Y935" s="3">
        <f>IF(OR(G935=1),1,0)</f>
        <v/>
      </c>
      <c r="Z935" s="3">
        <f>IF(OR(F935=1),1,0)</f>
        <v/>
      </c>
      <c r="AA935" s="3">
        <f>IF(OR(M935=1),1,0)</f>
        <v/>
      </c>
    </row>
    <row r="936">
      <c r="A936" s="22" t="inlineStr">
        <is>
          <t>7f973474d3ea20b87c674979e3c6203f5497390a</t>
        </is>
      </c>
      <c r="B936" s="22" t="inlineStr">
        <is>
          <t>2026-03</t>
        </is>
      </c>
      <c r="C936" s="22" t="inlineStr">
        <is>
          <t>X</t>
        </is>
      </c>
      <c r="D936" s="22" t="n">
        <v>1</v>
      </c>
      <c r="E936" s="22" t="inlineStr">
        <is>
          <t>X: X search (Top): Electoral Act 2026</t>
        </is>
      </c>
      <c r="F936" s="22" t="inlineStr">
        <is>
          <t>x:X search (Top): Electoral Act 2026</t>
        </is>
      </c>
      <c r="G936" s="22" t="n">
        <v>0.637</v>
      </c>
      <c r="H936" s="22" t="n">
        <v>1</v>
      </c>
      <c r="I936" s="22" t="n">
        <v>1</v>
      </c>
      <c r="J936" s="22" t="n">
        <v>0</v>
      </c>
      <c r="K936" s="22" t="n">
        <v>0</v>
      </c>
      <c r="L936" s="22" t="n">
        <v>0</v>
      </c>
      <c r="M936" s="22" t="n">
        <v>0</v>
      </c>
      <c r="N936" s="22" t="n">
        <v>0</v>
      </c>
      <c r="O936" s="22" t="n">
        <v>0</v>
      </c>
      <c r="P936" s="22" t="n">
        <v>0</v>
      </c>
      <c r="Q936" s="22" t="n">
        <v>0</v>
      </c>
      <c r="R936" s="22" t="n">
        <v>0</v>
      </c>
      <c r="S936" s="22" t="n">
        <v>0</v>
      </c>
      <c r="T936" s="22" t="n">
        <v>0</v>
      </c>
      <c r="U936" s="3">
        <f>IF(OR(N936=1,Q936=1),1,0)</f>
        <v/>
      </c>
      <c r="V936" s="3">
        <f>IF(OR(T936=1,P936=1),1,0)</f>
        <v/>
      </c>
      <c r="W936" s="3">
        <f>IF(OR(J936=1),1,0)</f>
        <v/>
      </c>
      <c r="X936" s="3">
        <f>IF(OR(I936=1,H936=1),1,0)</f>
        <v/>
      </c>
      <c r="Y936" s="3">
        <f>IF(OR(G936=1),1,0)</f>
        <v/>
      </c>
      <c r="Z936" s="3">
        <f>IF(OR(F936=1),1,0)</f>
        <v/>
      </c>
      <c r="AA936" s="3">
        <f>IF(OR(M936=1),1,0)</f>
        <v/>
      </c>
    </row>
    <row r="937">
      <c r="A937" s="22" t="inlineStr">
        <is>
          <t>660f21b74de3567e0e05617bfe4ac253ffca55a3</t>
        </is>
      </c>
      <c r="B937" s="22" t="inlineStr">
        <is>
          <t>2026-09</t>
        </is>
      </c>
      <c r="C937" s="22" t="inlineStr">
        <is>
          <t>Nairaland</t>
        </is>
      </c>
      <c r="D937" s="22" t="n">
        <v>0</v>
      </c>
      <c r="E937" s="22" t="inlineStr">
        <is>
          <t>Nairaland: Nairaland</t>
        </is>
      </c>
      <c r="F937" s="22" t="inlineStr">
        <is>
          <t>nairaland:Nairaland</t>
        </is>
      </c>
      <c r="G937" s="22" t="n">
        <v>0.827</v>
      </c>
      <c r="H937" s="22" t="n">
        <v>0</v>
      </c>
      <c r="I937" s="22" t="n">
        <v>0</v>
      </c>
      <c r="J937" s="22" t="n">
        <v>0</v>
      </c>
      <c r="K937" s="22" t="n">
        <v>0</v>
      </c>
      <c r="L937" s="22" t="n">
        <v>0</v>
      </c>
      <c r="M937" s="22" t="n">
        <v>0</v>
      </c>
      <c r="N937" s="22" t="n">
        <v>0</v>
      </c>
      <c r="O937" s="22" t="n">
        <v>1</v>
      </c>
      <c r="P937" s="22" t="n">
        <v>0</v>
      </c>
      <c r="Q937" s="22" t="n">
        <v>0</v>
      </c>
      <c r="R937" s="22" t="n">
        <v>0</v>
      </c>
      <c r="S937" s="22" t="n">
        <v>0</v>
      </c>
      <c r="T937" s="22" t="n">
        <v>0</v>
      </c>
      <c r="U937" s="3">
        <f>IF(OR(N937=1,Q937=1),1,0)</f>
        <v/>
      </c>
      <c r="V937" s="3">
        <f>IF(OR(T937=1,P937=1),1,0)</f>
        <v/>
      </c>
      <c r="W937" s="3">
        <f>IF(OR(J937=1),1,0)</f>
        <v/>
      </c>
      <c r="X937" s="3">
        <f>IF(OR(I937=1,H937=1),1,0)</f>
        <v/>
      </c>
      <c r="Y937" s="3">
        <f>IF(OR(G937=1),1,0)</f>
        <v/>
      </c>
      <c r="Z937" s="3">
        <f>IF(OR(F937=1),1,0)</f>
        <v/>
      </c>
      <c r="AA937" s="3">
        <f>IF(OR(M937=1),1,0)</f>
        <v/>
      </c>
    </row>
    <row r="938">
      <c r="A938" s="22" t="inlineStr">
        <is>
          <t>ab705f6f324c19f135cefbe27d0fa56601a235ed</t>
        </is>
      </c>
      <c r="B938" s="22" t="inlineStr">
        <is>
          <t>2026-09</t>
        </is>
      </c>
      <c r="C938" s="22" t="inlineStr">
        <is>
          <t>Nairaland</t>
        </is>
      </c>
      <c r="D938" s="22" t="n">
        <v>0</v>
      </c>
      <c r="E938" s="22" t="inlineStr">
        <is>
          <t>Nairaland: Nairaland</t>
        </is>
      </c>
      <c r="F938" s="22" t="inlineStr">
        <is>
          <t>nairaland:Nairaland</t>
        </is>
      </c>
      <c r="G938" s="22" t="n">
        <v>-0.402</v>
      </c>
      <c r="H938" s="22" t="n">
        <v>1</v>
      </c>
      <c r="I938" s="22" t="n">
        <v>0</v>
      </c>
      <c r="J938" s="22" t="n">
        <v>0</v>
      </c>
      <c r="K938" s="22" t="n">
        <v>0</v>
      </c>
      <c r="L938" s="22" t="n">
        <v>0</v>
      </c>
      <c r="M938" s="22" t="n">
        <v>0</v>
      </c>
      <c r="N938" s="22" t="n">
        <v>0</v>
      </c>
      <c r="O938" s="22" t="n">
        <v>0</v>
      </c>
      <c r="P938" s="22" t="n">
        <v>0</v>
      </c>
      <c r="Q938" s="22" t="n">
        <v>0</v>
      </c>
      <c r="R938" s="22" t="n">
        <v>0</v>
      </c>
      <c r="S938" s="22" t="n">
        <v>0</v>
      </c>
      <c r="T938" s="22" t="n">
        <v>0</v>
      </c>
      <c r="U938" s="3">
        <f>IF(OR(N938=1,Q938=1),1,0)</f>
        <v/>
      </c>
      <c r="V938" s="3">
        <f>IF(OR(T938=1,P938=1),1,0)</f>
        <v/>
      </c>
      <c r="W938" s="3">
        <f>IF(OR(J938=1),1,0)</f>
        <v/>
      </c>
      <c r="X938" s="3">
        <f>IF(OR(I938=1,H938=1),1,0)</f>
        <v/>
      </c>
      <c r="Y938" s="3">
        <f>IF(OR(G938=1),1,0)</f>
        <v/>
      </c>
      <c r="Z938" s="3">
        <f>IF(OR(F938=1),1,0)</f>
        <v/>
      </c>
      <c r="AA938" s="3">
        <f>IF(OR(M938=1),1,0)</f>
        <v/>
      </c>
    </row>
    <row r="939">
      <c r="A939" s="22" t="inlineStr">
        <is>
          <t>d32f5fa34a4d24fae9744414272bd12f01996e4f</t>
        </is>
      </c>
      <c r="B939" s="22" t="inlineStr">
        <is>
          <t>2026-09</t>
        </is>
      </c>
      <c r="C939" s="22" t="inlineStr">
        <is>
          <t>Nairaland</t>
        </is>
      </c>
      <c r="D939" s="22" t="n">
        <v>0</v>
      </c>
      <c r="E939" s="22" t="inlineStr">
        <is>
          <t>Nairaland: Nairaland</t>
        </is>
      </c>
      <c r="F939" s="22" t="inlineStr">
        <is>
          <t>nairaland:Nairaland</t>
        </is>
      </c>
      <c r="G939" s="22" t="n">
        <v>0.375</v>
      </c>
      <c r="H939" s="22" t="n">
        <v>0</v>
      </c>
      <c r="I939" s="22" t="n">
        <v>0</v>
      </c>
      <c r="J939" s="22" t="n">
        <v>0</v>
      </c>
      <c r="K939" s="22" t="n">
        <v>0</v>
      </c>
      <c r="L939" s="22" t="n">
        <v>0</v>
      </c>
      <c r="M939" s="22" t="n">
        <v>0</v>
      </c>
      <c r="N939" s="22" t="n">
        <v>0</v>
      </c>
      <c r="O939" s="22" t="n">
        <v>1</v>
      </c>
      <c r="P939" s="22" t="n">
        <v>0</v>
      </c>
      <c r="Q939" s="22" t="n">
        <v>0</v>
      </c>
      <c r="R939" s="22" t="n">
        <v>0</v>
      </c>
      <c r="S939" s="22" t="n">
        <v>0</v>
      </c>
      <c r="T939" s="22" t="n">
        <v>0</v>
      </c>
      <c r="U939" s="3">
        <f>IF(OR(N939=1,Q939=1),1,0)</f>
        <v/>
      </c>
      <c r="V939" s="3">
        <f>IF(OR(T939=1,P939=1),1,0)</f>
        <v/>
      </c>
      <c r="W939" s="3">
        <f>IF(OR(J939=1),1,0)</f>
        <v/>
      </c>
      <c r="X939" s="3">
        <f>IF(OR(I939=1,H939=1),1,0)</f>
        <v/>
      </c>
      <c r="Y939" s="3">
        <f>IF(OR(G939=1),1,0)</f>
        <v/>
      </c>
      <c r="Z939" s="3">
        <f>IF(OR(F939=1),1,0)</f>
        <v/>
      </c>
      <c r="AA939" s="3">
        <f>IF(OR(M939=1),1,0)</f>
        <v/>
      </c>
    </row>
    <row r="940">
      <c r="A940" s="22" t="inlineStr">
        <is>
          <t>f1da614de2d0c996768aed8df6af6754b7fcd8d7</t>
        </is>
      </c>
      <c r="B940" s="22" t="inlineStr">
        <is>
          <t>2026-09</t>
        </is>
      </c>
      <c r="C940" s="22" t="inlineStr">
        <is>
          <t>Nairaland</t>
        </is>
      </c>
      <c r="D940" s="22" t="n">
        <v>0</v>
      </c>
      <c r="E940" s="22" t="inlineStr">
        <is>
          <t>Nairaland: Nairaland</t>
        </is>
      </c>
      <c r="F940" s="22" t="inlineStr">
        <is>
          <t>nairaland:Nairaland</t>
        </is>
      </c>
      <c r="G940" s="22" t="n">
        <v>0.903</v>
      </c>
      <c r="H940" s="22" t="n">
        <v>0</v>
      </c>
      <c r="I940" s="22" t="n">
        <v>0</v>
      </c>
      <c r="J940" s="22" t="n">
        <v>0</v>
      </c>
      <c r="K940" s="22" t="n">
        <v>0</v>
      </c>
      <c r="L940" s="22" t="n">
        <v>0</v>
      </c>
      <c r="M940" s="22" t="n">
        <v>0</v>
      </c>
      <c r="N940" s="22" t="n">
        <v>0</v>
      </c>
      <c r="O940" s="22" t="n">
        <v>1</v>
      </c>
      <c r="P940" s="22" t="n">
        <v>0</v>
      </c>
      <c r="Q940" s="22" t="n">
        <v>0</v>
      </c>
      <c r="R940" s="22" t="n">
        <v>0</v>
      </c>
      <c r="S940" s="22" t="n">
        <v>0</v>
      </c>
      <c r="T940" s="22" t="n">
        <v>0</v>
      </c>
      <c r="U940" s="3">
        <f>IF(OR(N940=1,Q940=1),1,0)</f>
        <v/>
      </c>
      <c r="V940" s="3">
        <f>IF(OR(T940=1,P940=1),1,0)</f>
        <v/>
      </c>
      <c r="W940" s="3">
        <f>IF(OR(J940=1),1,0)</f>
        <v/>
      </c>
      <c r="X940" s="3">
        <f>IF(OR(I940=1,H940=1),1,0)</f>
        <v/>
      </c>
      <c r="Y940" s="3">
        <f>IF(OR(G940=1),1,0)</f>
        <v/>
      </c>
      <c r="Z940" s="3">
        <f>IF(OR(F940=1),1,0)</f>
        <v/>
      </c>
      <c r="AA940" s="3">
        <f>IF(OR(M940=1),1,0)</f>
        <v/>
      </c>
    </row>
    <row r="941">
      <c r="A941" s="22" t="inlineStr">
        <is>
          <t>c2840b51e8eb1b4168393fcf97ee5c5ed3c8a832</t>
        </is>
      </c>
      <c r="B941" s="22" t="inlineStr">
        <is>
          <t>2026-09</t>
        </is>
      </c>
      <c r="C941" s="22" t="inlineStr">
        <is>
          <t>Nairaland</t>
        </is>
      </c>
      <c r="D941" s="22" t="n">
        <v>0</v>
      </c>
      <c r="E941" s="22" t="inlineStr">
        <is>
          <t>Nairaland: Nairaland</t>
        </is>
      </c>
      <c r="F941" s="22" t="inlineStr">
        <is>
          <t>nairaland:Nairaland</t>
        </is>
      </c>
      <c r="G941" s="22" t="n">
        <v>0.891</v>
      </c>
      <c r="H941" s="22" t="n">
        <v>0</v>
      </c>
      <c r="I941" s="22" t="n">
        <v>0</v>
      </c>
      <c r="J941" s="22" t="n">
        <v>0</v>
      </c>
      <c r="K941" s="22" t="n">
        <v>0</v>
      </c>
      <c r="L941" s="22" t="n">
        <v>0</v>
      </c>
      <c r="M941" s="22" t="n">
        <v>0</v>
      </c>
      <c r="N941" s="22" t="n">
        <v>0</v>
      </c>
      <c r="O941" s="22" t="n">
        <v>1</v>
      </c>
      <c r="P941" s="22" t="n">
        <v>0</v>
      </c>
      <c r="Q941" s="22" t="n">
        <v>0</v>
      </c>
      <c r="R941" s="22" t="n">
        <v>0</v>
      </c>
      <c r="S941" s="22" t="n">
        <v>0</v>
      </c>
      <c r="T941" s="22" t="n">
        <v>0</v>
      </c>
      <c r="U941" s="3">
        <f>IF(OR(N941=1,Q941=1),1,0)</f>
        <v/>
      </c>
      <c r="V941" s="3">
        <f>IF(OR(T941=1,P941=1),1,0)</f>
        <v/>
      </c>
      <c r="W941" s="3">
        <f>IF(OR(J941=1),1,0)</f>
        <v/>
      </c>
      <c r="X941" s="3">
        <f>IF(OR(I941=1,H941=1),1,0)</f>
        <v/>
      </c>
      <c r="Y941" s="3">
        <f>IF(OR(G941=1),1,0)</f>
        <v/>
      </c>
      <c r="Z941" s="3">
        <f>IF(OR(F941=1),1,0)</f>
        <v/>
      </c>
      <c r="AA941" s="3">
        <f>IF(OR(M941=1),1,0)</f>
        <v/>
      </c>
    </row>
    <row r="942">
      <c r="A942" s="22" t="inlineStr">
        <is>
          <t>aa3207cede2633d43ab38944c3754122d60f8093</t>
        </is>
      </c>
      <c r="B942" s="22" t="inlineStr">
        <is>
          <t>2026-09</t>
        </is>
      </c>
      <c r="C942" s="22" t="inlineStr">
        <is>
          <t>Nairaland</t>
        </is>
      </c>
      <c r="D942" s="22" t="n">
        <v>0</v>
      </c>
      <c r="E942" s="22" t="inlineStr">
        <is>
          <t>Nairaland: Nairaland</t>
        </is>
      </c>
      <c r="F942" s="22" t="inlineStr">
        <is>
          <t>nairaland:Nairaland</t>
        </is>
      </c>
      <c r="G942" s="22" t="n">
        <v>0.768</v>
      </c>
      <c r="H942" s="22" t="n">
        <v>0</v>
      </c>
      <c r="I942" s="22" t="n">
        <v>0</v>
      </c>
      <c r="J942" s="22" t="n">
        <v>0</v>
      </c>
      <c r="K942" s="22" t="n">
        <v>0</v>
      </c>
      <c r="L942" s="22" t="n">
        <v>0</v>
      </c>
      <c r="M942" s="22" t="n">
        <v>0</v>
      </c>
      <c r="N942" s="22" t="n">
        <v>0</v>
      </c>
      <c r="O942" s="22" t="n">
        <v>1</v>
      </c>
      <c r="P942" s="22" t="n">
        <v>0</v>
      </c>
      <c r="Q942" s="22" t="n">
        <v>0</v>
      </c>
      <c r="R942" s="22" t="n">
        <v>0</v>
      </c>
      <c r="S942" s="22" t="n">
        <v>0</v>
      </c>
      <c r="T942" s="22" t="n">
        <v>0</v>
      </c>
      <c r="U942" s="3">
        <f>IF(OR(N942=1,Q942=1),1,0)</f>
        <v/>
      </c>
      <c r="V942" s="3">
        <f>IF(OR(T942=1,P942=1),1,0)</f>
        <v/>
      </c>
      <c r="W942" s="3">
        <f>IF(OR(J942=1),1,0)</f>
        <v/>
      </c>
      <c r="X942" s="3">
        <f>IF(OR(I942=1,H942=1),1,0)</f>
        <v/>
      </c>
      <c r="Y942" s="3">
        <f>IF(OR(G942=1),1,0)</f>
        <v/>
      </c>
      <c r="Z942" s="3">
        <f>IF(OR(F942=1),1,0)</f>
        <v/>
      </c>
      <c r="AA942" s="3">
        <f>IF(OR(M942=1),1,0)</f>
        <v/>
      </c>
    </row>
    <row r="943">
      <c r="A943" s="22" t="inlineStr">
        <is>
          <t>55a80bd1c9f5d526b4d6678b9c48418b2846fb3c</t>
        </is>
      </c>
      <c r="B943" s="22" t="inlineStr">
        <is>
          <t>2026-10</t>
        </is>
      </c>
      <c r="C943" s="22" t="inlineStr">
        <is>
          <t>Nairaland</t>
        </is>
      </c>
      <c r="D943" s="22" t="n">
        <v>0</v>
      </c>
      <c r="E943" s="22" t="inlineStr">
        <is>
          <t>Nairaland: Nairaland</t>
        </is>
      </c>
      <c r="F943" s="22" t="inlineStr">
        <is>
          <t>nairaland:Nairaland</t>
        </is>
      </c>
      <c r="G943" s="22" t="n">
        <v>0.902</v>
      </c>
      <c r="H943" s="22" t="n">
        <v>1</v>
      </c>
      <c r="I943" s="22" t="n">
        <v>0</v>
      </c>
      <c r="J943" s="22" t="n">
        <v>0</v>
      </c>
      <c r="K943" s="22" t="n">
        <v>0</v>
      </c>
      <c r="L943" s="22" t="n">
        <v>0</v>
      </c>
      <c r="M943" s="22" t="n">
        <v>0</v>
      </c>
      <c r="N943" s="22" t="n">
        <v>0</v>
      </c>
      <c r="O943" s="22" t="n">
        <v>0</v>
      </c>
      <c r="P943" s="22" t="n">
        <v>0</v>
      </c>
      <c r="Q943" s="22" t="n">
        <v>0</v>
      </c>
      <c r="R943" s="22" t="n">
        <v>0</v>
      </c>
      <c r="S943" s="22" t="n">
        <v>0</v>
      </c>
      <c r="T943" s="22" t="n">
        <v>0</v>
      </c>
      <c r="U943" s="3">
        <f>IF(OR(N943=1,Q943=1),1,0)</f>
        <v/>
      </c>
      <c r="V943" s="3">
        <f>IF(OR(T943=1,P943=1),1,0)</f>
        <v/>
      </c>
      <c r="W943" s="3">
        <f>IF(OR(J943=1),1,0)</f>
        <v/>
      </c>
      <c r="X943" s="3">
        <f>IF(OR(I943=1,H943=1),1,0)</f>
        <v/>
      </c>
      <c r="Y943" s="3">
        <f>IF(OR(G943=1),1,0)</f>
        <v/>
      </c>
      <c r="Z943" s="3">
        <f>IF(OR(F943=1),1,0)</f>
        <v/>
      </c>
      <c r="AA943" s="3">
        <f>IF(OR(M943=1),1,0)</f>
        <v/>
      </c>
    </row>
    <row r="944">
      <c r="A944" s="22" t="inlineStr">
        <is>
          <t>ecf89e6e0d1060b22b9fa1c20e3b56863e545821</t>
        </is>
      </c>
      <c r="B944" s="22" t="inlineStr">
        <is>
          <t>2026-10</t>
        </is>
      </c>
      <c r="C944" s="22" t="inlineStr">
        <is>
          <t>Nairaland</t>
        </is>
      </c>
      <c r="D944" s="22" t="n">
        <v>0</v>
      </c>
      <c r="E944" s="22" t="inlineStr">
        <is>
          <t>Nairaland: Nairaland</t>
        </is>
      </c>
      <c r="F944" s="22" t="inlineStr">
        <is>
          <t>nairaland:Nairaland</t>
        </is>
      </c>
      <c r="G944" s="22" t="n">
        <v>-0.436</v>
      </c>
      <c r="H944" s="22" t="n">
        <v>0</v>
      </c>
      <c r="I944" s="22" t="n">
        <v>0</v>
      </c>
      <c r="J944" s="22" t="n">
        <v>0</v>
      </c>
      <c r="K944" s="22" t="n">
        <v>0</v>
      </c>
      <c r="L944" s="22" t="n">
        <v>0</v>
      </c>
      <c r="M944" s="22" t="n">
        <v>0</v>
      </c>
      <c r="N944" s="22" t="n">
        <v>0</v>
      </c>
      <c r="O944" s="22" t="n">
        <v>0</v>
      </c>
      <c r="P944" s="22" t="n">
        <v>0</v>
      </c>
      <c r="Q944" s="22" t="n">
        <v>0</v>
      </c>
      <c r="R944" s="22" t="n">
        <v>0</v>
      </c>
      <c r="S944" s="22" t="n">
        <v>0</v>
      </c>
      <c r="T944" s="22" t="n">
        <v>1</v>
      </c>
      <c r="U944" s="3">
        <f>IF(OR(N944=1,Q944=1),1,0)</f>
        <v/>
      </c>
      <c r="V944" s="3">
        <f>IF(OR(T944=1,P944=1),1,0)</f>
        <v/>
      </c>
      <c r="W944" s="3">
        <f>IF(OR(J944=1),1,0)</f>
        <v/>
      </c>
      <c r="X944" s="3">
        <f>IF(OR(I944=1,H944=1),1,0)</f>
        <v/>
      </c>
      <c r="Y944" s="3">
        <f>IF(OR(G944=1),1,0)</f>
        <v/>
      </c>
      <c r="Z944" s="3">
        <f>IF(OR(F944=1),1,0)</f>
        <v/>
      </c>
      <c r="AA944" s="3">
        <f>IF(OR(M944=1),1,0)</f>
        <v/>
      </c>
    </row>
    <row r="945">
      <c r="A945" s="22" t="inlineStr">
        <is>
          <t>c32216a08206e434887db4757e1f7f5623be8bab</t>
        </is>
      </c>
      <c r="B945" s="22" t="inlineStr">
        <is>
          <t>2026-09</t>
        </is>
      </c>
      <c r="C945" s="22" t="inlineStr">
        <is>
          <t>Nairaland</t>
        </is>
      </c>
      <c r="D945" s="22" t="n">
        <v>0</v>
      </c>
      <c r="E945" s="22" t="inlineStr">
        <is>
          <t>Nairaland: Nairaland</t>
        </is>
      </c>
      <c r="F945" s="22" t="inlineStr">
        <is>
          <t>nairaland:Nairaland</t>
        </is>
      </c>
      <c r="G945" s="22" t="n">
        <v>-0.402</v>
      </c>
      <c r="H945" s="22" t="n">
        <v>1</v>
      </c>
      <c r="I945" s="22" t="n">
        <v>0</v>
      </c>
      <c r="J945" s="22" t="n">
        <v>0</v>
      </c>
      <c r="K945" s="22" t="n">
        <v>0</v>
      </c>
      <c r="L945" s="22" t="n">
        <v>0</v>
      </c>
      <c r="M945" s="22" t="n">
        <v>0</v>
      </c>
      <c r="N945" s="22" t="n">
        <v>0</v>
      </c>
      <c r="O945" s="22" t="n">
        <v>0</v>
      </c>
      <c r="P945" s="22" t="n">
        <v>0</v>
      </c>
      <c r="Q945" s="22" t="n">
        <v>0</v>
      </c>
      <c r="R945" s="22" t="n">
        <v>0</v>
      </c>
      <c r="S945" s="22" t="n">
        <v>0</v>
      </c>
      <c r="T945" s="22" t="n">
        <v>0</v>
      </c>
      <c r="U945" s="3">
        <f>IF(OR(N945=1,Q945=1),1,0)</f>
        <v/>
      </c>
      <c r="V945" s="3">
        <f>IF(OR(T945=1,P945=1),1,0)</f>
        <v/>
      </c>
      <c r="W945" s="3">
        <f>IF(OR(J945=1),1,0)</f>
        <v/>
      </c>
      <c r="X945" s="3">
        <f>IF(OR(I945=1,H945=1),1,0)</f>
        <v/>
      </c>
      <c r="Y945" s="3">
        <f>IF(OR(G945=1),1,0)</f>
        <v/>
      </c>
      <c r="Z945" s="3">
        <f>IF(OR(F945=1),1,0)</f>
        <v/>
      </c>
      <c r="AA945" s="3">
        <f>IF(OR(M945=1),1,0)</f>
        <v/>
      </c>
    </row>
    <row r="946">
      <c r="A946" s="22" t="inlineStr">
        <is>
          <t>79c2fc456969c20be09e3dc80b8209bbf4fa7063</t>
        </is>
      </c>
      <c r="B946" s="22" t="inlineStr">
        <is>
          <t>2026-09</t>
        </is>
      </c>
      <c r="C946" s="22" t="inlineStr">
        <is>
          <t>Nairaland</t>
        </is>
      </c>
      <c r="D946" s="22" t="n">
        <v>0</v>
      </c>
      <c r="E946" s="22" t="inlineStr">
        <is>
          <t>Nairaland: Nairaland</t>
        </is>
      </c>
      <c r="F946" s="22" t="inlineStr">
        <is>
          <t>nairaland:Nairaland</t>
        </is>
      </c>
      <c r="G946" s="22" t="n">
        <v>-0.718</v>
      </c>
      <c r="H946" s="22" t="n">
        <v>1</v>
      </c>
      <c r="I946" s="22" t="n">
        <v>0</v>
      </c>
      <c r="J946" s="22" t="n">
        <v>0</v>
      </c>
      <c r="K946" s="22" t="n">
        <v>0</v>
      </c>
      <c r="L946" s="22" t="n">
        <v>0</v>
      </c>
      <c r="M946" s="22" t="n">
        <v>0</v>
      </c>
      <c r="N946" s="22" t="n">
        <v>0</v>
      </c>
      <c r="O946" s="22" t="n">
        <v>0</v>
      </c>
      <c r="P946" s="22" t="n">
        <v>0</v>
      </c>
      <c r="Q946" s="22" t="n">
        <v>0</v>
      </c>
      <c r="R946" s="22" t="n">
        <v>0</v>
      </c>
      <c r="S946" s="22" t="n">
        <v>0</v>
      </c>
      <c r="T946" s="22" t="n">
        <v>0</v>
      </c>
      <c r="U946" s="3">
        <f>IF(OR(N946=1,Q946=1),1,0)</f>
        <v/>
      </c>
      <c r="V946" s="3">
        <f>IF(OR(T946=1,P946=1),1,0)</f>
        <v/>
      </c>
      <c r="W946" s="3">
        <f>IF(OR(J946=1),1,0)</f>
        <v/>
      </c>
      <c r="X946" s="3">
        <f>IF(OR(I946=1,H946=1),1,0)</f>
        <v/>
      </c>
      <c r="Y946" s="3">
        <f>IF(OR(G946=1),1,0)</f>
        <v/>
      </c>
      <c r="Z946" s="3">
        <f>IF(OR(F946=1),1,0)</f>
        <v/>
      </c>
      <c r="AA946" s="3">
        <f>IF(OR(M946=1),1,0)</f>
        <v/>
      </c>
    </row>
    <row r="947">
      <c r="A947" s="22" t="inlineStr">
        <is>
          <t>c646d0484ef767c6c868580feceb6c6937a97819</t>
        </is>
      </c>
      <c r="B947" s="22" t="inlineStr">
        <is>
          <t>2026-09</t>
        </is>
      </c>
      <c r="C947" s="22" t="inlineStr">
        <is>
          <t>Nairaland</t>
        </is>
      </c>
      <c r="D947" s="22" t="n">
        <v>0</v>
      </c>
      <c r="E947" s="22" t="inlineStr">
        <is>
          <t>Nairaland: Nairaland</t>
        </is>
      </c>
      <c r="F947" s="22" t="inlineStr">
        <is>
          <t>nairaland:Nairaland</t>
        </is>
      </c>
      <c r="G947" s="22" t="n">
        <v>-0.632</v>
      </c>
      <c r="H947" s="22" t="n">
        <v>1</v>
      </c>
      <c r="I947" s="22" t="n">
        <v>0</v>
      </c>
      <c r="J947" s="22" t="n">
        <v>0</v>
      </c>
      <c r="K947" s="22" t="n">
        <v>0</v>
      </c>
      <c r="L947" s="22" t="n">
        <v>0</v>
      </c>
      <c r="M947" s="22" t="n">
        <v>0</v>
      </c>
      <c r="N947" s="22" t="n">
        <v>0</v>
      </c>
      <c r="O947" s="22" t="n">
        <v>0</v>
      </c>
      <c r="P947" s="22" t="n">
        <v>0</v>
      </c>
      <c r="Q947" s="22" t="n">
        <v>0</v>
      </c>
      <c r="R947" s="22" t="n">
        <v>0</v>
      </c>
      <c r="S947" s="22" t="n">
        <v>0</v>
      </c>
      <c r="T947" s="22" t="n">
        <v>0</v>
      </c>
      <c r="U947" s="3">
        <f>IF(OR(N947=1,Q947=1),1,0)</f>
        <v/>
      </c>
      <c r="V947" s="3">
        <f>IF(OR(T947=1,P947=1),1,0)</f>
        <v/>
      </c>
      <c r="W947" s="3">
        <f>IF(OR(J947=1),1,0)</f>
        <v/>
      </c>
      <c r="X947" s="3">
        <f>IF(OR(I947=1,H947=1),1,0)</f>
        <v/>
      </c>
      <c r="Y947" s="3">
        <f>IF(OR(G947=1),1,0)</f>
        <v/>
      </c>
      <c r="Z947" s="3">
        <f>IF(OR(F947=1),1,0)</f>
        <v/>
      </c>
      <c r="AA947" s="3">
        <f>IF(OR(M947=1),1,0)</f>
        <v/>
      </c>
    </row>
    <row r="948">
      <c r="A948" s="22" t="inlineStr">
        <is>
          <t>9a7d32b9780a1d79714b5fab45b318475991b4fd</t>
        </is>
      </c>
      <c r="B948" s="22" t="inlineStr">
        <is>
          <t>2026-09</t>
        </is>
      </c>
      <c r="C948" s="22" t="inlineStr">
        <is>
          <t>Nairaland</t>
        </is>
      </c>
      <c r="D948" s="22" t="n">
        <v>0</v>
      </c>
      <c r="E948" s="22" t="inlineStr">
        <is>
          <t>Nairaland: Nairaland</t>
        </is>
      </c>
      <c r="F948" s="22" t="inlineStr">
        <is>
          <t>nairaland:Nairaland</t>
        </is>
      </c>
      <c r="G948" s="22" t="n">
        <v>-0.735</v>
      </c>
      <c r="H948" s="22" t="n">
        <v>0</v>
      </c>
      <c r="I948" s="22" t="n">
        <v>0</v>
      </c>
      <c r="J948" s="22" t="n">
        <v>0</v>
      </c>
      <c r="K948" s="22" t="n">
        <v>0</v>
      </c>
      <c r="L948" s="22" t="n">
        <v>0</v>
      </c>
      <c r="M948" s="22" t="n">
        <v>0</v>
      </c>
      <c r="N948" s="22" t="n">
        <v>0</v>
      </c>
      <c r="O948" s="22" t="n">
        <v>0</v>
      </c>
      <c r="P948" s="22" t="n">
        <v>0</v>
      </c>
      <c r="Q948" s="22" t="n">
        <v>0</v>
      </c>
      <c r="R948" s="22" t="n">
        <v>0</v>
      </c>
      <c r="S948" s="22" t="n">
        <v>0</v>
      </c>
      <c r="T948" s="22" t="n">
        <v>0</v>
      </c>
      <c r="U948" s="3">
        <f>IF(OR(N948=1,Q948=1),1,0)</f>
        <v/>
      </c>
      <c r="V948" s="3">
        <f>IF(OR(T948=1,P948=1),1,0)</f>
        <v/>
      </c>
      <c r="W948" s="3">
        <f>IF(OR(J948=1),1,0)</f>
        <v/>
      </c>
      <c r="X948" s="3">
        <f>IF(OR(I948=1,H948=1),1,0)</f>
        <v/>
      </c>
      <c r="Y948" s="3">
        <f>IF(OR(G948=1),1,0)</f>
        <v/>
      </c>
      <c r="Z948" s="3">
        <f>IF(OR(F948=1),1,0)</f>
        <v/>
      </c>
      <c r="AA948" s="3">
        <f>IF(OR(M948=1),1,0)</f>
        <v/>
      </c>
    </row>
    <row r="949">
      <c r="A949" s="22" t="inlineStr">
        <is>
          <t>f2c4c9eb87152d470c9ec073dded5df48edfc80f</t>
        </is>
      </c>
      <c r="B949" s="22" t="inlineStr">
        <is>
          <t>2026-09</t>
        </is>
      </c>
      <c r="C949" s="22" t="inlineStr">
        <is>
          <t>Nairaland</t>
        </is>
      </c>
      <c r="D949" s="22" t="n">
        <v>0</v>
      </c>
      <c r="E949" s="22" t="inlineStr">
        <is>
          <t>Nairaland: Nairaland</t>
        </is>
      </c>
      <c r="F949" s="22" t="inlineStr">
        <is>
          <t>nairaland:Nairaland</t>
        </is>
      </c>
      <c r="G949" s="22" t="n">
        <v>0.866</v>
      </c>
      <c r="H949" s="22" t="n">
        <v>1</v>
      </c>
      <c r="I949" s="22" t="n">
        <v>1</v>
      </c>
      <c r="J949" s="22" t="n">
        <v>0</v>
      </c>
      <c r="K949" s="22" t="n">
        <v>0</v>
      </c>
      <c r="L949" s="22" t="n">
        <v>0</v>
      </c>
      <c r="M949" s="22" t="n">
        <v>0</v>
      </c>
      <c r="N949" s="22" t="n">
        <v>0</v>
      </c>
      <c r="O949" s="22" t="n">
        <v>0</v>
      </c>
      <c r="P949" s="22" t="n">
        <v>0</v>
      </c>
      <c r="Q949" s="22" t="n">
        <v>0</v>
      </c>
      <c r="R949" s="22" t="n">
        <v>0</v>
      </c>
      <c r="S949" s="22" t="n">
        <v>0</v>
      </c>
      <c r="T949" s="22" t="n">
        <v>0</v>
      </c>
      <c r="U949" s="3">
        <f>IF(OR(N949=1,Q949=1),1,0)</f>
        <v/>
      </c>
      <c r="V949" s="3">
        <f>IF(OR(T949=1,P949=1),1,0)</f>
        <v/>
      </c>
      <c r="W949" s="3">
        <f>IF(OR(J949=1),1,0)</f>
        <v/>
      </c>
      <c r="X949" s="3">
        <f>IF(OR(I949=1,H949=1),1,0)</f>
        <v/>
      </c>
      <c r="Y949" s="3">
        <f>IF(OR(G949=1),1,0)</f>
        <v/>
      </c>
      <c r="Z949" s="3">
        <f>IF(OR(F949=1),1,0)</f>
        <v/>
      </c>
      <c r="AA949" s="3">
        <f>IF(OR(M949=1),1,0)</f>
        <v/>
      </c>
    </row>
    <row r="950">
      <c r="A950" s="22" t="inlineStr">
        <is>
          <t>8fde9eb7788e257a310f690076b06fb005901c41</t>
        </is>
      </c>
      <c r="B950" s="22" t="inlineStr">
        <is>
          <t>2026-10</t>
        </is>
      </c>
      <c r="C950" s="22" t="inlineStr">
        <is>
          <t>Nairaland</t>
        </is>
      </c>
      <c r="D950" s="22" t="n">
        <v>0</v>
      </c>
      <c r="E950" s="22" t="inlineStr">
        <is>
          <t>Nairaland: Nairaland</t>
        </is>
      </c>
      <c r="F950" s="22" t="inlineStr">
        <is>
          <t>nairaland:Nairaland</t>
        </is>
      </c>
      <c r="G950" s="22" t="n">
        <v>-0.798</v>
      </c>
      <c r="H950" s="22" t="n">
        <v>1</v>
      </c>
      <c r="I950" s="22" t="n">
        <v>0</v>
      </c>
      <c r="J950" s="22" t="n">
        <v>0</v>
      </c>
      <c r="K950" s="22" t="n">
        <v>0</v>
      </c>
      <c r="L950" s="22" t="n">
        <v>0</v>
      </c>
      <c r="M950" s="22" t="n">
        <v>0</v>
      </c>
      <c r="N950" s="22" t="n">
        <v>0</v>
      </c>
      <c r="O950" s="22" t="n">
        <v>0</v>
      </c>
      <c r="P950" s="22" t="n">
        <v>0</v>
      </c>
      <c r="Q950" s="22" t="n">
        <v>0</v>
      </c>
      <c r="R950" s="22" t="n">
        <v>0</v>
      </c>
      <c r="S950" s="22" t="n">
        <v>0</v>
      </c>
      <c r="T950" s="22" t="n">
        <v>0</v>
      </c>
      <c r="U950" s="3">
        <f>IF(OR(N950=1,Q950=1),1,0)</f>
        <v/>
      </c>
      <c r="V950" s="3">
        <f>IF(OR(T950=1,P950=1),1,0)</f>
        <v/>
      </c>
      <c r="W950" s="3">
        <f>IF(OR(J950=1),1,0)</f>
        <v/>
      </c>
      <c r="X950" s="3">
        <f>IF(OR(I950=1,H950=1),1,0)</f>
        <v/>
      </c>
      <c r="Y950" s="3">
        <f>IF(OR(G950=1),1,0)</f>
        <v/>
      </c>
      <c r="Z950" s="3">
        <f>IF(OR(F950=1),1,0)</f>
        <v/>
      </c>
      <c r="AA950" s="3">
        <f>IF(OR(M950=1),1,0)</f>
        <v/>
      </c>
    </row>
    <row r="951">
      <c r="A951" s="22" t="inlineStr">
        <is>
          <t>7ac2c18305b15515b683e6f691a8702cb4f93139</t>
        </is>
      </c>
      <c r="B951" s="22" t="inlineStr">
        <is>
          <t>2026-10</t>
        </is>
      </c>
      <c r="C951" s="22" t="inlineStr">
        <is>
          <t>Nairaland</t>
        </is>
      </c>
      <c r="D951" s="22" t="n">
        <v>0</v>
      </c>
      <c r="E951" s="22" t="inlineStr">
        <is>
          <t>Nairaland: Nairaland</t>
        </is>
      </c>
      <c r="F951" s="22" t="inlineStr">
        <is>
          <t>nairaland:Nairaland</t>
        </is>
      </c>
      <c r="G951" s="22" t="n">
        <v>0.8179999999999999</v>
      </c>
      <c r="H951" s="22" t="n">
        <v>0</v>
      </c>
      <c r="I951" s="22" t="n">
        <v>0</v>
      </c>
      <c r="J951" s="22" t="n">
        <v>0</v>
      </c>
      <c r="K951" s="22" t="n">
        <v>0</v>
      </c>
      <c r="L951" s="22" t="n">
        <v>0</v>
      </c>
      <c r="M951" s="22" t="n">
        <v>0</v>
      </c>
      <c r="N951" s="22" t="n">
        <v>0</v>
      </c>
      <c r="O951" s="22" t="n">
        <v>0</v>
      </c>
      <c r="P951" s="22" t="n">
        <v>0</v>
      </c>
      <c r="Q951" s="22" t="n">
        <v>0</v>
      </c>
      <c r="R951" s="22" t="n">
        <v>1</v>
      </c>
      <c r="S951" s="22" t="n">
        <v>0</v>
      </c>
      <c r="T951" s="22" t="n">
        <v>0</v>
      </c>
      <c r="U951" s="3">
        <f>IF(OR(N951=1,Q951=1),1,0)</f>
        <v/>
      </c>
      <c r="V951" s="3">
        <f>IF(OR(T951=1,P951=1),1,0)</f>
        <v/>
      </c>
      <c r="W951" s="3">
        <f>IF(OR(J951=1),1,0)</f>
        <v/>
      </c>
      <c r="X951" s="3">
        <f>IF(OR(I951=1,H951=1),1,0)</f>
        <v/>
      </c>
      <c r="Y951" s="3">
        <f>IF(OR(G951=1),1,0)</f>
        <v/>
      </c>
      <c r="Z951" s="3">
        <f>IF(OR(F951=1),1,0)</f>
        <v/>
      </c>
      <c r="AA951" s="3">
        <f>IF(OR(M951=1),1,0)</f>
        <v/>
      </c>
    </row>
    <row r="952">
      <c r="A952" s="22" t="inlineStr">
        <is>
          <t>4735ba7c2998aa65b776252cfd09e755c88c36ec</t>
        </is>
      </c>
      <c r="B952" s="22" t="inlineStr">
        <is>
          <t>2026-10</t>
        </is>
      </c>
      <c r="C952" s="22" t="inlineStr">
        <is>
          <t>Nairaland</t>
        </is>
      </c>
      <c r="D952" s="22" t="n">
        <v>0</v>
      </c>
      <c r="E952" s="22" t="inlineStr">
        <is>
          <t>Nairaland: Nairaland</t>
        </is>
      </c>
      <c r="F952" s="22" t="inlineStr">
        <is>
          <t>nairaland:Nairaland</t>
        </is>
      </c>
      <c r="G952" s="22" t="n">
        <v>0.871</v>
      </c>
      <c r="H952" s="22" t="n">
        <v>1</v>
      </c>
      <c r="I952" s="22" t="n">
        <v>0</v>
      </c>
      <c r="J952" s="22" t="n">
        <v>0</v>
      </c>
      <c r="K952" s="22" t="n">
        <v>0</v>
      </c>
      <c r="L952" s="22" t="n">
        <v>0</v>
      </c>
      <c r="M952" s="22" t="n">
        <v>0</v>
      </c>
      <c r="N952" s="22" t="n">
        <v>0</v>
      </c>
      <c r="O952" s="22" t="n">
        <v>0</v>
      </c>
      <c r="P952" s="22" t="n">
        <v>0</v>
      </c>
      <c r="Q952" s="22" t="n">
        <v>0</v>
      </c>
      <c r="R952" s="22" t="n">
        <v>0</v>
      </c>
      <c r="S952" s="22" t="n">
        <v>0</v>
      </c>
      <c r="T952" s="22" t="n">
        <v>0</v>
      </c>
      <c r="U952" s="3">
        <f>IF(OR(N952=1,Q952=1),1,0)</f>
        <v/>
      </c>
      <c r="V952" s="3">
        <f>IF(OR(T952=1,P952=1),1,0)</f>
        <v/>
      </c>
      <c r="W952" s="3">
        <f>IF(OR(J952=1),1,0)</f>
        <v/>
      </c>
      <c r="X952" s="3">
        <f>IF(OR(I952=1,H952=1),1,0)</f>
        <v/>
      </c>
      <c r="Y952" s="3">
        <f>IF(OR(G952=1),1,0)</f>
        <v/>
      </c>
      <c r="Z952" s="3">
        <f>IF(OR(F952=1),1,0)</f>
        <v/>
      </c>
      <c r="AA952" s="3">
        <f>IF(OR(M952=1),1,0)</f>
        <v/>
      </c>
    </row>
    <row r="953">
      <c r="A953" s="22" t="inlineStr">
        <is>
          <t>9d3937c50cf787fb389a3ba42537dbc7287d3893</t>
        </is>
      </c>
      <c r="B953" s="22" t="inlineStr">
        <is>
          <t>2026-10</t>
        </is>
      </c>
      <c r="C953" s="22" t="inlineStr">
        <is>
          <t>X</t>
        </is>
      </c>
      <c r="D953" s="22" t="n">
        <v>1</v>
      </c>
      <c r="E953" s="22" t="inlineStr">
        <is>
          <t>X: X search (Top): BVAS INEC</t>
        </is>
      </c>
      <c r="F953" s="22" t="inlineStr">
        <is>
          <t>x:X search (Top): BVAS INEC</t>
        </is>
      </c>
      <c r="G953" s="22" t="n">
        <v>0.5659999999999999</v>
      </c>
      <c r="H953" s="22" t="n">
        <v>0</v>
      </c>
      <c r="I953" s="22" t="n">
        <v>1</v>
      </c>
      <c r="J953" s="22" t="n">
        <v>0</v>
      </c>
      <c r="K953" s="22" t="n">
        <v>0</v>
      </c>
      <c r="L953" s="22" t="n">
        <v>0</v>
      </c>
      <c r="M953" s="22" t="n">
        <v>0</v>
      </c>
      <c r="N953" s="22" t="n">
        <v>0</v>
      </c>
      <c r="O953" s="22" t="n">
        <v>0</v>
      </c>
      <c r="P953" s="22" t="n">
        <v>0</v>
      </c>
      <c r="Q953" s="22" t="n">
        <v>0</v>
      </c>
      <c r="R953" s="22" t="n">
        <v>0</v>
      </c>
      <c r="S953" s="22" t="n">
        <v>0</v>
      </c>
      <c r="T953" s="22" t="n">
        <v>0</v>
      </c>
      <c r="U953" s="3">
        <f>IF(OR(N953=1,Q953=1),1,0)</f>
        <v/>
      </c>
      <c r="V953" s="3">
        <f>IF(OR(T953=1,P953=1),1,0)</f>
        <v/>
      </c>
      <c r="W953" s="3">
        <f>IF(OR(J953=1),1,0)</f>
        <v/>
      </c>
      <c r="X953" s="3">
        <f>IF(OR(I953=1,H953=1),1,0)</f>
        <v/>
      </c>
      <c r="Y953" s="3">
        <f>IF(OR(G953=1),1,0)</f>
        <v/>
      </c>
      <c r="Z953" s="3">
        <f>IF(OR(F953=1),1,0)</f>
        <v/>
      </c>
      <c r="AA953" s="3">
        <f>IF(OR(M953=1),1,0)</f>
        <v/>
      </c>
    </row>
    <row r="954">
      <c r="A954" s="22" t="inlineStr">
        <is>
          <t>173cc75716bcb8889c84864f49b2796a49b3adfd</t>
        </is>
      </c>
      <c r="B954" s="22" t="inlineStr">
        <is>
          <t>2026-10</t>
        </is>
      </c>
      <c r="C954" s="22" t="inlineStr">
        <is>
          <t>X</t>
        </is>
      </c>
      <c r="D954" s="22" t="n">
        <v>1</v>
      </c>
      <c r="E954" s="22" t="inlineStr">
        <is>
          <t>X: X search (Top): BVAS INEC</t>
        </is>
      </c>
      <c r="F954" s="22" t="inlineStr">
        <is>
          <t>x:X search (Top): BVAS INEC</t>
        </is>
      </c>
      <c r="G954" s="22" t="n">
        <v>-0.153</v>
      </c>
      <c r="H954" s="22" t="n">
        <v>0</v>
      </c>
      <c r="I954" s="22" t="n">
        <v>1</v>
      </c>
      <c r="J954" s="22" t="n">
        <v>0</v>
      </c>
      <c r="K954" s="22" t="n">
        <v>0</v>
      </c>
      <c r="L954" s="22" t="n">
        <v>0</v>
      </c>
      <c r="M954" s="22" t="n">
        <v>0</v>
      </c>
      <c r="N954" s="22" t="n">
        <v>0</v>
      </c>
      <c r="O954" s="22" t="n">
        <v>0</v>
      </c>
      <c r="P954" s="22" t="n">
        <v>0</v>
      </c>
      <c r="Q954" s="22" t="n">
        <v>0</v>
      </c>
      <c r="R954" s="22" t="n">
        <v>0</v>
      </c>
      <c r="S954" s="22" t="n">
        <v>0</v>
      </c>
      <c r="T954" s="22" t="n">
        <v>0</v>
      </c>
      <c r="U954" s="3">
        <f>IF(OR(N954=1,Q954=1),1,0)</f>
        <v/>
      </c>
      <c r="V954" s="3">
        <f>IF(OR(T954=1,P954=1),1,0)</f>
        <v/>
      </c>
      <c r="W954" s="3">
        <f>IF(OR(J954=1),1,0)</f>
        <v/>
      </c>
      <c r="X954" s="3">
        <f>IF(OR(I954=1,H954=1),1,0)</f>
        <v/>
      </c>
      <c r="Y954" s="3">
        <f>IF(OR(G954=1),1,0)</f>
        <v/>
      </c>
      <c r="Z954" s="3">
        <f>IF(OR(F954=1),1,0)</f>
        <v/>
      </c>
      <c r="AA954" s="3">
        <f>IF(OR(M954=1),1,0)</f>
        <v/>
      </c>
    </row>
    <row r="955">
      <c r="A955" s="22" t="inlineStr">
        <is>
          <t>0e4d43b1c8b1fac0583b6cd8162f5df0552921cb</t>
        </is>
      </c>
      <c r="B955" s="22" t="inlineStr">
        <is>
          <t>2026-08</t>
        </is>
      </c>
      <c r="C955" s="22" t="inlineStr">
        <is>
          <t>X</t>
        </is>
      </c>
      <c r="D955" s="22" t="n">
        <v>1</v>
      </c>
      <c r="E955" s="22" t="inlineStr">
        <is>
          <t>X: X search (Top): BVAS INEC</t>
        </is>
      </c>
      <c r="F955" s="22" t="inlineStr">
        <is>
          <t>x:X search (Top): BVAS INEC</t>
        </is>
      </c>
      <c r="G955" s="22" t="n">
        <v>0</v>
      </c>
      <c r="H955" s="22" t="n">
        <v>0</v>
      </c>
      <c r="I955" s="22" t="n">
        <v>1</v>
      </c>
      <c r="J955" s="22" t="n">
        <v>0</v>
      </c>
      <c r="K955" s="22" t="n">
        <v>0</v>
      </c>
      <c r="L955" s="22" t="n">
        <v>0</v>
      </c>
      <c r="M955" s="22" t="n">
        <v>0</v>
      </c>
      <c r="N955" s="22" t="n">
        <v>0</v>
      </c>
      <c r="O955" s="22" t="n">
        <v>0</v>
      </c>
      <c r="P955" s="22" t="n">
        <v>0</v>
      </c>
      <c r="Q955" s="22" t="n">
        <v>0</v>
      </c>
      <c r="R955" s="22" t="n">
        <v>0</v>
      </c>
      <c r="S955" s="22" t="n">
        <v>0</v>
      </c>
      <c r="T955" s="22" t="n">
        <v>0</v>
      </c>
      <c r="U955" s="3">
        <f>IF(OR(N955=1,Q955=1),1,0)</f>
        <v/>
      </c>
      <c r="V955" s="3">
        <f>IF(OR(T955=1,P955=1),1,0)</f>
        <v/>
      </c>
      <c r="W955" s="3">
        <f>IF(OR(J955=1),1,0)</f>
        <v/>
      </c>
      <c r="X955" s="3">
        <f>IF(OR(I955=1,H955=1),1,0)</f>
        <v/>
      </c>
      <c r="Y955" s="3">
        <f>IF(OR(G955=1),1,0)</f>
        <v/>
      </c>
      <c r="Z955" s="3">
        <f>IF(OR(F955=1),1,0)</f>
        <v/>
      </c>
      <c r="AA955" s="3">
        <f>IF(OR(M955=1),1,0)</f>
        <v/>
      </c>
    </row>
    <row r="956">
      <c r="A956" s="22" t="inlineStr">
        <is>
          <t>55f263f2f89b6619448345e66b0a7be01349e00b</t>
        </is>
      </c>
      <c r="B956" s="22" t="inlineStr">
        <is>
          <t>2026-07</t>
        </is>
      </c>
      <c r="C956" s="22" t="inlineStr">
        <is>
          <t>X</t>
        </is>
      </c>
      <c r="D956" s="22" t="n">
        <v>1</v>
      </c>
      <c r="E956" s="22" t="inlineStr">
        <is>
          <t>X: X search (Top): BVAS INEC</t>
        </is>
      </c>
      <c r="F956" s="22" t="inlineStr">
        <is>
          <t>x:X search (Top): BVAS INEC</t>
        </is>
      </c>
      <c r="G956" s="22" t="n">
        <v>-0.103</v>
      </c>
      <c r="H956" s="22" t="n">
        <v>1</v>
      </c>
      <c r="I956" s="22" t="n">
        <v>1</v>
      </c>
      <c r="J956" s="22" t="n">
        <v>0</v>
      </c>
      <c r="K956" s="22" t="n">
        <v>0</v>
      </c>
      <c r="L956" s="22" t="n">
        <v>0</v>
      </c>
      <c r="M956" s="22" t="n">
        <v>0</v>
      </c>
      <c r="N956" s="22" t="n">
        <v>0</v>
      </c>
      <c r="O956" s="22" t="n">
        <v>0</v>
      </c>
      <c r="P956" s="22" t="n">
        <v>0</v>
      </c>
      <c r="Q956" s="22" t="n">
        <v>0</v>
      </c>
      <c r="R956" s="22" t="n">
        <v>0</v>
      </c>
      <c r="S956" s="22" t="n">
        <v>0</v>
      </c>
      <c r="T956" s="22" t="n">
        <v>0</v>
      </c>
      <c r="U956" s="3">
        <f>IF(OR(N956=1,Q956=1),1,0)</f>
        <v/>
      </c>
      <c r="V956" s="3">
        <f>IF(OR(T956=1,P956=1),1,0)</f>
        <v/>
      </c>
      <c r="W956" s="3">
        <f>IF(OR(J956=1),1,0)</f>
        <v/>
      </c>
      <c r="X956" s="3">
        <f>IF(OR(I956=1,H956=1),1,0)</f>
        <v/>
      </c>
      <c r="Y956" s="3">
        <f>IF(OR(G956=1),1,0)</f>
        <v/>
      </c>
      <c r="Z956" s="3">
        <f>IF(OR(F956=1),1,0)</f>
        <v/>
      </c>
      <c r="AA956" s="3">
        <f>IF(OR(M956=1),1,0)</f>
        <v/>
      </c>
    </row>
    <row r="957">
      <c r="A957" s="22" t="inlineStr">
        <is>
          <t>043e8f364b2612a2ef53e5557b277bd1d13687b3</t>
        </is>
      </c>
      <c r="B957" s="22" t="inlineStr">
        <is>
          <t>2026-10</t>
        </is>
      </c>
      <c r="C957" s="22" t="inlineStr">
        <is>
          <t>X</t>
        </is>
      </c>
      <c r="D957" s="22" t="n">
        <v>1</v>
      </c>
      <c r="E957" s="22" t="inlineStr">
        <is>
          <t>X: X search (Top): BVAS INEC</t>
        </is>
      </c>
      <c r="F957" s="22" t="inlineStr">
        <is>
          <t>x:X search (Top): BVAS INEC</t>
        </is>
      </c>
      <c r="G957" s="22" t="n">
        <v>-0.34</v>
      </c>
      <c r="H957" s="22" t="n">
        <v>0</v>
      </c>
      <c r="I957" s="22" t="n">
        <v>1</v>
      </c>
      <c r="J957" s="22" t="n">
        <v>0</v>
      </c>
      <c r="K957" s="22" t="n">
        <v>0</v>
      </c>
      <c r="L957" s="22" t="n">
        <v>0</v>
      </c>
      <c r="M957" s="22" t="n">
        <v>1</v>
      </c>
      <c r="N957" s="22" t="n">
        <v>0</v>
      </c>
      <c r="O957" s="22" t="n">
        <v>0</v>
      </c>
      <c r="P957" s="22" t="n">
        <v>0</v>
      </c>
      <c r="Q957" s="22" t="n">
        <v>0</v>
      </c>
      <c r="R957" s="22" t="n">
        <v>0</v>
      </c>
      <c r="S957" s="22" t="n">
        <v>0</v>
      </c>
      <c r="T957" s="22" t="n">
        <v>0</v>
      </c>
      <c r="U957" s="3">
        <f>IF(OR(N957=1,Q957=1),1,0)</f>
        <v/>
      </c>
      <c r="V957" s="3">
        <f>IF(OR(T957=1,P957=1),1,0)</f>
        <v/>
      </c>
      <c r="W957" s="3">
        <f>IF(OR(J957=1),1,0)</f>
        <v/>
      </c>
      <c r="X957" s="3">
        <f>IF(OR(I957=1,H957=1),1,0)</f>
        <v/>
      </c>
      <c r="Y957" s="3">
        <f>IF(OR(G957=1),1,0)</f>
        <v/>
      </c>
      <c r="Z957" s="3">
        <f>IF(OR(F957=1),1,0)</f>
        <v/>
      </c>
      <c r="AA957" s="3">
        <f>IF(OR(M957=1),1,0)</f>
        <v/>
      </c>
    </row>
    <row r="958">
      <c r="A958" s="22" t="inlineStr">
        <is>
          <t>4fa622bb3e1b3a6da7162767644a7e7256f58c26</t>
        </is>
      </c>
      <c r="B958" s="22" t="inlineStr">
        <is>
          <t>2026-09</t>
        </is>
      </c>
      <c r="C958" s="22" t="inlineStr">
        <is>
          <t>X</t>
        </is>
      </c>
      <c r="D958" s="22" t="n">
        <v>1</v>
      </c>
      <c r="E958" s="22" t="inlineStr">
        <is>
          <t>X: X search (Top): BVAS INEC</t>
        </is>
      </c>
      <c r="F958" s="22" t="inlineStr">
        <is>
          <t>x:X search (Top): BVAS INEC</t>
        </is>
      </c>
      <c r="G958" s="22" t="n">
        <v>0.077</v>
      </c>
      <c r="H958" s="22" t="n">
        <v>1</v>
      </c>
      <c r="I958" s="22" t="n">
        <v>1</v>
      </c>
      <c r="J958" s="22" t="n">
        <v>0</v>
      </c>
      <c r="K958" s="22" t="n">
        <v>0</v>
      </c>
      <c r="L958" s="22" t="n">
        <v>0</v>
      </c>
      <c r="M958" s="22" t="n">
        <v>0</v>
      </c>
      <c r="N958" s="22" t="n">
        <v>0</v>
      </c>
      <c r="O958" s="22" t="n">
        <v>0</v>
      </c>
      <c r="P958" s="22" t="n">
        <v>0</v>
      </c>
      <c r="Q958" s="22" t="n">
        <v>0</v>
      </c>
      <c r="R958" s="22" t="n">
        <v>0</v>
      </c>
      <c r="S958" s="22" t="n">
        <v>0</v>
      </c>
      <c r="T958" s="22" t="n">
        <v>0</v>
      </c>
      <c r="U958" s="3">
        <f>IF(OR(N958=1,Q958=1),1,0)</f>
        <v/>
      </c>
      <c r="V958" s="3">
        <f>IF(OR(T958=1,P958=1),1,0)</f>
        <v/>
      </c>
      <c r="W958" s="3">
        <f>IF(OR(J958=1),1,0)</f>
        <v/>
      </c>
      <c r="X958" s="3">
        <f>IF(OR(I958=1,H958=1),1,0)</f>
        <v/>
      </c>
      <c r="Y958" s="3">
        <f>IF(OR(G958=1),1,0)</f>
        <v/>
      </c>
      <c r="Z958" s="3">
        <f>IF(OR(F958=1),1,0)</f>
        <v/>
      </c>
      <c r="AA958" s="3">
        <f>IF(OR(M958=1),1,0)</f>
        <v/>
      </c>
    </row>
    <row r="959">
      <c r="A959" s="22" t="inlineStr">
        <is>
          <t>b292aae0d0ef7049764c4fadc2f4d8ec1e5fa106</t>
        </is>
      </c>
      <c r="B959" s="22" t="inlineStr">
        <is>
          <t>2026-08</t>
        </is>
      </c>
      <c r="C959" s="22" t="inlineStr">
        <is>
          <t>X</t>
        </is>
      </c>
      <c r="D959" s="22" t="n">
        <v>1</v>
      </c>
      <c r="E959" s="22" t="inlineStr">
        <is>
          <t>X: X search (Top): BVAS INEC</t>
        </is>
      </c>
      <c r="F959" s="22" t="inlineStr">
        <is>
          <t>x:X search (Top): BVAS INEC</t>
        </is>
      </c>
      <c r="G959" s="22" t="n">
        <v>0.586</v>
      </c>
      <c r="H959" s="22" t="n">
        <v>0</v>
      </c>
      <c r="I959" s="22" t="n">
        <v>1</v>
      </c>
      <c r="J959" s="22" t="n">
        <v>0</v>
      </c>
      <c r="K959" s="22" t="n">
        <v>0</v>
      </c>
      <c r="L959" s="22" t="n">
        <v>0</v>
      </c>
      <c r="M959" s="22" t="n">
        <v>0</v>
      </c>
      <c r="N959" s="22" t="n">
        <v>0</v>
      </c>
      <c r="O959" s="22" t="n">
        <v>0</v>
      </c>
      <c r="P959" s="22" t="n">
        <v>0</v>
      </c>
      <c r="Q959" s="22" t="n">
        <v>0</v>
      </c>
      <c r="R959" s="22" t="n">
        <v>0</v>
      </c>
      <c r="S959" s="22" t="n">
        <v>0</v>
      </c>
      <c r="T959" s="22" t="n">
        <v>0</v>
      </c>
      <c r="U959" s="3">
        <f>IF(OR(N959=1,Q959=1),1,0)</f>
        <v/>
      </c>
      <c r="V959" s="3">
        <f>IF(OR(T959=1,P959=1),1,0)</f>
        <v/>
      </c>
      <c r="W959" s="3">
        <f>IF(OR(J959=1),1,0)</f>
        <v/>
      </c>
      <c r="X959" s="3">
        <f>IF(OR(I959=1,H959=1),1,0)</f>
        <v/>
      </c>
      <c r="Y959" s="3">
        <f>IF(OR(G959=1),1,0)</f>
        <v/>
      </c>
      <c r="Z959" s="3">
        <f>IF(OR(F959=1),1,0)</f>
        <v/>
      </c>
      <c r="AA959" s="3">
        <f>IF(OR(M959=1),1,0)</f>
        <v/>
      </c>
    </row>
    <row r="960">
      <c r="A960" s="22" t="inlineStr">
        <is>
          <t>e906bfd25cb33193133bec598738b57b73cc84b2</t>
        </is>
      </c>
      <c r="B960" s="22" t="inlineStr">
        <is>
          <t>2026-10</t>
        </is>
      </c>
      <c r="C960" s="22" t="inlineStr">
        <is>
          <t>X</t>
        </is>
      </c>
      <c r="D960" s="22" t="n">
        <v>1</v>
      </c>
      <c r="E960" s="22" t="inlineStr">
        <is>
          <t>X: X search (Top): BVAS INEC</t>
        </is>
      </c>
      <c r="F960" s="22" t="inlineStr">
        <is>
          <t>x:X search (Top): BVAS INEC</t>
        </is>
      </c>
      <c r="G960" s="22" t="n">
        <v>-0.857</v>
      </c>
      <c r="H960" s="22" t="n">
        <v>0</v>
      </c>
      <c r="I960" s="22" t="n">
        <v>1</v>
      </c>
      <c r="J960" s="22" t="n">
        <v>0</v>
      </c>
      <c r="K960" s="22" t="n">
        <v>0</v>
      </c>
      <c r="L960" s="22" t="n">
        <v>0</v>
      </c>
      <c r="M960" s="22" t="n">
        <v>1</v>
      </c>
      <c r="N960" s="22" t="n">
        <v>0</v>
      </c>
      <c r="O960" s="22" t="n">
        <v>0</v>
      </c>
      <c r="P960" s="22" t="n">
        <v>0</v>
      </c>
      <c r="Q960" s="22" t="n">
        <v>0</v>
      </c>
      <c r="R960" s="22" t="n">
        <v>0</v>
      </c>
      <c r="S960" s="22" t="n">
        <v>0</v>
      </c>
      <c r="T960" s="22" t="n">
        <v>0</v>
      </c>
      <c r="U960" s="3">
        <f>IF(OR(N960=1,Q960=1),1,0)</f>
        <v/>
      </c>
      <c r="V960" s="3">
        <f>IF(OR(T960=1,P960=1),1,0)</f>
        <v/>
      </c>
      <c r="W960" s="3">
        <f>IF(OR(J960=1),1,0)</f>
        <v/>
      </c>
      <c r="X960" s="3">
        <f>IF(OR(I960=1,H960=1),1,0)</f>
        <v/>
      </c>
      <c r="Y960" s="3">
        <f>IF(OR(G960=1),1,0)</f>
        <v/>
      </c>
      <c r="Z960" s="3">
        <f>IF(OR(F960=1),1,0)</f>
        <v/>
      </c>
      <c r="AA960" s="3">
        <f>IF(OR(M960=1),1,0)</f>
        <v/>
      </c>
    </row>
    <row r="961">
      <c r="A961" s="22" t="inlineStr">
        <is>
          <t>bc6f00ac6be29cd7833160cc1ddbdbc82a0b423d</t>
        </is>
      </c>
      <c r="B961" s="22" t="inlineStr">
        <is>
          <t>2026-10</t>
        </is>
      </c>
      <c r="C961" s="22" t="inlineStr">
        <is>
          <t>X</t>
        </is>
      </c>
      <c r="D961" s="22" t="n">
        <v>1</v>
      </c>
      <c r="E961" s="22" t="inlineStr">
        <is>
          <t>X: X search (Top): BVAS INEC</t>
        </is>
      </c>
      <c r="F961" s="22" t="inlineStr">
        <is>
          <t>x:X search (Top): BVAS INEC</t>
        </is>
      </c>
      <c r="G961" s="22" t="n">
        <v>-0.296</v>
      </c>
      <c r="H961" s="22" t="n">
        <v>1</v>
      </c>
      <c r="I961" s="22" t="n">
        <v>1</v>
      </c>
      <c r="J961" s="22" t="n">
        <v>0</v>
      </c>
      <c r="K961" s="22" t="n">
        <v>0</v>
      </c>
      <c r="L961" s="22" t="n">
        <v>0</v>
      </c>
      <c r="M961" s="22" t="n">
        <v>0</v>
      </c>
      <c r="N961" s="22" t="n">
        <v>0</v>
      </c>
      <c r="O961" s="22" t="n">
        <v>0</v>
      </c>
      <c r="P961" s="22" t="n">
        <v>0</v>
      </c>
      <c r="Q961" s="22" t="n">
        <v>0</v>
      </c>
      <c r="R961" s="22" t="n">
        <v>0</v>
      </c>
      <c r="S961" s="22" t="n">
        <v>0</v>
      </c>
      <c r="T961" s="22" t="n">
        <v>0</v>
      </c>
      <c r="U961" s="3">
        <f>IF(OR(N961=1,Q961=1),1,0)</f>
        <v/>
      </c>
      <c r="V961" s="3">
        <f>IF(OR(T961=1,P961=1),1,0)</f>
        <v/>
      </c>
      <c r="W961" s="3">
        <f>IF(OR(J961=1),1,0)</f>
        <v/>
      </c>
      <c r="X961" s="3">
        <f>IF(OR(I961=1,H961=1),1,0)</f>
        <v/>
      </c>
      <c r="Y961" s="3">
        <f>IF(OR(G961=1),1,0)</f>
        <v/>
      </c>
      <c r="Z961" s="3">
        <f>IF(OR(F961=1),1,0)</f>
        <v/>
      </c>
      <c r="AA961" s="3">
        <f>IF(OR(M961=1),1,0)</f>
        <v/>
      </c>
    </row>
    <row r="962">
      <c r="A962" s="22" t="inlineStr">
        <is>
          <t>7e8640d6e6b03d389d3beaae072e60530fd3256f</t>
        </is>
      </c>
      <c r="B962" s="22" t="inlineStr">
        <is>
          <t>2026-10</t>
        </is>
      </c>
      <c r="C962" s="22" t="inlineStr">
        <is>
          <t>X</t>
        </is>
      </c>
      <c r="D962" s="22" t="n">
        <v>1</v>
      </c>
      <c r="E962" s="22" t="inlineStr">
        <is>
          <t>X: X search (Top): BVAS INEC</t>
        </is>
      </c>
      <c r="F962" s="22" t="inlineStr">
        <is>
          <t>x:X search (Top): BVAS INEC</t>
        </is>
      </c>
      <c r="G962" s="22" t="n">
        <v>-0.844</v>
      </c>
      <c r="H962" s="22" t="n">
        <v>1</v>
      </c>
      <c r="I962" s="22" t="n">
        <v>0</v>
      </c>
      <c r="J962" s="22" t="n">
        <v>0</v>
      </c>
      <c r="K962" s="22" t="n">
        <v>0</v>
      </c>
      <c r="L962" s="22" t="n">
        <v>0</v>
      </c>
      <c r="M962" s="22" t="n">
        <v>1</v>
      </c>
      <c r="N962" s="22" t="n">
        <v>0</v>
      </c>
      <c r="O962" s="22" t="n">
        <v>1</v>
      </c>
      <c r="P962" s="22" t="n">
        <v>0</v>
      </c>
      <c r="Q962" s="22" t="n">
        <v>0</v>
      </c>
      <c r="R962" s="22" t="n">
        <v>0</v>
      </c>
      <c r="S962" s="22" t="n">
        <v>0</v>
      </c>
      <c r="T962" s="22" t="n">
        <v>0</v>
      </c>
      <c r="U962" s="3">
        <f>IF(OR(N962=1,Q962=1),1,0)</f>
        <v/>
      </c>
      <c r="V962" s="3">
        <f>IF(OR(T962=1,P962=1),1,0)</f>
        <v/>
      </c>
      <c r="W962" s="3">
        <f>IF(OR(J962=1),1,0)</f>
        <v/>
      </c>
      <c r="X962" s="3">
        <f>IF(OR(I962=1,H962=1),1,0)</f>
        <v/>
      </c>
      <c r="Y962" s="3">
        <f>IF(OR(G962=1),1,0)</f>
        <v/>
      </c>
      <c r="Z962" s="3">
        <f>IF(OR(F962=1),1,0)</f>
        <v/>
      </c>
      <c r="AA962" s="3">
        <f>IF(OR(M962=1),1,0)</f>
        <v/>
      </c>
    </row>
    <row r="963">
      <c r="A963" s="22" t="inlineStr">
        <is>
          <t>1de4b0fc1d149ab9f2d2106a1ae765726dfc780b</t>
        </is>
      </c>
      <c r="B963" s="22" t="inlineStr">
        <is>
          <t>2026-02</t>
        </is>
      </c>
      <c r="C963" s="22" t="inlineStr">
        <is>
          <t>X</t>
        </is>
      </c>
      <c r="D963" s="22" t="n">
        <v>1</v>
      </c>
      <c r="E963" s="22" t="inlineStr">
        <is>
          <t>X: X search (Top): BVAS INEC</t>
        </is>
      </c>
      <c r="F963" s="22" t="inlineStr">
        <is>
          <t>x:X search (Top): BVAS INEC</t>
        </is>
      </c>
      <c r="G963" s="22" t="n">
        <v>0.477</v>
      </c>
      <c r="H963" s="22" t="n">
        <v>0</v>
      </c>
      <c r="I963" s="22" t="n">
        <v>1</v>
      </c>
      <c r="J963" s="22" t="n">
        <v>0</v>
      </c>
      <c r="K963" s="22" t="n">
        <v>0</v>
      </c>
      <c r="L963" s="22" t="n">
        <v>0</v>
      </c>
      <c r="M963" s="22" t="n">
        <v>0</v>
      </c>
      <c r="N963" s="22" t="n">
        <v>0</v>
      </c>
      <c r="O963" s="22" t="n">
        <v>0</v>
      </c>
      <c r="P963" s="22" t="n">
        <v>0</v>
      </c>
      <c r="Q963" s="22" t="n">
        <v>0</v>
      </c>
      <c r="R963" s="22" t="n">
        <v>0</v>
      </c>
      <c r="S963" s="22" t="n">
        <v>0</v>
      </c>
      <c r="T963" s="22" t="n">
        <v>0</v>
      </c>
      <c r="U963" s="3">
        <f>IF(OR(N963=1,Q963=1),1,0)</f>
        <v/>
      </c>
      <c r="V963" s="3">
        <f>IF(OR(T963=1,P963=1),1,0)</f>
        <v/>
      </c>
      <c r="W963" s="3">
        <f>IF(OR(J963=1),1,0)</f>
        <v/>
      </c>
      <c r="X963" s="3">
        <f>IF(OR(I963=1,H963=1),1,0)</f>
        <v/>
      </c>
      <c r="Y963" s="3">
        <f>IF(OR(G963=1),1,0)</f>
        <v/>
      </c>
      <c r="Z963" s="3">
        <f>IF(OR(F963=1),1,0)</f>
        <v/>
      </c>
      <c r="AA963" s="3">
        <f>IF(OR(M963=1),1,0)</f>
        <v/>
      </c>
    </row>
    <row r="964">
      <c r="A964" s="22" t="inlineStr">
        <is>
          <t>c337de1f2607705359f3d38cb4b4d46f28ff62c3</t>
        </is>
      </c>
      <c r="B964" s="22" t="inlineStr">
        <is>
          <t>2026-10</t>
        </is>
      </c>
      <c r="C964" s="22" t="inlineStr">
        <is>
          <t>X</t>
        </is>
      </c>
      <c r="D964" s="22" t="n">
        <v>1</v>
      </c>
      <c r="E964" s="22" t="inlineStr">
        <is>
          <t>X: X search (Top): BVAS INEC</t>
        </is>
      </c>
      <c r="F964" s="22" t="inlineStr">
        <is>
          <t>x:X search (Top): BVAS INEC</t>
        </is>
      </c>
      <c r="G964" s="22" t="n">
        <v>0.511</v>
      </c>
      <c r="H964" s="22" t="n">
        <v>1</v>
      </c>
      <c r="I964" s="22" t="n">
        <v>1</v>
      </c>
      <c r="J964" s="22" t="n">
        <v>0</v>
      </c>
      <c r="K964" s="22" t="n">
        <v>0</v>
      </c>
      <c r="L964" s="22" t="n">
        <v>0</v>
      </c>
      <c r="M964" s="22" t="n">
        <v>0</v>
      </c>
      <c r="N964" s="22" t="n">
        <v>0</v>
      </c>
      <c r="O964" s="22" t="n">
        <v>0</v>
      </c>
      <c r="P964" s="22" t="n">
        <v>0</v>
      </c>
      <c r="Q964" s="22" t="n">
        <v>0</v>
      </c>
      <c r="R964" s="22" t="n">
        <v>0</v>
      </c>
      <c r="S964" s="22" t="n">
        <v>0</v>
      </c>
      <c r="T964" s="22" t="n">
        <v>0</v>
      </c>
      <c r="U964" s="3">
        <f>IF(OR(N964=1,Q964=1),1,0)</f>
        <v/>
      </c>
      <c r="V964" s="3">
        <f>IF(OR(T964=1,P964=1),1,0)</f>
        <v/>
      </c>
      <c r="W964" s="3">
        <f>IF(OR(J964=1),1,0)</f>
        <v/>
      </c>
      <c r="X964" s="3">
        <f>IF(OR(I964=1,H964=1),1,0)</f>
        <v/>
      </c>
      <c r="Y964" s="3">
        <f>IF(OR(G964=1),1,0)</f>
        <v/>
      </c>
      <c r="Z964" s="3">
        <f>IF(OR(F964=1),1,0)</f>
        <v/>
      </c>
      <c r="AA964" s="3">
        <f>IF(OR(M964=1),1,0)</f>
        <v/>
      </c>
    </row>
    <row r="965">
      <c r="A965" s="22" t="inlineStr">
        <is>
          <t>f26cfd32cf2b2fe63156d4ee870790b4a8a0a1e4</t>
        </is>
      </c>
      <c r="B965" s="22" t="inlineStr">
        <is>
          <t>2026-08</t>
        </is>
      </c>
      <c r="C965" s="22" t="inlineStr">
        <is>
          <t>X</t>
        </is>
      </c>
      <c r="D965" s="22" t="n">
        <v>1</v>
      </c>
      <c r="E965" s="22" t="inlineStr">
        <is>
          <t>X: X search (Top): BVAS INEC</t>
        </is>
      </c>
      <c r="F965" s="22" t="inlineStr">
        <is>
          <t>x:X search (Top): BVAS INEC</t>
        </is>
      </c>
      <c r="G965" s="22" t="n">
        <v>-0.422</v>
      </c>
      <c r="H965" s="22" t="n">
        <v>0</v>
      </c>
      <c r="I965" s="22" t="n">
        <v>1</v>
      </c>
      <c r="J965" s="22" t="n">
        <v>0</v>
      </c>
      <c r="K965" s="22" t="n">
        <v>0</v>
      </c>
      <c r="L965" s="22" t="n">
        <v>0</v>
      </c>
      <c r="M965" s="22" t="n">
        <v>1</v>
      </c>
      <c r="N965" s="22" t="n">
        <v>0</v>
      </c>
      <c r="O965" s="22" t="n">
        <v>0</v>
      </c>
      <c r="P965" s="22" t="n">
        <v>0</v>
      </c>
      <c r="Q965" s="22" t="n">
        <v>0</v>
      </c>
      <c r="R965" s="22" t="n">
        <v>0</v>
      </c>
      <c r="S965" s="22" t="n">
        <v>0</v>
      </c>
      <c r="T965" s="22" t="n">
        <v>0</v>
      </c>
      <c r="U965" s="3">
        <f>IF(OR(N965=1,Q965=1),1,0)</f>
        <v/>
      </c>
      <c r="V965" s="3">
        <f>IF(OR(T965=1,P965=1),1,0)</f>
        <v/>
      </c>
      <c r="W965" s="3">
        <f>IF(OR(J965=1),1,0)</f>
        <v/>
      </c>
      <c r="X965" s="3">
        <f>IF(OR(I965=1,H965=1),1,0)</f>
        <v/>
      </c>
      <c r="Y965" s="3">
        <f>IF(OR(G965=1),1,0)</f>
        <v/>
      </c>
      <c r="Z965" s="3">
        <f>IF(OR(F965=1),1,0)</f>
        <v/>
      </c>
      <c r="AA965" s="3">
        <f>IF(OR(M965=1),1,0)</f>
        <v/>
      </c>
    </row>
    <row r="966">
      <c r="A966" s="22" t="inlineStr">
        <is>
          <t>b66fc5020c63e63395962c84716f2a94c0082596</t>
        </is>
      </c>
      <c r="B966" s="22" t="inlineStr">
        <is>
          <t>2026-10</t>
        </is>
      </c>
      <c r="C966" s="22" t="inlineStr">
        <is>
          <t>X</t>
        </is>
      </c>
      <c r="D966" s="22" t="n">
        <v>1</v>
      </c>
      <c r="E966" s="22" t="inlineStr">
        <is>
          <t>X: X search (Top): BVAS INEC</t>
        </is>
      </c>
      <c r="F966" s="22" t="inlineStr">
        <is>
          <t>x:X search (Top): BVAS INEC</t>
        </is>
      </c>
      <c r="G966" s="22" t="n">
        <v>0.778</v>
      </c>
      <c r="H966" s="22" t="n">
        <v>0</v>
      </c>
      <c r="I966" s="22" t="n">
        <v>1</v>
      </c>
      <c r="J966" s="22" t="n">
        <v>0</v>
      </c>
      <c r="K966" s="22" t="n">
        <v>0</v>
      </c>
      <c r="L966" s="22" t="n">
        <v>0</v>
      </c>
      <c r="M966" s="22" t="n">
        <v>0</v>
      </c>
      <c r="N966" s="22" t="n">
        <v>0</v>
      </c>
      <c r="O966" s="22" t="n">
        <v>0</v>
      </c>
      <c r="P966" s="22" t="n">
        <v>0</v>
      </c>
      <c r="Q966" s="22" t="n">
        <v>0</v>
      </c>
      <c r="R966" s="22" t="n">
        <v>0</v>
      </c>
      <c r="S966" s="22" t="n">
        <v>0</v>
      </c>
      <c r="T966" s="22" t="n">
        <v>0</v>
      </c>
      <c r="U966" s="3">
        <f>IF(OR(N966=1,Q966=1),1,0)</f>
        <v/>
      </c>
      <c r="V966" s="3">
        <f>IF(OR(T966=1,P966=1),1,0)</f>
        <v/>
      </c>
      <c r="W966" s="3">
        <f>IF(OR(J966=1),1,0)</f>
        <v/>
      </c>
      <c r="X966" s="3">
        <f>IF(OR(I966=1,H966=1),1,0)</f>
        <v/>
      </c>
      <c r="Y966" s="3">
        <f>IF(OR(G966=1),1,0)</f>
        <v/>
      </c>
      <c r="Z966" s="3">
        <f>IF(OR(F966=1),1,0)</f>
        <v/>
      </c>
      <c r="AA966" s="3">
        <f>IF(OR(M966=1),1,0)</f>
        <v/>
      </c>
    </row>
    <row r="967">
      <c r="A967" s="22" t="inlineStr">
        <is>
          <t>66ed3d4849b635ec9853013613444b48ff1c773c</t>
        </is>
      </c>
      <c r="B967" s="22" t="inlineStr">
        <is>
          <t>2026-10</t>
        </is>
      </c>
      <c r="C967" s="22" t="inlineStr">
        <is>
          <t>X</t>
        </is>
      </c>
      <c r="D967" s="22" t="n">
        <v>1</v>
      </c>
      <c r="E967" s="22" t="inlineStr">
        <is>
          <t>X: X search (Top): BVAS INEC</t>
        </is>
      </c>
      <c r="F967" s="22" t="inlineStr">
        <is>
          <t>x:X search (Top): BVAS INEC</t>
        </is>
      </c>
      <c r="G967" s="22" t="n">
        <v>0.026</v>
      </c>
      <c r="H967" s="22" t="n">
        <v>1</v>
      </c>
      <c r="I967" s="22" t="n">
        <v>1</v>
      </c>
      <c r="J967" s="22" t="n">
        <v>0</v>
      </c>
      <c r="K967" s="22" t="n">
        <v>0</v>
      </c>
      <c r="L967" s="22" t="n">
        <v>0</v>
      </c>
      <c r="M967" s="22" t="n">
        <v>0</v>
      </c>
      <c r="N967" s="22" t="n">
        <v>0</v>
      </c>
      <c r="O967" s="22" t="n">
        <v>0</v>
      </c>
      <c r="P967" s="22" t="n">
        <v>0</v>
      </c>
      <c r="Q967" s="22" t="n">
        <v>0</v>
      </c>
      <c r="R967" s="22" t="n">
        <v>0</v>
      </c>
      <c r="S967" s="22" t="n">
        <v>0</v>
      </c>
      <c r="T967" s="22" t="n">
        <v>0</v>
      </c>
      <c r="U967" s="3">
        <f>IF(OR(N967=1,Q967=1),1,0)</f>
        <v/>
      </c>
      <c r="V967" s="3">
        <f>IF(OR(T967=1,P967=1),1,0)</f>
        <v/>
      </c>
      <c r="W967" s="3">
        <f>IF(OR(J967=1),1,0)</f>
        <v/>
      </c>
      <c r="X967" s="3">
        <f>IF(OR(I967=1,H967=1),1,0)</f>
        <v/>
      </c>
      <c r="Y967" s="3">
        <f>IF(OR(G967=1),1,0)</f>
        <v/>
      </c>
      <c r="Z967" s="3">
        <f>IF(OR(F967=1),1,0)</f>
        <v/>
      </c>
      <c r="AA967" s="3">
        <f>IF(OR(M967=1),1,0)</f>
        <v/>
      </c>
    </row>
    <row r="968">
      <c r="A968" s="22" t="inlineStr">
        <is>
          <t>a0050946f58567b19908aea28ec63bea800b84e8</t>
        </is>
      </c>
      <c r="B968" s="22" t="inlineStr">
        <is>
          <t>2026-09</t>
        </is>
      </c>
      <c r="C968" s="22" t="inlineStr">
        <is>
          <t>X</t>
        </is>
      </c>
      <c r="D968" s="22" t="n">
        <v>1</v>
      </c>
      <c r="E968" s="22" t="inlineStr">
        <is>
          <t>X: X search (Top): BVAS INEC</t>
        </is>
      </c>
      <c r="F968" s="22" t="inlineStr">
        <is>
          <t>x:X search (Top): BVAS INEC</t>
        </is>
      </c>
      <c r="G968" s="22" t="n">
        <v>0.458</v>
      </c>
      <c r="H968" s="22" t="n">
        <v>1</v>
      </c>
      <c r="I968" s="22" t="n">
        <v>0</v>
      </c>
      <c r="J968" s="22" t="n">
        <v>0</v>
      </c>
      <c r="K968" s="22" t="n">
        <v>0</v>
      </c>
      <c r="L968" s="22" t="n">
        <v>0</v>
      </c>
      <c r="M968" s="22" t="n">
        <v>0</v>
      </c>
      <c r="N968" s="22" t="n">
        <v>0</v>
      </c>
      <c r="O968" s="22" t="n">
        <v>0</v>
      </c>
      <c r="P968" s="22" t="n">
        <v>0</v>
      </c>
      <c r="Q968" s="22" t="n">
        <v>0</v>
      </c>
      <c r="R968" s="22" t="n">
        <v>0</v>
      </c>
      <c r="S968" s="22" t="n">
        <v>0</v>
      </c>
      <c r="T968" s="22" t="n">
        <v>0</v>
      </c>
      <c r="U968" s="3">
        <f>IF(OR(N968=1,Q968=1),1,0)</f>
        <v/>
      </c>
      <c r="V968" s="3">
        <f>IF(OR(T968=1,P968=1),1,0)</f>
        <v/>
      </c>
      <c r="W968" s="3">
        <f>IF(OR(J968=1),1,0)</f>
        <v/>
      </c>
      <c r="X968" s="3">
        <f>IF(OR(I968=1,H968=1),1,0)</f>
        <v/>
      </c>
      <c r="Y968" s="3">
        <f>IF(OR(G968=1),1,0)</f>
        <v/>
      </c>
      <c r="Z968" s="3">
        <f>IF(OR(F968=1),1,0)</f>
        <v/>
      </c>
      <c r="AA968" s="3">
        <f>IF(OR(M968=1),1,0)</f>
        <v/>
      </c>
    </row>
    <row r="969">
      <c r="A969" s="22" t="inlineStr">
        <is>
          <t>763630a8ad33d2aee656fc0aa1ec86990b77a443</t>
        </is>
      </c>
      <c r="B969" s="22" t="inlineStr">
        <is>
          <t>2026-02</t>
        </is>
      </c>
      <c r="C969" s="22" t="inlineStr">
        <is>
          <t>X</t>
        </is>
      </c>
      <c r="D969" s="22" t="n">
        <v>1</v>
      </c>
      <c r="E969" s="22" t="inlineStr">
        <is>
          <t>X: X search (Top): BVAS INEC</t>
        </is>
      </c>
      <c r="F969" s="22" t="inlineStr">
        <is>
          <t>x:X search (Top): BVAS INEC</t>
        </is>
      </c>
      <c r="G969" s="22" t="n">
        <v>0.296</v>
      </c>
      <c r="H969" s="22" t="n">
        <v>0</v>
      </c>
      <c r="I969" s="22" t="n">
        <v>1</v>
      </c>
      <c r="J969" s="22" t="n">
        <v>0</v>
      </c>
      <c r="K969" s="22" t="n">
        <v>0</v>
      </c>
      <c r="L969" s="22" t="n">
        <v>0</v>
      </c>
      <c r="M969" s="22" t="n">
        <v>0</v>
      </c>
      <c r="N969" s="22" t="n">
        <v>0</v>
      </c>
      <c r="O969" s="22" t="n">
        <v>0</v>
      </c>
      <c r="P969" s="22" t="n">
        <v>0</v>
      </c>
      <c r="Q969" s="22" t="n">
        <v>0</v>
      </c>
      <c r="R969" s="22" t="n">
        <v>0</v>
      </c>
      <c r="S969" s="22" t="n">
        <v>0</v>
      </c>
      <c r="T969" s="22" t="n">
        <v>0</v>
      </c>
      <c r="U969" s="3">
        <f>IF(OR(N969=1,Q969=1),1,0)</f>
        <v/>
      </c>
      <c r="V969" s="3">
        <f>IF(OR(T969=1,P969=1),1,0)</f>
        <v/>
      </c>
      <c r="W969" s="3">
        <f>IF(OR(J969=1),1,0)</f>
        <v/>
      </c>
      <c r="X969" s="3">
        <f>IF(OR(I969=1,H969=1),1,0)</f>
        <v/>
      </c>
      <c r="Y969" s="3">
        <f>IF(OR(G969=1),1,0)</f>
        <v/>
      </c>
      <c r="Z969" s="3">
        <f>IF(OR(F969=1),1,0)</f>
        <v/>
      </c>
      <c r="AA969" s="3">
        <f>IF(OR(M969=1),1,0)</f>
        <v/>
      </c>
    </row>
    <row r="970">
      <c r="A970" s="22" t="inlineStr">
        <is>
          <t>c12a3325d83d0b71932add3a52670f3337bc7000</t>
        </is>
      </c>
      <c r="B970" s="22" t="inlineStr">
        <is>
          <t>2026-10</t>
        </is>
      </c>
      <c r="C970" s="22" t="inlineStr">
        <is>
          <t>X</t>
        </is>
      </c>
      <c r="D970" s="22" t="n">
        <v>1</v>
      </c>
      <c r="E970" s="22" t="inlineStr">
        <is>
          <t>X: X search (Top): BVAS INEC</t>
        </is>
      </c>
      <c r="F970" s="22" t="inlineStr">
        <is>
          <t>x:X search (Top): BVAS INEC</t>
        </is>
      </c>
      <c r="G970" s="22" t="n">
        <v>-0.484</v>
      </c>
      <c r="H970" s="22" t="n">
        <v>0</v>
      </c>
      <c r="I970" s="22" t="n">
        <v>1</v>
      </c>
      <c r="J970" s="22" t="n">
        <v>0</v>
      </c>
      <c r="K970" s="22" t="n">
        <v>0</v>
      </c>
      <c r="L970" s="22" t="n">
        <v>0</v>
      </c>
      <c r="M970" s="22" t="n">
        <v>1</v>
      </c>
      <c r="N970" s="22" t="n">
        <v>0</v>
      </c>
      <c r="O970" s="22" t="n">
        <v>0</v>
      </c>
      <c r="P970" s="22" t="n">
        <v>0</v>
      </c>
      <c r="Q970" s="22" t="n">
        <v>0</v>
      </c>
      <c r="R970" s="22" t="n">
        <v>0</v>
      </c>
      <c r="S970" s="22" t="n">
        <v>0</v>
      </c>
      <c r="T970" s="22" t="n">
        <v>0</v>
      </c>
      <c r="U970" s="3">
        <f>IF(OR(N970=1,Q970=1),1,0)</f>
        <v/>
      </c>
      <c r="V970" s="3">
        <f>IF(OR(T970=1,P970=1),1,0)</f>
        <v/>
      </c>
      <c r="W970" s="3">
        <f>IF(OR(J970=1),1,0)</f>
        <v/>
      </c>
      <c r="X970" s="3">
        <f>IF(OR(I970=1,H970=1),1,0)</f>
        <v/>
      </c>
      <c r="Y970" s="3">
        <f>IF(OR(G970=1),1,0)</f>
        <v/>
      </c>
      <c r="Z970" s="3">
        <f>IF(OR(F970=1),1,0)</f>
        <v/>
      </c>
      <c r="AA970" s="3">
        <f>IF(OR(M970=1),1,0)</f>
        <v/>
      </c>
    </row>
    <row r="971">
      <c r="A971" s="22" t="inlineStr">
        <is>
          <t>ed23e8c9ffa3f607ea89b9dba41f0f1533fb2715</t>
        </is>
      </c>
      <c r="B971" s="22" t="inlineStr">
        <is>
          <t>2026-10</t>
        </is>
      </c>
      <c r="C971" s="22" t="inlineStr">
        <is>
          <t>X</t>
        </is>
      </c>
      <c r="D971" s="22" t="n">
        <v>1</v>
      </c>
      <c r="E971" s="22" t="inlineStr">
        <is>
          <t>X: X search (Top): BVAS INEC</t>
        </is>
      </c>
      <c r="F971" s="22" t="inlineStr">
        <is>
          <t>x:X search (Top): BVAS INEC</t>
        </is>
      </c>
      <c r="G971" s="22" t="n">
        <v>-0.128</v>
      </c>
      <c r="H971" s="22" t="n">
        <v>0</v>
      </c>
      <c r="I971" s="22" t="n">
        <v>1</v>
      </c>
      <c r="J971" s="22" t="n">
        <v>0</v>
      </c>
      <c r="K971" s="22" t="n">
        <v>0</v>
      </c>
      <c r="L971" s="22" t="n">
        <v>0</v>
      </c>
      <c r="M971" s="22" t="n">
        <v>0</v>
      </c>
      <c r="N971" s="22" t="n">
        <v>0</v>
      </c>
      <c r="O971" s="22" t="n">
        <v>0</v>
      </c>
      <c r="P971" s="22" t="n">
        <v>0</v>
      </c>
      <c r="Q971" s="22" t="n">
        <v>0</v>
      </c>
      <c r="R971" s="22" t="n">
        <v>0</v>
      </c>
      <c r="S971" s="22" t="n">
        <v>0</v>
      </c>
      <c r="T971" s="22" t="n">
        <v>0</v>
      </c>
      <c r="U971" s="3">
        <f>IF(OR(N971=1,Q971=1),1,0)</f>
        <v/>
      </c>
      <c r="V971" s="3">
        <f>IF(OR(T971=1,P971=1),1,0)</f>
        <v/>
      </c>
      <c r="W971" s="3">
        <f>IF(OR(J971=1),1,0)</f>
        <v/>
      </c>
      <c r="X971" s="3">
        <f>IF(OR(I971=1,H971=1),1,0)</f>
        <v/>
      </c>
      <c r="Y971" s="3">
        <f>IF(OR(G971=1),1,0)</f>
        <v/>
      </c>
      <c r="Z971" s="3">
        <f>IF(OR(F971=1),1,0)</f>
        <v/>
      </c>
      <c r="AA971" s="3">
        <f>IF(OR(M971=1),1,0)</f>
        <v/>
      </c>
    </row>
    <row r="972">
      <c r="A972" s="22" t="inlineStr">
        <is>
          <t>a8a1f05026bb5e0052919a4b7fa35760420393f2</t>
        </is>
      </c>
      <c r="B972" s="22" t="inlineStr">
        <is>
          <t>2026-10</t>
        </is>
      </c>
      <c r="C972" s="22" t="inlineStr">
        <is>
          <t>X</t>
        </is>
      </c>
      <c r="D972" s="22" t="n">
        <v>1</v>
      </c>
      <c r="E972" s="22" t="inlineStr">
        <is>
          <t>X: X search (Top): BVAS INEC</t>
        </is>
      </c>
      <c r="F972" s="22" t="inlineStr">
        <is>
          <t>x:X search (Top): BVAS INEC</t>
        </is>
      </c>
      <c r="G972" s="22" t="n">
        <v>0</v>
      </c>
      <c r="H972" s="22" t="n">
        <v>0</v>
      </c>
      <c r="I972" s="22" t="n">
        <v>1</v>
      </c>
      <c r="J972" s="22" t="n">
        <v>0</v>
      </c>
      <c r="K972" s="22" t="n">
        <v>0</v>
      </c>
      <c r="L972" s="22" t="n">
        <v>0</v>
      </c>
      <c r="M972" s="22" t="n">
        <v>0</v>
      </c>
      <c r="N972" s="22" t="n">
        <v>0</v>
      </c>
      <c r="O972" s="22" t="n">
        <v>0</v>
      </c>
      <c r="P972" s="22" t="n">
        <v>0</v>
      </c>
      <c r="Q972" s="22" t="n">
        <v>0</v>
      </c>
      <c r="R972" s="22" t="n">
        <v>0</v>
      </c>
      <c r="S972" s="22" t="n">
        <v>0</v>
      </c>
      <c r="T972" s="22" t="n">
        <v>0</v>
      </c>
      <c r="U972" s="3">
        <f>IF(OR(N972=1,Q972=1),1,0)</f>
        <v/>
      </c>
      <c r="V972" s="3">
        <f>IF(OR(T972=1,P972=1),1,0)</f>
        <v/>
      </c>
      <c r="W972" s="3">
        <f>IF(OR(J972=1),1,0)</f>
        <v/>
      </c>
      <c r="X972" s="3">
        <f>IF(OR(I972=1,H972=1),1,0)</f>
        <v/>
      </c>
      <c r="Y972" s="3">
        <f>IF(OR(G972=1),1,0)</f>
        <v/>
      </c>
      <c r="Z972" s="3">
        <f>IF(OR(F972=1),1,0)</f>
        <v/>
      </c>
      <c r="AA972" s="3">
        <f>IF(OR(M972=1),1,0)</f>
        <v/>
      </c>
    </row>
    <row r="973">
      <c r="A973" s="22" t="inlineStr">
        <is>
          <t>2de10ba6d8116761eda4c7bafe00fba746a44517</t>
        </is>
      </c>
      <c r="B973" s="22" t="inlineStr">
        <is>
          <t>2026-10</t>
        </is>
      </c>
      <c r="C973" s="22" t="inlineStr">
        <is>
          <t>X</t>
        </is>
      </c>
      <c r="D973" s="22" t="n">
        <v>1</v>
      </c>
      <c r="E973" s="22" t="inlineStr">
        <is>
          <t>X: X search (Top): BVAS INEC</t>
        </is>
      </c>
      <c r="F973" s="22" t="inlineStr">
        <is>
          <t>x:X search (Top): BVAS INEC</t>
        </is>
      </c>
      <c r="G973" s="22" t="n">
        <v>-0.784</v>
      </c>
      <c r="H973" s="22" t="n">
        <v>0</v>
      </c>
      <c r="I973" s="22" t="n">
        <v>1</v>
      </c>
      <c r="J973" s="22" t="n">
        <v>0</v>
      </c>
      <c r="K973" s="22" t="n">
        <v>0</v>
      </c>
      <c r="L973" s="22" t="n">
        <v>0</v>
      </c>
      <c r="M973" s="22" t="n">
        <v>0</v>
      </c>
      <c r="N973" s="22" t="n">
        <v>0</v>
      </c>
      <c r="O973" s="22" t="n">
        <v>0</v>
      </c>
      <c r="P973" s="22" t="n">
        <v>0</v>
      </c>
      <c r="Q973" s="22" t="n">
        <v>0</v>
      </c>
      <c r="R973" s="22" t="n">
        <v>0</v>
      </c>
      <c r="S973" s="22" t="n">
        <v>0</v>
      </c>
      <c r="T973" s="22" t="n">
        <v>0</v>
      </c>
      <c r="U973" s="3">
        <f>IF(OR(N973=1,Q973=1),1,0)</f>
        <v/>
      </c>
      <c r="V973" s="3">
        <f>IF(OR(T973=1,P973=1),1,0)</f>
        <v/>
      </c>
      <c r="W973" s="3">
        <f>IF(OR(J973=1),1,0)</f>
        <v/>
      </c>
      <c r="X973" s="3">
        <f>IF(OR(I973=1,H973=1),1,0)</f>
        <v/>
      </c>
      <c r="Y973" s="3">
        <f>IF(OR(G973=1),1,0)</f>
        <v/>
      </c>
      <c r="Z973" s="3">
        <f>IF(OR(F973=1),1,0)</f>
        <v/>
      </c>
      <c r="AA973" s="3">
        <f>IF(OR(M973=1),1,0)</f>
        <v/>
      </c>
    </row>
    <row r="974">
      <c r="A974" s="22" t="inlineStr">
        <is>
          <t>c099b8df2a5f508cb8f7c9feb4cc1ffc2360af6c</t>
        </is>
      </c>
      <c r="B974" s="22" t="inlineStr">
        <is>
          <t>2026-10</t>
        </is>
      </c>
      <c r="C974" s="22" t="inlineStr">
        <is>
          <t>X</t>
        </is>
      </c>
      <c r="D974" s="22" t="n">
        <v>1</v>
      </c>
      <c r="E974" s="22" t="inlineStr">
        <is>
          <t>X: X search (Top): BVAS INEC</t>
        </is>
      </c>
      <c r="F974" s="22" t="inlineStr">
        <is>
          <t>x:X search (Top): BVAS INEC</t>
        </is>
      </c>
      <c r="G974" s="22" t="n">
        <v>-0.25</v>
      </c>
      <c r="H974" s="22" t="n">
        <v>0</v>
      </c>
      <c r="I974" s="22" t="n">
        <v>1</v>
      </c>
      <c r="J974" s="22" t="n">
        <v>0</v>
      </c>
      <c r="K974" s="22" t="n">
        <v>0</v>
      </c>
      <c r="L974" s="22" t="n">
        <v>0</v>
      </c>
      <c r="M974" s="22" t="n">
        <v>0</v>
      </c>
      <c r="N974" s="22" t="n">
        <v>0</v>
      </c>
      <c r="O974" s="22" t="n">
        <v>0</v>
      </c>
      <c r="P974" s="22" t="n">
        <v>0</v>
      </c>
      <c r="Q974" s="22" t="n">
        <v>0</v>
      </c>
      <c r="R974" s="22" t="n">
        <v>0</v>
      </c>
      <c r="S974" s="22" t="n">
        <v>0</v>
      </c>
      <c r="T974" s="22" t="n">
        <v>0</v>
      </c>
      <c r="U974" s="3">
        <f>IF(OR(N974=1,Q974=1),1,0)</f>
        <v/>
      </c>
      <c r="V974" s="3">
        <f>IF(OR(T974=1,P974=1),1,0)</f>
        <v/>
      </c>
      <c r="W974" s="3">
        <f>IF(OR(J974=1),1,0)</f>
        <v/>
      </c>
      <c r="X974" s="3">
        <f>IF(OR(I974=1,H974=1),1,0)</f>
        <v/>
      </c>
      <c r="Y974" s="3">
        <f>IF(OR(G974=1),1,0)</f>
        <v/>
      </c>
      <c r="Z974" s="3">
        <f>IF(OR(F974=1),1,0)</f>
        <v/>
      </c>
      <c r="AA974" s="3">
        <f>IF(OR(M974=1),1,0)</f>
        <v/>
      </c>
    </row>
    <row r="975">
      <c r="A975" s="22" t="inlineStr">
        <is>
          <t>804bd5ac8f6b65ba959788e7047e0434c92985be</t>
        </is>
      </c>
      <c r="B975" s="22" t="inlineStr">
        <is>
          <t>2026-10</t>
        </is>
      </c>
      <c r="C975" s="22" t="inlineStr">
        <is>
          <t>X</t>
        </is>
      </c>
      <c r="D975" s="22" t="n">
        <v>1</v>
      </c>
      <c r="E975" s="22" t="inlineStr">
        <is>
          <t>X: X search: Nigeria election 2027 rigging</t>
        </is>
      </c>
      <c r="F975" s="22" t="inlineStr">
        <is>
          <t>x:X search: Nigeria election 2027 rigging</t>
        </is>
      </c>
      <c r="G975" s="22" t="n">
        <v>-0.146</v>
      </c>
      <c r="H975" s="22" t="n">
        <v>1</v>
      </c>
      <c r="I975" s="22" t="n">
        <v>0</v>
      </c>
      <c r="J975" s="22" t="n">
        <v>0</v>
      </c>
      <c r="K975" s="22" t="n">
        <v>0</v>
      </c>
      <c r="L975" s="22" t="n">
        <v>1</v>
      </c>
      <c r="M975" s="22" t="n">
        <v>0</v>
      </c>
      <c r="N975" s="22" t="n">
        <v>0</v>
      </c>
      <c r="O975" s="22" t="n">
        <v>0</v>
      </c>
      <c r="P975" s="22" t="n">
        <v>0</v>
      </c>
      <c r="Q975" s="22" t="n">
        <v>0</v>
      </c>
      <c r="R975" s="22" t="n">
        <v>0</v>
      </c>
      <c r="S975" s="22" t="n">
        <v>0</v>
      </c>
      <c r="T975" s="22" t="n">
        <v>0</v>
      </c>
      <c r="U975" s="3">
        <f>IF(OR(N975=1,Q975=1),1,0)</f>
        <v/>
      </c>
      <c r="V975" s="3">
        <f>IF(OR(T975=1,P975=1),1,0)</f>
        <v/>
      </c>
      <c r="W975" s="3">
        <f>IF(OR(J975=1),1,0)</f>
        <v/>
      </c>
      <c r="X975" s="3">
        <f>IF(OR(I975=1,H975=1),1,0)</f>
        <v/>
      </c>
      <c r="Y975" s="3">
        <f>IF(OR(G975=1),1,0)</f>
        <v/>
      </c>
      <c r="Z975" s="3">
        <f>IF(OR(F975=1),1,0)</f>
        <v/>
      </c>
      <c r="AA975" s="3">
        <f>IF(OR(M975=1),1,0)</f>
        <v/>
      </c>
    </row>
    <row r="976">
      <c r="A976" s="22" t="inlineStr">
        <is>
          <t>3fa7d7470e03cbb7f68f8ee47297781f6691012b</t>
        </is>
      </c>
      <c r="B976" s="22" t="inlineStr">
        <is>
          <t>2026-10</t>
        </is>
      </c>
      <c r="C976" s="22" t="inlineStr">
        <is>
          <t>X</t>
        </is>
      </c>
      <c r="D976" s="22" t="n">
        <v>1</v>
      </c>
      <c r="E976" s="22" t="inlineStr">
        <is>
          <t>X: X search: Nigeria election 2027 rigging</t>
        </is>
      </c>
      <c r="F976" s="22" t="inlineStr">
        <is>
          <t>x:X search: Nigeria election 2027 rigging</t>
        </is>
      </c>
      <c r="G976" s="22" t="n">
        <v>-0.36</v>
      </c>
      <c r="H976" s="22" t="n">
        <v>1</v>
      </c>
      <c r="I976" s="22" t="n">
        <v>0</v>
      </c>
      <c r="J976" s="22" t="n">
        <v>0</v>
      </c>
      <c r="K976" s="22" t="n">
        <v>1</v>
      </c>
      <c r="L976" s="22" t="n">
        <v>0</v>
      </c>
      <c r="M976" s="22" t="n">
        <v>0</v>
      </c>
      <c r="N976" s="22" t="n">
        <v>0</v>
      </c>
      <c r="O976" s="22" t="n">
        <v>0</v>
      </c>
      <c r="P976" s="22" t="n">
        <v>0</v>
      </c>
      <c r="Q976" s="22" t="n">
        <v>0</v>
      </c>
      <c r="R976" s="22" t="n">
        <v>0</v>
      </c>
      <c r="S976" s="22" t="n">
        <v>0</v>
      </c>
      <c r="T976" s="22" t="n">
        <v>0</v>
      </c>
      <c r="U976" s="3">
        <f>IF(OR(N976=1,Q976=1),1,0)</f>
        <v/>
      </c>
      <c r="V976" s="3">
        <f>IF(OR(T976=1,P976=1),1,0)</f>
        <v/>
      </c>
      <c r="W976" s="3">
        <f>IF(OR(J976=1),1,0)</f>
        <v/>
      </c>
      <c r="X976" s="3">
        <f>IF(OR(I976=1,H976=1),1,0)</f>
        <v/>
      </c>
      <c r="Y976" s="3">
        <f>IF(OR(G976=1),1,0)</f>
        <v/>
      </c>
      <c r="Z976" s="3">
        <f>IF(OR(F976=1),1,0)</f>
        <v/>
      </c>
      <c r="AA976" s="3">
        <f>IF(OR(M976=1),1,0)</f>
        <v/>
      </c>
    </row>
    <row r="977">
      <c r="A977" s="22" t="inlineStr">
        <is>
          <t>7f701fdad2c7f99dfae431761ba4563447d69531</t>
        </is>
      </c>
      <c r="B977" s="22" t="inlineStr">
        <is>
          <t>2026-10</t>
        </is>
      </c>
      <c r="C977" s="22" t="inlineStr">
        <is>
          <t>X</t>
        </is>
      </c>
      <c r="D977" s="22" t="n">
        <v>1</v>
      </c>
      <c r="E977" s="22" t="inlineStr">
        <is>
          <t>X: X search: Nigeria election 2027 rigging</t>
        </is>
      </c>
      <c r="F977" s="22" t="inlineStr">
        <is>
          <t>x:X search: Nigeria election 2027 rigging</t>
        </is>
      </c>
      <c r="G977" s="22" t="n">
        <v>-0.879</v>
      </c>
      <c r="H977" s="22" t="n">
        <v>1</v>
      </c>
      <c r="I977" s="22" t="n">
        <v>0</v>
      </c>
      <c r="J977" s="22" t="n">
        <v>0</v>
      </c>
      <c r="K977" s="22" t="n">
        <v>0</v>
      </c>
      <c r="L977" s="22" t="n">
        <v>0</v>
      </c>
      <c r="M977" s="22" t="n">
        <v>0</v>
      </c>
      <c r="N977" s="22" t="n">
        <v>0</v>
      </c>
      <c r="O977" s="22" t="n">
        <v>0</v>
      </c>
      <c r="P977" s="22" t="n">
        <v>0</v>
      </c>
      <c r="Q977" s="22" t="n">
        <v>0</v>
      </c>
      <c r="R977" s="22" t="n">
        <v>0</v>
      </c>
      <c r="S977" s="22" t="n">
        <v>0</v>
      </c>
      <c r="T977" s="22" t="n">
        <v>0</v>
      </c>
      <c r="U977" s="3">
        <f>IF(OR(N977=1,Q977=1),1,0)</f>
        <v/>
      </c>
      <c r="V977" s="3">
        <f>IF(OR(T977=1,P977=1),1,0)</f>
        <v/>
      </c>
      <c r="W977" s="3">
        <f>IF(OR(J977=1),1,0)</f>
        <v/>
      </c>
      <c r="X977" s="3">
        <f>IF(OR(I977=1,H977=1),1,0)</f>
        <v/>
      </c>
      <c r="Y977" s="3">
        <f>IF(OR(G977=1),1,0)</f>
        <v/>
      </c>
      <c r="Z977" s="3">
        <f>IF(OR(F977=1),1,0)</f>
        <v/>
      </c>
      <c r="AA977" s="3">
        <f>IF(OR(M977=1),1,0)</f>
        <v/>
      </c>
    </row>
    <row r="978">
      <c r="A978" s="22" t="inlineStr">
        <is>
          <t>eb22da5e75cc94927ef5c32cf1f5a6f60a162838</t>
        </is>
      </c>
      <c r="B978" s="22" t="inlineStr">
        <is>
          <t>2026-10</t>
        </is>
      </c>
      <c r="C978" s="22" t="inlineStr">
        <is>
          <t>X</t>
        </is>
      </c>
      <c r="D978" s="22" t="n">
        <v>1</v>
      </c>
      <c r="E978" s="22" t="inlineStr">
        <is>
          <t>X: X search: Nigeria election 2027 rigging</t>
        </is>
      </c>
      <c r="F978" s="22" t="inlineStr">
        <is>
          <t>x:X search: Nigeria election 2027 rigging</t>
        </is>
      </c>
      <c r="G978" s="22" t="n">
        <v>0.586</v>
      </c>
      <c r="H978" s="22" t="n">
        <v>1</v>
      </c>
      <c r="I978" s="22" t="n">
        <v>0</v>
      </c>
      <c r="J978" s="22" t="n">
        <v>0</v>
      </c>
      <c r="K978" s="22" t="n">
        <v>0</v>
      </c>
      <c r="L978" s="22" t="n">
        <v>0</v>
      </c>
      <c r="M978" s="22" t="n">
        <v>0</v>
      </c>
      <c r="N978" s="22" t="n">
        <v>0</v>
      </c>
      <c r="O978" s="22" t="n">
        <v>0</v>
      </c>
      <c r="P978" s="22" t="n">
        <v>0</v>
      </c>
      <c r="Q978" s="22" t="n">
        <v>0</v>
      </c>
      <c r="R978" s="22" t="n">
        <v>0</v>
      </c>
      <c r="S978" s="22" t="n">
        <v>0</v>
      </c>
      <c r="T978" s="22" t="n">
        <v>0</v>
      </c>
      <c r="U978" s="3">
        <f>IF(OR(N978=1,Q978=1),1,0)</f>
        <v/>
      </c>
      <c r="V978" s="3">
        <f>IF(OR(T978=1,P978=1),1,0)</f>
        <v/>
      </c>
      <c r="W978" s="3">
        <f>IF(OR(J978=1),1,0)</f>
        <v/>
      </c>
      <c r="X978" s="3">
        <f>IF(OR(I978=1,H978=1),1,0)</f>
        <v/>
      </c>
      <c r="Y978" s="3">
        <f>IF(OR(G978=1),1,0)</f>
        <v/>
      </c>
      <c r="Z978" s="3">
        <f>IF(OR(F978=1),1,0)</f>
        <v/>
      </c>
      <c r="AA978" s="3">
        <f>IF(OR(M978=1),1,0)</f>
        <v/>
      </c>
    </row>
    <row r="979">
      <c r="A979" s="22" t="inlineStr">
        <is>
          <t>cabc118760bb641eef808f8e16a3d388c8104c20</t>
        </is>
      </c>
      <c r="B979" s="22" t="inlineStr">
        <is>
          <t>2026-10</t>
        </is>
      </c>
      <c r="C979" s="22" t="inlineStr">
        <is>
          <t>X</t>
        </is>
      </c>
      <c r="D979" s="22" t="n">
        <v>1</v>
      </c>
      <c r="E979" s="22" t="inlineStr">
        <is>
          <t>X: X search: Nigeria election 2027 rigging</t>
        </is>
      </c>
      <c r="F979" s="22" t="inlineStr">
        <is>
          <t>x:X search: Nigeria election 2027 rigging</t>
        </is>
      </c>
      <c r="G979" s="22" t="n">
        <v>-0.835</v>
      </c>
      <c r="H979" s="22" t="n">
        <v>1</v>
      </c>
      <c r="I979" s="22" t="n">
        <v>0</v>
      </c>
      <c r="J979" s="22" t="n">
        <v>0</v>
      </c>
      <c r="K979" s="22" t="n">
        <v>1</v>
      </c>
      <c r="L979" s="22" t="n">
        <v>0</v>
      </c>
      <c r="M979" s="22" t="n">
        <v>0</v>
      </c>
      <c r="N979" s="22" t="n">
        <v>0</v>
      </c>
      <c r="O979" s="22" t="n">
        <v>0</v>
      </c>
      <c r="P979" s="22" t="n">
        <v>0</v>
      </c>
      <c r="Q979" s="22" t="n">
        <v>0</v>
      </c>
      <c r="R979" s="22" t="n">
        <v>0</v>
      </c>
      <c r="S979" s="22" t="n">
        <v>0</v>
      </c>
      <c r="T979" s="22" t="n">
        <v>0</v>
      </c>
      <c r="U979" s="3">
        <f>IF(OR(N979=1,Q979=1),1,0)</f>
        <v/>
      </c>
      <c r="V979" s="3">
        <f>IF(OR(T979=1,P979=1),1,0)</f>
        <v/>
      </c>
      <c r="W979" s="3">
        <f>IF(OR(J979=1),1,0)</f>
        <v/>
      </c>
      <c r="X979" s="3">
        <f>IF(OR(I979=1,H979=1),1,0)</f>
        <v/>
      </c>
      <c r="Y979" s="3">
        <f>IF(OR(G979=1),1,0)</f>
        <v/>
      </c>
      <c r="Z979" s="3">
        <f>IF(OR(F979=1),1,0)</f>
        <v/>
      </c>
      <c r="AA979" s="3">
        <f>IF(OR(M979=1),1,0)</f>
        <v/>
      </c>
    </row>
    <row r="980">
      <c r="A980" s="22" t="inlineStr">
        <is>
          <t>d5f63bd27e617776aa356bd7fb2790d6b1a74103</t>
        </is>
      </c>
      <c r="B980" s="22" t="inlineStr">
        <is>
          <t>2026-10</t>
        </is>
      </c>
      <c r="C980" s="22" t="inlineStr">
        <is>
          <t>X</t>
        </is>
      </c>
      <c r="D980" s="22" t="n">
        <v>1</v>
      </c>
      <c r="E980" s="22" t="inlineStr">
        <is>
          <t>X: X search: Nigeria election 2027 rigging</t>
        </is>
      </c>
      <c r="F980" s="22" t="inlineStr">
        <is>
          <t>x:X search: Nigeria election 2027 rigging</t>
        </is>
      </c>
      <c r="G980" s="22" t="n">
        <v>-0.34</v>
      </c>
      <c r="H980" s="22" t="n">
        <v>1</v>
      </c>
      <c r="I980" s="22" t="n">
        <v>0</v>
      </c>
      <c r="J980" s="22" t="n">
        <v>0</v>
      </c>
      <c r="K980" s="22" t="n">
        <v>0</v>
      </c>
      <c r="L980" s="22" t="n">
        <v>0</v>
      </c>
      <c r="M980" s="22" t="n">
        <v>0</v>
      </c>
      <c r="N980" s="22" t="n">
        <v>0</v>
      </c>
      <c r="O980" s="22" t="n">
        <v>0</v>
      </c>
      <c r="P980" s="22" t="n">
        <v>0</v>
      </c>
      <c r="Q980" s="22" t="n">
        <v>0</v>
      </c>
      <c r="R980" s="22" t="n">
        <v>0</v>
      </c>
      <c r="S980" s="22" t="n">
        <v>0</v>
      </c>
      <c r="T980" s="22" t="n">
        <v>0</v>
      </c>
      <c r="U980" s="3">
        <f>IF(OR(N980=1,Q980=1),1,0)</f>
        <v/>
      </c>
      <c r="V980" s="3">
        <f>IF(OR(T980=1,P980=1),1,0)</f>
        <v/>
      </c>
      <c r="W980" s="3">
        <f>IF(OR(J980=1),1,0)</f>
        <v/>
      </c>
      <c r="X980" s="3">
        <f>IF(OR(I980=1,H980=1),1,0)</f>
        <v/>
      </c>
      <c r="Y980" s="3">
        <f>IF(OR(G980=1),1,0)</f>
        <v/>
      </c>
      <c r="Z980" s="3">
        <f>IF(OR(F980=1),1,0)</f>
        <v/>
      </c>
      <c r="AA980" s="3">
        <f>IF(OR(M980=1),1,0)</f>
        <v/>
      </c>
    </row>
    <row r="981">
      <c r="A981" s="22" t="inlineStr">
        <is>
          <t>421e223e73dc22ad35e3abbaacf8d1a80597d492</t>
        </is>
      </c>
      <c r="B981" s="22" t="inlineStr">
        <is>
          <t>2026-10</t>
        </is>
      </c>
      <c r="C981" s="22" t="inlineStr">
        <is>
          <t>X</t>
        </is>
      </c>
      <c r="D981" s="22" t="n">
        <v>1</v>
      </c>
      <c r="E981" s="22" t="inlineStr">
        <is>
          <t>X: X search: Nigeria election 2027 rigging</t>
        </is>
      </c>
      <c r="F981" s="22" t="inlineStr">
        <is>
          <t>x:X search: Nigeria election 2027 rigging</t>
        </is>
      </c>
      <c r="G981" s="22" t="n">
        <v>-0.542</v>
      </c>
      <c r="H981" s="22" t="n">
        <v>1</v>
      </c>
      <c r="I981" s="22" t="n">
        <v>0</v>
      </c>
      <c r="J981" s="22" t="n">
        <v>0</v>
      </c>
      <c r="K981" s="22" t="n">
        <v>0</v>
      </c>
      <c r="L981" s="22" t="n">
        <v>0</v>
      </c>
      <c r="M981" s="22" t="n">
        <v>0</v>
      </c>
      <c r="N981" s="22" t="n">
        <v>0</v>
      </c>
      <c r="O981" s="22" t="n">
        <v>0</v>
      </c>
      <c r="P981" s="22" t="n">
        <v>0</v>
      </c>
      <c r="Q981" s="22" t="n">
        <v>0</v>
      </c>
      <c r="R981" s="22" t="n">
        <v>0</v>
      </c>
      <c r="S981" s="22" t="n">
        <v>0</v>
      </c>
      <c r="T981" s="22" t="n">
        <v>0</v>
      </c>
      <c r="U981" s="3">
        <f>IF(OR(N981=1,Q981=1),1,0)</f>
        <v/>
      </c>
      <c r="V981" s="3">
        <f>IF(OR(T981=1,P981=1),1,0)</f>
        <v/>
      </c>
      <c r="W981" s="3">
        <f>IF(OR(J981=1),1,0)</f>
        <v/>
      </c>
      <c r="X981" s="3">
        <f>IF(OR(I981=1,H981=1),1,0)</f>
        <v/>
      </c>
      <c r="Y981" s="3">
        <f>IF(OR(G981=1),1,0)</f>
        <v/>
      </c>
      <c r="Z981" s="3">
        <f>IF(OR(F981=1),1,0)</f>
        <v/>
      </c>
      <c r="AA981" s="3">
        <f>IF(OR(M981=1),1,0)</f>
        <v/>
      </c>
    </row>
    <row r="982">
      <c r="A982" s="22" t="inlineStr">
        <is>
          <t>2216df9b53e492206aaed5a5635e2967cee7c220</t>
        </is>
      </c>
      <c r="B982" s="22" t="inlineStr">
        <is>
          <t>2026-10</t>
        </is>
      </c>
      <c r="C982" s="22" t="inlineStr">
        <is>
          <t>X</t>
        </is>
      </c>
      <c r="D982" s="22" t="n">
        <v>1</v>
      </c>
      <c r="E982" s="22" t="inlineStr">
        <is>
          <t>X: X search: Nigeria election 2027 rigging</t>
        </is>
      </c>
      <c r="F982" s="22" t="inlineStr">
        <is>
          <t>x:X search: Nigeria election 2027 rigging</t>
        </is>
      </c>
      <c r="G982" s="22" t="n">
        <v>-0.612</v>
      </c>
      <c r="H982" s="22" t="n">
        <v>1</v>
      </c>
      <c r="I982" s="22" t="n">
        <v>0</v>
      </c>
      <c r="J982" s="22" t="n">
        <v>0</v>
      </c>
      <c r="K982" s="22" t="n">
        <v>0</v>
      </c>
      <c r="L982" s="22" t="n">
        <v>0</v>
      </c>
      <c r="M982" s="22" t="n">
        <v>0</v>
      </c>
      <c r="N982" s="22" t="n">
        <v>0</v>
      </c>
      <c r="O982" s="22" t="n">
        <v>0</v>
      </c>
      <c r="P982" s="22" t="n">
        <v>0</v>
      </c>
      <c r="Q982" s="22" t="n">
        <v>0</v>
      </c>
      <c r="R982" s="22" t="n">
        <v>0</v>
      </c>
      <c r="S982" s="22" t="n">
        <v>0</v>
      </c>
      <c r="T982" s="22" t="n">
        <v>0</v>
      </c>
      <c r="U982" s="3">
        <f>IF(OR(N982=1,Q982=1),1,0)</f>
        <v/>
      </c>
      <c r="V982" s="3">
        <f>IF(OR(T982=1,P982=1),1,0)</f>
        <v/>
      </c>
      <c r="W982" s="3">
        <f>IF(OR(J982=1),1,0)</f>
        <v/>
      </c>
      <c r="X982" s="3">
        <f>IF(OR(I982=1,H982=1),1,0)</f>
        <v/>
      </c>
      <c r="Y982" s="3">
        <f>IF(OR(G982=1),1,0)</f>
        <v/>
      </c>
      <c r="Z982" s="3">
        <f>IF(OR(F982=1),1,0)</f>
        <v/>
      </c>
      <c r="AA982" s="3">
        <f>IF(OR(M982=1),1,0)</f>
        <v/>
      </c>
    </row>
    <row r="983">
      <c r="A983" s="22" t="inlineStr">
        <is>
          <t>259bd915877105f76ab7676d6671cc1a77bf6970</t>
        </is>
      </c>
      <c r="B983" s="22" t="inlineStr">
        <is>
          <t>2026-10</t>
        </is>
      </c>
      <c r="C983" s="22" t="inlineStr">
        <is>
          <t>X</t>
        </is>
      </c>
      <c r="D983" s="22" t="n">
        <v>1</v>
      </c>
      <c r="E983" s="22" t="inlineStr">
        <is>
          <t>X: X search: Nigeria election 2027 rigging</t>
        </is>
      </c>
      <c r="F983" s="22" t="inlineStr">
        <is>
          <t>x:X search: Nigeria election 2027 rigging</t>
        </is>
      </c>
      <c r="G983" s="22" t="n">
        <v>-0.361</v>
      </c>
      <c r="H983" s="22" t="n">
        <v>1</v>
      </c>
      <c r="I983" s="22" t="n">
        <v>0</v>
      </c>
      <c r="J983" s="22" t="n">
        <v>0</v>
      </c>
      <c r="K983" s="22" t="n">
        <v>0</v>
      </c>
      <c r="L983" s="22" t="n">
        <v>0</v>
      </c>
      <c r="M983" s="22" t="n">
        <v>1</v>
      </c>
      <c r="N983" s="22" t="n">
        <v>0</v>
      </c>
      <c r="O983" s="22" t="n">
        <v>0</v>
      </c>
      <c r="P983" s="22" t="n">
        <v>0</v>
      </c>
      <c r="Q983" s="22" t="n">
        <v>0</v>
      </c>
      <c r="R983" s="22" t="n">
        <v>0</v>
      </c>
      <c r="S983" s="22" t="n">
        <v>0</v>
      </c>
      <c r="T983" s="22" t="n">
        <v>0</v>
      </c>
      <c r="U983" s="3">
        <f>IF(OR(N983=1,Q983=1),1,0)</f>
        <v/>
      </c>
      <c r="V983" s="3">
        <f>IF(OR(T983=1,P983=1),1,0)</f>
        <v/>
      </c>
      <c r="W983" s="3">
        <f>IF(OR(J983=1),1,0)</f>
        <v/>
      </c>
      <c r="X983" s="3">
        <f>IF(OR(I983=1,H983=1),1,0)</f>
        <v/>
      </c>
      <c r="Y983" s="3">
        <f>IF(OR(G983=1),1,0)</f>
        <v/>
      </c>
      <c r="Z983" s="3">
        <f>IF(OR(F983=1),1,0)</f>
        <v/>
      </c>
      <c r="AA983" s="3">
        <f>IF(OR(M983=1),1,0)</f>
        <v/>
      </c>
    </row>
    <row r="984">
      <c r="A984" s="22" t="inlineStr">
        <is>
          <t>b214dc001b7d6457629e63e0afd8211059fb9f82</t>
        </is>
      </c>
      <c r="B984" s="22" t="inlineStr">
        <is>
          <t>2026-10</t>
        </is>
      </c>
      <c r="C984" s="22" t="inlineStr">
        <is>
          <t>X</t>
        </is>
      </c>
      <c r="D984" s="22" t="n">
        <v>1</v>
      </c>
      <c r="E984" s="22" t="inlineStr">
        <is>
          <t>X: X search: Nigeria election 2027 rigging</t>
        </is>
      </c>
      <c r="F984" s="22" t="inlineStr">
        <is>
          <t>x:X search: Nigeria election 2027 rigging</t>
        </is>
      </c>
      <c r="G984" s="22" t="n">
        <v>-0.66</v>
      </c>
      <c r="H984" s="22" t="n">
        <v>0</v>
      </c>
      <c r="I984" s="22" t="n">
        <v>0</v>
      </c>
      <c r="J984" s="22" t="n">
        <v>0</v>
      </c>
      <c r="K984" s="22" t="n">
        <v>0</v>
      </c>
      <c r="L984" s="22" t="n">
        <v>0</v>
      </c>
      <c r="M984" s="22" t="n">
        <v>1</v>
      </c>
      <c r="N984" s="22" t="n">
        <v>0</v>
      </c>
      <c r="O984" s="22" t="n">
        <v>0</v>
      </c>
      <c r="P984" s="22" t="n">
        <v>0</v>
      </c>
      <c r="Q984" s="22" t="n">
        <v>0</v>
      </c>
      <c r="R984" s="22" t="n">
        <v>0</v>
      </c>
      <c r="S984" s="22" t="n">
        <v>0</v>
      </c>
      <c r="T984" s="22" t="n">
        <v>0</v>
      </c>
      <c r="U984" s="3">
        <f>IF(OR(N984=1,Q984=1),1,0)</f>
        <v/>
      </c>
      <c r="V984" s="3">
        <f>IF(OR(T984=1,P984=1),1,0)</f>
        <v/>
      </c>
      <c r="W984" s="3">
        <f>IF(OR(J984=1),1,0)</f>
        <v/>
      </c>
      <c r="X984" s="3">
        <f>IF(OR(I984=1,H984=1),1,0)</f>
        <v/>
      </c>
      <c r="Y984" s="3">
        <f>IF(OR(G984=1),1,0)</f>
        <v/>
      </c>
      <c r="Z984" s="3">
        <f>IF(OR(F984=1),1,0)</f>
        <v/>
      </c>
      <c r="AA984" s="3">
        <f>IF(OR(M984=1),1,0)</f>
        <v/>
      </c>
    </row>
    <row r="985">
      <c r="A985" s="22" t="inlineStr">
        <is>
          <t>fd4fe485917454c4456bb6c9110dd96c1cbcda1d</t>
        </is>
      </c>
      <c r="B985" s="22" t="inlineStr">
        <is>
          <t>2026-10</t>
        </is>
      </c>
      <c r="C985" s="22" t="inlineStr">
        <is>
          <t>X</t>
        </is>
      </c>
      <c r="D985" s="22" t="n">
        <v>1</v>
      </c>
      <c r="E985" s="22" t="inlineStr">
        <is>
          <t>X: X search: Nigeria election 2027 rigging</t>
        </is>
      </c>
      <c r="F985" s="22" t="inlineStr">
        <is>
          <t>x:X search: Nigeria election 2027 rigging</t>
        </is>
      </c>
      <c r="G985" s="22" t="n">
        <v>-0.778</v>
      </c>
      <c r="H985" s="22" t="n">
        <v>1</v>
      </c>
      <c r="I985" s="22" t="n">
        <v>0</v>
      </c>
      <c r="J985" s="22" t="n">
        <v>0</v>
      </c>
      <c r="K985" s="22" t="n">
        <v>0</v>
      </c>
      <c r="L985" s="22" t="n">
        <v>0</v>
      </c>
      <c r="M985" s="22" t="n">
        <v>0</v>
      </c>
      <c r="N985" s="22" t="n">
        <v>0</v>
      </c>
      <c r="O985" s="22" t="n">
        <v>0</v>
      </c>
      <c r="P985" s="22" t="n">
        <v>0</v>
      </c>
      <c r="Q985" s="22" t="n">
        <v>0</v>
      </c>
      <c r="R985" s="22" t="n">
        <v>0</v>
      </c>
      <c r="S985" s="22" t="n">
        <v>0</v>
      </c>
      <c r="T985" s="22" t="n">
        <v>0</v>
      </c>
      <c r="U985" s="3">
        <f>IF(OR(N985=1,Q985=1),1,0)</f>
        <v/>
      </c>
      <c r="V985" s="3">
        <f>IF(OR(T985=1,P985=1),1,0)</f>
        <v/>
      </c>
      <c r="W985" s="3">
        <f>IF(OR(J985=1),1,0)</f>
        <v/>
      </c>
      <c r="X985" s="3">
        <f>IF(OR(I985=1,H985=1),1,0)</f>
        <v/>
      </c>
      <c r="Y985" s="3">
        <f>IF(OR(G985=1),1,0)</f>
        <v/>
      </c>
      <c r="Z985" s="3">
        <f>IF(OR(F985=1),1,0)</f>
        <v/>
      </c>
      <c r="AA985" s="3">
        <f>IF(OR(M985=1),1,0)</f>
        <v/>
      </c>
    </row>
    <row r="986">
      <c r="A986" s="22" t="inlineStr">
        <is>
          <t>6371dbfb7d68232372644509f858739583dc759a</t>
        </is>
      </c>
      <c r="B986" s="22" t="inlineStr">
        <is>
          <t>2026-10</t>
        </is>
      </c>
      <c r="C986" s="22" t="inlineStr">
        <is>
          <t>X</t>
        </is>
      </c>
      <c r="D986" s="22" t="n">
        <v>1</v>
      </c>
      <c r="E986" s="22" t="inlineStr">
        <is>
          <t>X: X search: Nigeria election 2027 rigging</t>
        </is>
      </c>
      <c r="F986" s="22" t="inlineStr">
        <is>
          <t>x:X search: Nigeria election 2027 rigging</t>
        </is>
      </c>
      <c r="G986" s="22" t="n">
        <v>-0.586</v>
      </c>
      <c r="H986" s="22" t="n">
        <v>1</v>
      </c>
      <c r="I986" s="22" t="n">
        <v>0</v>
      </c>
      <c r="J986" s="22" t="n">
        <v>0</v>
      </c>
      <c r="K986" s="22" t="n">
        <v>0</v>
      </c>
      <c r="L986" s="22" t="n">
        <v>0</v>
      </c>
      <c r="M986" s="22" t="n">
        <v>0</v>
      </c>
      <c r="N986" s="22" t="n">
        <v>0</v>
      </c>
      <c r="O986" s="22" t="n">
        <v>0</v>
      </c>
      <c r="P986" s="22" t="n">
        <v>0</v>
      </c>
      <c r="Q986" s="22" t="n">
        <v>0</v>
      </c>
      <c r="R986" s="22" t="n">
        <v>0</v>
      </c>
      <c r="S986" s="22" t="n">
        <v>0</v>
      </c>
      <c r="T986" s="22" t="n">
        <v>0</v>
      </c>
      <c r="U986" s="3">
        <f>IF(OR(N986=1,Q986=1),1,0)</f>
        <v/>
      </c>
      <c r="V986" s="3">
        <f>IF(OR(T986=1,P986=1),1,0)</f>
        <v/>
      </c>
      <c r="W986" s="3">
        <f>IF(OR(J986=1),1,0)</f>
        <v/>
      </c>
      <c r="X986" s="3">
        <f>IF(OR(I986=1,H986=1),1,0)</f>
        <v/>
      </c>
      <c r="Y986" s="3">
        <f>IF(OR(G986=1),1,0)</f>
        <v/>
      </c>
      <c r="Z986" s="3">
        <f>IF(OR(F986=1),1,0)</f>
        <v/>
      </c>
      <c r="AA986" s="3">
        <f>IF(OR(M986=1),1,0)</f>
        <v/>
      </c>
    </row>
    <row r="987">
      <c r="A987" s="22" t="inlineStr">
        <is>
          <t>eb1b32768c7fd190b6f36400f89c42d113f619fd</t>
        </is>
      </c>
      <c r="B987" s="22" t="inlineStr">
        <is>
          <t>2026-10</t>
        </is>
      </c>
      <c r="C987" s="22" t="inlineStr">
        <is>
          <t>X</t>
        </is>
      </c>
      <c r="D987" s="22" t="n">
        <v>1</v>
      </c>
      <c r="E987" s="22" t="inlineStr">
        <is>
          <t>X: X search: Nigeria election 2027 rigging</t>
        </is>
      </c>
      <c r="F987" s="22" t="inlineStr">
        <is>
          <t>x:X search: Nigeria election 2027 rigging</t>
        </is>
      </c>
      <c r="G987" s="22" t="n">
        <v>-0.765</v>
      </c>
      <c r="H987" s="22" t="n">
        <v>1</v>
      </c>
      <c r="I987" s="22" t="n">
        <v>0</v>
      </c>
      <c r="J987" s="22" t="n">
        <v>0</v>
      </c>
      <c r="K987" s="22" t="n">
        <v>0</v>
      </c>
      <c r="L987" s="22" t="n">
        <v>0</v>
      </c>
      <c r="M987" s="22" t="n">
        <v>0</v>
      </c>
      <c r="N987" s="22" t="n">
        <v>0</v>
      </c>
      <c r="O987" s="22" t="n">
        <v>0</v>
      </c>
      <c r="P987" s="22" t="n">
        <v>0</v>
      </c>
      <c r="Q987" s="22" t="n">
        <v>0</v>
      </c>
      <c r="R987" s="22" t="n">
        <v>0</v>
      </c>
      <c r="S987" s="22" t="n">
        <v>0</v>
      </c>
      <c r="T987" s="22" t="n">
        <v>0</v>
      </c>
      <c r="U987" s="3">
        <f>IF(OR(N987=1,Q987=1),1,0)</f>
        <v/>
      </c>
      <c r="V987" s="3">
        <f>IF(OR(T987=1,P987=1),1,0)</f>
        <v/>
      </c>
      <c r="W987" s="3">
        <f>IF(OR(J987=1),1,0)</f>
        <v/>
      </c>
      <c r="X987" s="3">
        <f>IF(OR(I987=1,H987=1),1,0)</f>
        <v/>
      </c>
      <c r="Y987" s="3">
        <f>IF(OR(G987=1),1,0)</f>
        <v/>
      </c>
      <c r="Z987" s="3">
        <f>IF(OR(F987=1),1,0)</f>
        <v/>
      </c>
      <c r="AA987" s="3">
        <f>IF(OR(M987=1),1,0)</f>
        <v/>
      </c>
    </row>
    <row r="988">
      <c r="A988" s="22" t="inlineStr">
        <is>
          <t>9a4065db6c16f89d38decaabc5fb8dc57caf6d7b</t>
        </is>
      </c>
      <c r="B988" s="22" t="inlineStr">
        <is>
          <t>2026-10</t>
        </is>
      </c>
      <c r="C988" s="22" t="inlineStr">
        <is>
          <t>X</t>
        </is>
      </c>
      <c r="D988" s="22" t="n">
        <v>1</v>
      </c>
      <c r="E988" s="22" t="inlineStr">
        <is>
          <t>X: X search: Nigeria election 2027 rigging</t>
        </is>
      </c>
      <c r="F988" s="22" t="inlineStr">
        <is>
          <t>x:X search: Nigeria election 2027 rigging</t>
        </is>
      </c>
      <c r="G988" s="22" t="n">
        <v>0.242</v>
      </c>
      <c r="H988" s="22" t="n">
        <v>1</v>
      </c>
      <c r="I988" s="22" t="n">
        <v>0</v>
      </c>
      <c r="J988" s="22" t="n">
        <v>0</v>
      </c>
      <c r="K988" s="22" t="n">
        <v>0</v>
      </c>
      <c r="L988" s="22" t="n">
        <v>0</v>
      </c>
      <c r="M988" s="22" t="n">
        <v>0</v>
      </c>
      <c r="N988" s="22" t="n">
        <v>0</v>
      </c>
      <c r="O988" s="22" t="n">
        <v>0</v>
      </c>
      <c r="P988" s="22" t="n">
        <v>0</v>
      </c>
      <c r="Q988" s="22" t="n">
        <v>0</v>
      </c>
      <c r="R988" s="22" t="n">
        <v>0</v>
      </c>
      <c r="S988" s="22" t="n">
        <v>0</v>
      </c>
      <c r="T988" s="22" t="n">
        <v>0</v>
      </c>
      <c r="U988" s="3">
        <f>IF(OR(N988=1,Q988=1),1,0)</f>
        <v/>
      </c>
      <c r="V988" s="3">
        <f>IF(OR(T988=1,P988=1),1,0)</f>
        <v/>
      </c>
      <c r="W988" s="3">
        <f>IF(OR(J988=1),1,0)</f>
        <v/>
      </c>
      <c r="X988" s="3">
        <f>IF(OR(I988=1,H988=1),1,0)</f>
        <v/>
      </c>
      <c r="Y988" s="3">
        <f>IF(OR(G988=1),1,0)</f>
        <v/>
      </c>
      <c r="Z988" s="3">
        <f>IF(OR(F988=1),1,0)</f>
        <v/>
      </c>
      <c r="AA988" s="3">
        <f>IF(OR(M988=1),1,0)</f>
        <v/>
      </c>
    </row>
    <row r="989">
      <c r="A989" s="22" t="inlineStr">
        <is>
          <t>cf6ce885070a9c22787b0dda72de1a28d906e8e3</t>
        </is>
      </c>
      <c r="B989" s="22" t="inlineStr">
        <is>
          <t>2026-10</t>
        </is>
      </c>
      <c r="C989" s="22" t="inlineStr">
        <is>
          <t>X</t>
        </is>
      </c>
      <c r="D989" s="22" t="n">
        <v>1</v>
      </c>
      <c r="E989" s="22" t="inlineStr">
        <is>
          <t>X: X search: Nigeria election 2027 rigging</t>
        </is>
      </c>
      <c r="F989" s="22" t="inlineStr">
        <is>
          <t>x:X search: Nigeria election 2027 rigging</t>
        </is>
      </c>
      <c r="G989" s="22" t="n">
        <v>-0.778</v>
      </c>
      <c r="H989" s="22" t="n">
        <v>1</v>
      </c>
      <c r="I989" s="22" t="n">
        <v>0</v>
      </c>
      <c r="J989" s="22" t="n">
        <v>0</v>
      </c>
      <c r="K989" s="22" t="n">
        <v>0</v>
      </c>
      <c r="L989" s="22" t="n">
        <v>0</v>
      </c>
      <c r="M989" s="22" t="n">
        <v>0</v>
      </c>
      <c r="N989" s="22" t="n">
        <v>0</v>
      </c>
      <c r="O989" s="22" t="n">
        <v>0</v>
      </c>
      <c r="P989" s="22" t="n">
        <v>0</v>
      </c>
      <c r="Q989" s="22" t="n">
        <v>0</v>
      </c>
      <c r="R989" s="22" t="n">
        <v>0</v>
      </c>
      <c r="S989" s="22" t="n">
        <v>0</v>
      </c>
      <c r="T989" s="22" t="n">
        <v>0</v>
      </c>
      <c r="U989" s="3">
        <f>IF(OR(N989=1,Q989=1),1,0)</f>
        <v/>
      </c>
      <c r="V989" s="3">
        <f>IF(OR(T989=1,P989=1),1,0)</f>
        <v/>
      </c>
      <c r="W989" s="3">
        <f>IF(OR(J989=1),1,0)</f>
        <v/>
      </c>
      <c r="X989" s="3">
        <f>IF(OR(I989=1,H989=1),1,0)</f>
        <v/>
      </c>
      <c r="Y989" s="3">
        <f>IF(OR(G989=1),1,0)</f>
        <v/>
      </c>
      <c r="Z989" s="3">
        <f>IF(OR(F989=1),1,0)</f>
        <v/>
      </c>
      <c r="AA989" s="3">
        <f>IF(OR(M989=1),1,0)</f>
        <v/>
      </c>
    </row>
    <row r="990">
      <c r="A990" s="22" t="inlineStr">
        <is>
          <t>cbea35a1cb88953ea6e0d7748d68491ac847a1e3</t>
        </is>
      </c>
      <c r="B990" s="22" t="inlineStr">
        <is>
          <t>2026-10</t>
        </is>
      </c>
      <c r="C990" s="22" t="inlineStr">
        <is>
          <t>X</t>
        </is>
      </c>
      <c r="D990" s="22" t="n">
        <v>1</v>
      </c>
      <c r="E990" s="22" t="inlineStr">
        <is>
          <t>X: X search: Nigeria election 2027 rigging</t>
        </is>
      </c>
      <c r="F990" s="22" t="inlineStr">
        <is>
          <t>x:X search: Nigeria election 2027 rigging</t>
        </is>
      </c>
      <c r="G990" s="22" t="n">
        <v>0.273</v>
      </c>
      <c r="H990" s="22" t="n">
        <v>1</v>
      </c>
      <c r="I990" s="22" t="n">
        <v>0</v>
      </c>
      <c r="J990" s="22" t="n">
        <v>0</v>
      </c>
      <c r="K990" s="22" t="n">
        <v>0</v>
      </c>
      <c r="L990" s="22" t="n">
        <v>0</v>
      </c>
      <c r="M990" s="22" t="n">
        <v>0</v>
      </c>
      <c r="N990" s="22" t="n">
        <v>0</v>
      </c>
      <c r="O990" s="22" t="n">
        <v>0</v>
      </c>
      <c r="P990" s="22" t="n">
        <v>0</v>
      </c>
      <c r="Q990" s="22" t="n">
        <v>0</v>
      </c>
      <c r="R990" s="22" t="n">
        <v>0</v>
      </c>
      <c r="S990" s="22" t="n">
        <v>0</v>
      </c>
      <c r="T990" s="22" t="n">
        <v>0</v>
      </c>
      <c r="U990" s="3">
        <f>IF(OR(N990=1,Q990=1),1,0)</f>
        <v/>
      </c>
      <c r="V990" s="3">
        <f>IF(OR(T990=1,P990=1),1,0)</f>
        <v/>
      </c>
      <c r="W990" s="3">
        <f>IF(OR(J990=1),1,0)</f>
        <v/>
      </c>
      <c r="X990" s="3">
        <f>IF(OR(I990=1,H990=1),1,0)</f>
        <v/>
      </c>
      <c r="Y990" s="3">
        <f>IF(OR(G990=1),1,0)</f>
        <v/>
      </c>
      <c r="Z990" s="3">
        <f>IF(OR(F990=1),1,0)</f>
        <v/>
      </c>
      <c r="AA990" s="3">
        <f>IF(OR(M990=1),1,0)</f>
        <v/>
      </c>
    </row>
    <row r="991">
      <c r="A991" s="22" t="inlineStr">
        <is>
          <t>a004ff811cba985e2ac8fb03f235d7291285ae9e</t>
        </is>
      </c>
      <c r="B991" s="22" t="inlineStr">
        <is>
          <t>2026-10</t>
        </is>
      </c>
      <c r="C991" s="22" t="inlineStr">
        <is>
          <t>X</t>
        </is>
      </c>
      <c r="D991" s="22" t="n">
        <v>1</v>
      </c>
      <c r="E991" s="22" t="inlineStr">
        <is>
          <t>X: X search: Nigeria election 2027 rigging</t>
        </is>
      </c>
      <c r="F991" s="22" t="inlineStr">
        <is>
          <t>x:X search: Nigeria election 2027 rigging</t>
        </is>
      </c>
      <c r="G991" s="22" t="n">
        <v>0.681</v>
      </c>
      <c r="H991" s="22" t="n">
        <v>1</v>
      </c>
      <c r="I991" s="22" t="n">
        <v>0</v>
      </c>
      <c r="J991" s="22" t="n">
        <v>0</v>
      </c>
      <c r="K991" s="22" t="n">
        <v>0</v>
      </c>
      <c r="L991" s="22" t="n">
        <v>0</v>
      </c>
      <c r="M991" s="22" t="n">
        <v>0</v>
      </c>
      <c r="N991" s="22" t="n">
        <v>0</v>
      </c>
      <c r="O991" s="22" t="n">
        <v>0</v>
      </c>
      <c r="P991" s="22" t="n">
        <v>0</v>
      </c>
      <c r="Q991" s="22" t="n">
        <v>0</v>
      </c>
      <c r="R991" s="22" t="n">
        <v>0</v>
      </c>
      <c r="S991" s="22" t="n">
        <v>0</v>
      </c>
      <c r="T991" s="22" t="n">
        <v>0</v>
      </c>
      <c r="U991" s="3">
        <f>IF(OR(N991=1,Q991=1),1,0)</f>
        <v/>
      </c>
      <c r="V991" s="3">
        <f>IF(OR(T991=1,P991=1),1,0)</f>
        <v/>
      </c>
      <c r="W991" s="3">
        <f>IF(OR(J991=1),1,0)</f>
        <v/>
      </c>
      <c r="X991" s="3">
        <f>IF(OR(I991=1,H991=1),1,0)</f>
        <v/>
      </c>
      <c r="Y991" s="3">
        <f>IF(OR(G991=1),1,0)</f>
        <v/>
      </c>
      <c r="Z991" s="3">
        <f>IF(OR(F991=1),1,0)</f>
        <v/>
      </c>
      <c r="AA991" s="3">
        <f>IF(OR(M991=1),1,0)</f>
        <v/>
      </c>
    </row>
    <row r="992">
      <c r="A992" s="22" t="inlineStr">
        <is>
          <t>acae18e142a9e41616a00aca70ce6c8d8cca174f</t>
        </is>
      </c>
      <c r="B992" s="22" t="inlineStr">
        <is>
          <t>2026-10</t>
        </is>
      </c>
      <c r="C992" s="22" t="inlineStr">
        <is>
          <t>X</t>
        </is>
      </c>
      <c r="D992" s="22" t="n">
        <v>1</v>
      </c>
      <c r="E992" s="22" t="inlineStr">
        <is>
          <t>X: X search: Nigeria election 2027 rigging</t>
        </is>
      </c>
      <c r="F992" s="22" t="inlineStr">
        <is>
          <t>x:X search: Nigeria election 2027 rigging</t>
        </is>
      </c>
      <c r="G992" s="22" t="n">
        <v>-0.834</v>
      </c>
      <c r="H992" s="22" t="n">
        <v>1</v>
      </c>
      <c r="I992" s="22" t="n">
        <v>0</v>
      </c>
      <c r="J992" s="22" t="n">
        <v>0</v>
      </c>
      <c r="K992" s="22" t="n">
        <v>0</v>
      </c>
      <c r="L992" s="22" t="n">
        <v>0</v>
      </c>
      <c r="M992" s="22" t="n">
        <v>0</v>
      </c>
      <c r="N992" s="22" t="n">
        <v>0</v>
      </c>
      <c r="O992" s="22" t="n">
        <v>0</v>
      </c>
      <c r="P992" s="22" t="n">
        <v>0</v>
      </c>
      <c r="Q992" s="22" t="n">
        <v>0</v>
      </c>
      <c r="R992" s="22" t="n">
        <v>0</v>
      </c>
      <c r="S992" s="22" t="n">
        <v>0</v>
      </c>
      <c r="T992" s="22" t="n">
        <v>0</v>
      </c>
      <c r="U992" s="3">
        <f>IF(OR(N992=1,Q992=1),1,0)</f>
        <v/>
      </c>
      <c r="V992" s="3">
        <f>IF(OR(T992=1,P992=1),1,0)</f>
        <v/>
      </c>
      <c r="W992" s="3">
        <f>IF(OR(J992=1),1,0)</f>
        <v/>
      </c>
      <c r="X992" s="3">
        <f>IF(OR(I992=1,H992=1),1,0)</f>
        <v/>
      </c>
      <c r="Y992" s="3">
        <f>IF(OR(G992=1),1,0)</f>
        <v/>
      </c>
      <c r="Z992" s="3">
        <f>IF(OR(F992=1),1,0)</f>
        <v/>
      </c>
      <c r="AA992" s="3">
        <f>IF(OR(M992=1),1,0)</f>
        <v/>
      </c>
    </row>
    <row r="993">
      <c r="A993" s="22" t="inlineStr">
        <is>
          <t>1e35d39229d9def090e0c2109432c39bbfcadf94</t>
        </is>
      </c>
      <c r="B993" s="22" t="inlineStr">
        <is>
          <t>2026-10</t>
        </is>
      </c>
      <c r="C993" s="22" t="inlineStr">
        <is>
          <t>X</t>
        </is>
      </c>
      <c r="D993" s="22" t="n">
        <v>1</v>
      </c>
      <c r="E993" s="22" t="inlineStr">
        <is>
          <t>X: X search: Nigeria election 2027 rigging</t>
        </is>
      </c>
      <c r="F993" s="22" t="inlineStr">
        <is>
          <t>x:X search: Nigeria election 2027 rigging</t>
        </is>
      </c>
      <c r="G993" s="22" t="n">
        <v>0.681</v>
      </c>
      <c r="H993" s="22" t="n">
        <v>0</v>
      </c>
      <c r="I993" s="22" t="n">
        <v>0</v>
      </c>
      <c r="J993" s="22" t="n">
        <v>0</v>
      </c>
      <c r="K993" s="22" t="n">
        <v>0</v>
      </c>
      <c r="L993" s="22" t="n">
        <v>0</v>
      </c>
      <c r="M993" s="22" t="n">
        <v>0</v>
      </c>
      <c r="N993" s="22" t="n">
        <v>0</v>
      </c>
      <c r="O993" s="22" t="n">
        <v>1</v>
      </c>
      <c r="P993" s="22" t="n">
        <v>0</v>
      </c>
      <c r="Q993" s="22" t="n">
        <v>0</v>
      </c>
      <c r="R993" s="22" t="n">
        <v>0</v>
      </c>
      <c r="S993" s="22" t="n">
        <v>0</v>
      </c>
      <c r="T993" s="22" t="n">
        <v>0</v>
      </c>
      <c r="U993" s="3">
        <f>IF(OR(N993=1,Q993=1),1,0)</f>
        <v/>
      </c>
      <c r="V993" s="3">
        <f>IF(OR(T993=1,P993=1),1,0)</f>
        <v/>
      </c>
      <c r="W993" s="3">
        <f>IF(OR(J993=1),1,0)</f>
        <v/>
      </c>
      <c r="X993" s="3">
        <f>IF(OR(I993=1,H993=1),1,0)</f>
        <v/>
      </c>
      <c r="Y993" s="3">
        <f>IF(OR(G993=1),1,0)</f>
        <v/>
      </c>
      <c r="Z993" s="3">
        <f>IF(OR(F993=1),1,0)</f>
        <v/>
      </c>
      <c r="AA993" s="3">
        <f>IF(OR(M993=1),1,0)</f>
        <v/>
      </c>
    </row>
    <row r="994">
      <c r="A994" s="22" t="inlineStr">
        <is>
          <t>43fb9d979139771c624d1cfa92b9d0ebf9ee0339</t>
        </is>
      </c>
      <c r="B994" s="22" t="inlineStr">
        <is>
          <t>2026-10</t>
        </is>
      </c>
      <c r="C994" s="22" t="inlineStr">
        <is>
          <t>X</t>
        </is>
      </c>
      <c r="D994" s="22" t="n">
        <v>1</v>
      </c>
      <c r="E994" s="22" t="inlineStr">
        <is>
          <t>X: X search: Nigeria election 2027 rigging</t>
        </is>
      </c>
      <c r="F994" s="22" t="inlineStr">
        <is>
          <t>x:X search: Nigeria election 2027 rigging</t>
        </is>
      </c>
      <c r="G994" s="22" t="n">
        <v>-0.743</v>
      </c>
      <c r="H994" s="22" t="n">
        <v>1</v>
      </c>
      <c r="I994" s="22" t="n">
        <v>0</v>
      </c>
      <c r="J994" s="22" t="n">
        <v>0</v>
      </c>
      <c r="K994" s="22" t="n">
        <v>0</v>
      </c>
      <c r="L994" s="22" t="n">
        <v>0</v>
      </c>
      <c r="M994" s="22" t="n">
        <v>0</v>
      </c>
      <c r="N994" s="22" t="n">
        <v>0</v>
      </c>
      <c r="O994" s="22" t="n">
        <v>0</v>
      </c>
      <c r="P994" s="22" t="n">
        <v>0</v>
      </c>
      <c r="Q994" s="22" t="n">
        <v>0</v>
      </c>
      <c r="R994" s="22" t="n">
        <v>0</v>
      </c>
      <c r="S994" s="22" t="n">
        <v>0</v>
      </c>
      <c r="T994" s="22" t="n">
        <v>0</v>
      </c>
      <c r="U994" s="3">
        <f>IF(OR(N994=1,Q994=1),1,0)</f>
        <v/>
      </c>
      <c r="V994" s="3">
        <f>IF(OR(T994=1,P994=1),1,0)</f>
        <v/>
      </c>
      <c r="W994" s="3">
        <f>IF(OR(J994=1),1,0)</f>
        <v/>
      </c>
      <c r="X994" s="3">
        <f>IF(OR(I994=1,H994=1),1,0)</f>
        <v/>
      </c>
      <c r="Y994" s="3">
        <f>IF(OR(G994=1),1,0)</f>
        <v/>
      </c>
      <c r="Z994" s="3">
        <f>IF(OR(F994=1),1,0)</f>
        <v/>
      </c>
      <c r="AA994" s="3">
        <f>IF(OR(M994=1),1,0)</f>
        <v/>
      </c>
    </row>
    <row r="995">
      <c r="A995" s="22" t="inlineStr">
        <is>
          <t>abcd9646ccb76ee835b80cb1bd308deba769add8</t>
        </is>
      </c>
      <c r="B995" s="22" t="inlineStr">
        <is>
          <t>2026-10</t>
        </is>
      </c>
      <c r="C995" s="22" t="inlineStr">
        <is>
          <t>X</t>
        </is>
      </c>
      <c r="D995" s="22" t="n">
        <v>1</v>
      </c>
      <c r="E995" s="22" t="inlineStr">
        <is>
          <t>X: X search: Nigeria election 2027 rigging</t>
        </is>
      </c>
      <c r="F995" s="22" t="inlineStr">
        <is>
          <t>x:X search: Nigeria election 2027 rigging</t>
        </is>
      </c>
      <c r="G995" s="22" t="n">
        <v>-0.514</v>
      </c>
      <c r="H995" s="22" t="n">
        <v>1</v>
      </c>
      <c r="I995" s="22" t="n">
        <v>0</v>
      </c>
      <c r="J995" s="22" t="n">
        <v>0</v>
      </c>
      <c r="K995" s="22" t="n">
        <v>0</v>
      </c>
      <c r="L995" s="22" t="n">
        <v>0</v>
      </c>
      <c r="M995" s="22" t="n">
        <v>1</v>
      </c>
      <c r="N995" s="22" t="n">
        <v>0</v>
      </c>
      <c r="O995" s="22" t="n">
        <v>0</v>
      </c>
      <c r="P995" s="22" t="n">
        <v>0</v>
      </c>
      <c r="Q995" s="22" t="n">
        <v>0</v>
      </c>
      <c r="R995" s="22" t="n">
        <v>0</v>
      </c>
      <c r="S995" s="22" t="n">
        <v>0</v>
      </c>
      <c r="T995" s="22" t="n">
        <v>0</v>
      </c>
      <c r="U995" s="3">
        <f>IF(OR(N995=1,Q995=1),1,0)</f>
        <v/>
      </c>
      <c r="V995" s="3">
        <f>IF(OR(T995=1,P995=1),1,0)</f>
        <v/>
      </c>
      <c r="W995" s="3">
        <f>IF(OR(J995=1),1,0)</f>
        <v/>
      </c>
      <c r="X995" s="3">
        <f>IF(OR(I995=1,H995=1),1,0)</f>
        <v/>
      </c>
      <c r="Y995" s="3">
        <f>IF(OR(G995=1),1,0)</f>
        <v/>
      </c>
      <c r="Z995" s="3">
        <f>IF(OR(F995=1),1,0)</f>
        <v/>
      </c>
      <c r="AA995" s="3">
        <f>IF(OR(M995=1),1,0)</f>
        <v/>
      </c>
    </row>
    <row r="996">
      <c r="A996" s="22" t="inlineStr">
        <is>
          <t>d9508f59d90de4ddf13861c8ddd5d3165dd8a32f</t>
        </is>
      </c>
      <c r="B996" s="22" t="inlineStr">
        <is>
          <t>2026-10</t>
        </is>
      </c>
      <c r="C996" s="22" t="inlineStr">
        <is>
          <t>X</t>
        </is>
      </c>
      <c r="D996" s="22" t="n">
        <v>1</v>
      </c>
      <c r="E996" s="22" t="inlineStr">
        <is>
          <t>X: X search: Nigeria election 2027 rigging</t>
        </is>
      </c>
      <c r="F996" s="22" t="inlineStr">
        <is>
          <t>x:X search: Nigeria election 2027 rigging</t>
        </is>
      </c>
      <c r="G996" s="22" t="n">
        <v>-0.361</v>
      </c>
      <c r="H996" s="22" t="n">
        <v>1</v>
      </c>
      <c r="I996" s="22" t="n">
        <v>0</v>
      </c>
      <c r="J996" s="22" t="n">
        <v>0</v>
      </c>
      <c r="K996" s="22" t="n">
        <v>0</v>
      </c>
      <c r="L996" s="22" t="n">
        <v>0</v>
      </c>
      <c r="M996" s="22" t="n">
        <v>1</v>
      </c>
      <c r="N996" s="22" t="n">
        <v>0</v>
      </c>
      <c r="O996" s="22" t="n">
        <v>0</v>
      </c>
      <c r="P996" s="22" t="n">
        <v>0</v>
      </c>
      <c r="Q996" s="22" t="n">
        <v>0</v>
      </c>
      <c r="R996" s="22" t="n">
        <v>0</v>
      </c>
      <c r="S996" s="22" t="n">
        <v>0</v>
      </c>
      <c r="T996" s="22" t="n">
        <v>0</v>
      </c>
      <c r="U996" s="3">
        <f>IF(OR(N996=1,Q996=1),1,0)</f>
        <v/>
      </c>
      <c r="V996" s="3">
        <f>IF(OR(T996=1,P996=1),1,0)</f>
        <v/>
      </c>
      <c r="W996" s="3">
        <f>IF(OR(J996=1),1,0)</f>
        <v/>
      </c>
      <c r="X996" s="3">
        <f>IF(OR(I996=1,H996=1),1,0)</f>
        <v/>
      </c>
      <c r="Y996" s="3">
        <f>IF(OR(G996=1),1,0)</f>
        <v/>
      </c>
      <c r="Z996" s="3">
        <f>IF(OR(F996=1),1,0)</f>
        <v/>
      </c>
      <c r="AA996" s="3">
        <f>IF(OR(M996=1),1,0)</f>
        <v/>
      </c>
    </row>
    <row r="997">
      <c r="A997" s="22" t="inlineStr">
        <is>
          <t>f32560bea23f4816f423c279ead02673ba431b95</t>
        </is>
      </c>
      <c r="B997" s="22" t="inlineStr">
        <is>
          <t>2026-10</t>
        </is>
      </c>
      <c r="C997" s="22" t="inlineStr">
        <is>
          <t>X</t>
        </is>
      </c>
      <c r="D997" s="22" t="n">
        <v>1</v>
      </c>
      <c r="E997" s="22" t="inlineStr">
        <is>
          <t>X: X search: Nigeria election 2027 rigging</t>
        </is>
      </c>
      <c r="F997" s="22" t="inlineStr">
        <is>
          <t>x:X search: Nigeria election 2027 rigging</t>
        </is>
      </c>
      <c r="G997" s="22" t="n">
        <v>0.422</v>
      </c>
      <c r="H997" s="22" t="n">
        <v>1</v>
      </c>
      <c r="I997" s="22" t="n">
        <v>0</v>
      </c>
      <c r="J997" s="22" t="n">
        <v>0</v>
      </c>
      <c r="K997" s="22" t="n">
        <v>0</v>
      </c>
      <c r="L997" s="22" t="n">
        <v>0</v>
      </c>
      <c r="M997" s="22" t="n">
        <v>0</v>
      </c>
      <c r="N997" s="22" t="n">
        <v>0</v>
      </c>
      <c r="O997" s="22" t="n">
        <v>0</v>
      </c>
      <c r="P997" s="22" t="n">
        <v>0</v>
      </c>
      <c r="Q997" s="22" t="n">
        <v>0</v>
      </c>
      <c r="R997" s="22" t="n">
        <v>0</v>
      </c>
      <c r="S997" s="22" t="n">
        <v>0</v>
      </c>
      <c r="T997" s="22" t="n">
        <v>0</v>
      </c>
      <c r="U997" s="3">
        <f>IF(OR(N997=1,Q997=1),1,0)</f>
        <v/>
      </c>
      <c r="V997" s="3">
        <f>IF(OR(T997=1,P997=1),1,0)</f>
        <v/>
      </c>
      <c r="W997" s="3">
        <f>IF(OR(J997=1),1,0)</f>
        <v/>
      </c>
      <c r="X997" s="3">
        <f>IF(OR(I997=1,H997=1),1,0)</f>
        <v/>
      </c>
      <c r="Y997" s="3">
        <f>IF(OR(G997=1),1,0)</f>
        <v/>
      </c>
      <c r="Z997" s="3">
        <f>IF(OR(F997=1),1,0)</f>
        <v/>
      </c>
      <c r="AA997" s="3">
        <f>IF(OR(M997=1),1,0)</f>
        <v/>
      </c>
    </row>
    <row r="998">
      <c r="A998" s="22" t="inlineStr">
        <is>
          <t>7136dfabfc52968792f60fb1126ec2fcfa176b27</t>
        </is>
      </c>
      <c r="B998" s="22" t="inlineStr">
        <is>
          <t>2026-10</t>
        </is>
      </c>
      <c r="C998" s="22" t="inlineStr">
        <is>
          <t>X</t>
        </is>
      </c>
      <c r="D998" s="22" t="n">
        <v>1</v>
      </c>
      <c r="E998" s="22" t="inlineStr">
        <is>
          <t>X: X search: Nigeria election 2027 rigging</t>
        </is>
      </c>
      <c r="F998" s="22" t="inlineStr">
        <is>
          <t>x:X search: Nigeria election 2027 rigging</t>
        </is>
      </c>
      <c r="G998" s="22" t="n">
        <v>-0.894</v>
      </c>
      <c r="H998" s="22" t="n">
        <v>1</v>
      </c>
      <c r="I998" s="22" t="n">
        <v>0</v>
      </c>
      <c r="J998" s="22" t="n">
        <v>0</v>
      </c>
      <c r="K998" s="22" t="n">
        <v>0</v>
      </c>
      <c r="L998" s="22" t="n">
        <v>0</v>
      </c>
      <c r="M998" s="22" t="n">
        <v>0</v>
      </c>
      <c r="N998" s="22" t="n">
        <v>0</v>
      </c>
      <c r="O998" s="22" t="n">
        <v>0</v>
      </c>
      <c r="P998" s="22" t="n">
        <v>0</v>
      </c>
      <c r="Q998" s="22" t="n">
        <v>0</v>
      </c>
      <c r="R998" s="22" t="n">
        <v>0</v>
      </c>
      <c r="S998" s="22" t="n">
        <v>0</v>
      </c>
      <c r="T998" s="22" t="n">
        <v>0</v>
      </c>
      <c r="U998" s="3">
        <f>IF(OR(N998=1,Q998=1),1,0)</f>
        <v/>
      </c>
      <c r="V998" s="3">
        <f>IF(OR(T998=1,P998=1),1,0)</f>
        <v/>
      </c>
      <c r="W998" s="3">
        <f>IF(OR(J998=1),1,0)</f>
        <v/>
      </c>
      <c r="X998" s="3">
        <f>IF(OR(I998=1,H998=1),1,0)</f>
        <v/>
      </c>
      <c r="Y998" s="3">
        <f>IF(OR(G998=1),1,0)</f>
        <v/>
      </c>
      <c r="Z998" s="3">
        <f>IF(OR(F998=1),1,0)</f>
        <v/>
      </c>
      <c r="AA998" s="3">
        <f>IF(OR(M998=1),1,0)</f>
        <v/>
      </c>
    </row>
    <row r="999">
      <c r="A999" s="22" t="inlineStr">
        <is>
          <t>89a6fccc9033bd35a4f821bd442e2580f7c939b0</t>
        </is>
      </c>
      <c r="B999" s="22" t="inlineStr">
        <is>
          <t>2026-10</t>
        </is>
      </c>
      <c r="C999" s="22" t="inlineStr">
        <is>
          <t>X</t>
        </is>
      </c>
      <c r="D999" s="22" t="n">
        <v>1</v>
      </c>
      <c r="E999" s="22" t="inlineStr">
        <is>
          <t>X: X search: Nigeria election 2027 rigging</t>
        </is>
      </c>
      <c r="F999" s="22" t="inlineStr">
        <is>
          <t>x:X search: Nigeria election 2027 rigging</t>
        </is>
      </c>
      <c r="G999" s="22" t="n">
        <v>0.612</v>
      </c>
      <c r="H999" s="22" t="n">
        <v>1</v>
      </c>
      <c r="I999" s="22" t="n">
        <v>0</v>
      </c>
      <c r="J999" s="22" t="n">
        <v>0</v>
      </c>
      <c r="K999" s="22" t="n">
        <v>0</v>
      </c>
      <c r="L999" s="22" t="n">
        <v>0</v>
      </c>
      <c r="M999" s="22" t="n">
        <v>0</v>
      </c>
      <c r="N999" s="22" t="n">
        <v>0</v>
      </c>
      <c r="O999" s="22" t="n">
        <v>0</v>
      </c>
      <c r="P999" s="22" t="n">
        <v>0</v>
      </c>
      <c r="Q999" s="22" t="n">
        <v>0</v>
      </c>
      <c r="R999" s="22" t="n">
        <v>0</v>
      </c>
      <c r="S999" s="22" t="n">
        <v>0</v>
      </c>
      <c r="T999" s="22" t="n">
        <v>0</v>
      </c>
      <c r="U999" s="3">
        <f>IF(OR(N999=1,Q999=1),1,0)</f>
        <v/>
      </c>
      <c r="V999" s="3">
        <f>IF(OR(T999=1,P999=1),1,0)</f>
        <v/>
      </c>
      <c r="W999" s="3">
        <f>IF(OR(J999=1),1,0)</f>
        <v/>
      </c>
      <c r="X999" s="3">
        <f>IF(OR(I999=1,H999=1),1,0)</f>
        <v/>
      </c>
      <c r="Y999" s="3">
        <f>IF(OR(G999=1),1,0)</f>
        <v/>
      </c>
      <c r="Z999" s="3">
        <f>IF(OR(F999=1),1,0)</f>
        <v/>
      </c>
      <c r="AA999" s="3">
        <f>IF(OR(M999=1),1,0)</f>
        <v/>
      </c>
    </row>
    <row r="1000">
      <c r="A1000" s="22" t="inlineStr">
        <is>
          <t>175ddf9ec5385b3b7ca80492608f733365995798</t>
        </is>
      </c>
      <c r="B1000" s="22" t="inlineStr">
        <is>
          <t>2026-10</t>
        </is>
      </c>
      <c r="C1000" s="22" t="inlineStr">
        <is>
          <t>X</t>
        </is>
      </c>
      <c r="D1000" s="22" t="n">
        <v>1</v>
      </c>
      <c r="E1000" s="22" t="inlineStr">
        <is>
          <t>X: X search: Nigeria election 2027 rigging</t>
        </is>
      </c>
      <c r="F1000" s="22" t="inlineStr">
        <is>
          <t>x:X search: Nigeria election 2027 rigging</t>
        </is>
      </c>
      <c r="G1000" s="22" t="n">
        <v>0.599</v>
      </c>
      <c r="H1000" s="22" t="n">
        <v>1</v>
      </c>
      <c r="I1000" s="22" t="n">
        <v>0</v>
      </c>
      <c r="J1000" s="22" t="n">
        <v>0</v>
      </c>
      <c r="K1000" s="22" t="n">
        <v>0</v>
      </c>
      <c r="L1000" s="22" t="n">
        <v>0</v>
      </c>
      <c r="M1000" s="22" t="n">
        <v>0</v>
      </c>
      <c r="N1000" s="22" t="n">
        <v>0</v>
      </c>
      <c r="O1000" s="22" t="n">
        <v>0</v>
      </c>
      <c r="P1000" s="22" t="n">
        <v>0</v>
      </c>
      <c r="Q1000" s="22" t="n">
        <v>0</v>
      </c>
      <c r="R1000" s="22" t="n">
        <v>0</v>
      </c>
      <c r="S1000" s="22" t="n">
        <v>0</v>
      </c>
      <c r="T1000" s="22" t="n">
        <v>0</v>
      </c>
      <c r="U1000" s="3">
        <f>IF(OR(N1000=1,Q1000=1),1,0)</f>
        <v/>
      </c>
      <c r="V1000" s="3">
        <f>IF(OR(T1000=1,P1000=1),1,0)</f>
        <v/>
      </c>
      <c r="W1000" s="3">
        <f>IF(OR(J1000=1),1,0)</f>
        <v/>
      </c>
      <c r="X1000" s="3">
        <f>IF(OR(I1000=1,H1000=1),1,0)</f>
        <v/>
      </c>
      <c r="Y1000" s="3">
        <f>IF(OR(G1000=1),1,0)</f>
        <v/>
      </c>
      <c r="Z1000" s="3">
        <f>IF(OR(F1000=1),1,0)</f>
        <v/>
      </c>
      <c r="AA1000" s="3">
        <f>IF(OR(M1000=1),1,0)</f>
        <v/>
      </c>
    </row>
    <row r="1001">
      <c r="A1001" s="22" t="inlineStr">
        <is>
          <t>960f140c1363fbffeb1199401f3a0155ddd79130</t>
        </is>
      </c>
      <c r="B1001" s="22" t="inlineStr">
        <is>
          <t>2026-10</t>
        </is>
      </c>
      <c r="C1001" s="22" t="inlineStr">
        <is>
          <t>X</t>
        </is>
      </c>
      <c r="D1001" s="22" t="n">
        <v>1</v>
      </c>
      <c r="E1001" s="22" t="inlineStr">
        <is>
          <t>X: X search: Nigeria election 2027 rigging</t>
        </is>
      </c>
      <c r="F1001" s="22" t="inlineStr">
        <is>
          <t>x:X search: Nigeria election 2027 rigging</t>
        </is>
      </c>
      <c r="G1001" s="22" t="n">
        <v>0.366</v>
      </c>
      <c r="H1001" s="22" t="n">
        <v>1</v>
      </c>
      <c r="I1001" s="22" t="n">
        <v>0</v>
      </c>
      <c r="J1001" s="22" t="n">
        <v>0</v>
      </c>
      <c r="K1001" s="22" t="n">
        <v>0</v>
      </c>
      <c r="L1001" s="22" t="n">
        <v>0</v>
      </c>
      <c r="M1001" s="22" t="n">
        <v>0</v>
      </c>
      <c r="N1001" s="22" t="n">
        <v>0</v>
      </c>
      <c r="O1001" s="22" t="n">
        <v>0</v>
      </c>
      <c r="P1001" s="22" t="n">
        <v>0</v>
      </c>
      <c r="Q1001" s="22" t="n">
        <v>0</v>
      </c>
      <c r="R1001" s="22" t="n">
        <v>0</v>
      </c>
      <c r="S1001" s="22" t="n">
        <v>0</v>
      </c>
      <c r="T1001" s="22" t="n">
        <v>0</v>
      </c>
      <c r="U1001" s="3">
        <f>IF(OR(N1001=1,Q1001=1),1,0)</f>
        <v/>
      </c>
      <c r="V1001" s="3">
        <f>IF(OR(T1001=1,P1001=1),1,0)</f>
        <v/>
      </c>
      <c r="W1001" s="3">
        <f>IF(OR(J1001=1),1,0)</f>
        <v/>
      </c>
      <c r="X1001" s="3">
        <f>IF(OR(I1001=1,H1001=1),1,0)</f>
        <v/>
      </c>
      <c r="Y1001" s="3">
        <f>IF(OR(G1001=1),1,0)</f>
        <v/>
      </c>
      <c r="Z1001" s="3">
        <f>IF(OR(F1001=1),1,0)</f>
        <v/>
      </c>
      <c r="AA1001" s="3">
        <f>IF(OR(M1001=1),1,0)</f>
        <v/>
      </c>
    </row>
    <row r="1002">
      <c r="A1002" s="22" t="inlineStr">
        <is>
          <t>49b836f8006215a9088b283dc9aa892fd469b17f</t>
        </is>
      </c>
      <c r="B1002" s="22" t="inlineStr">
        <is>
          <t>2026-10</t>
        </is>
      </c>
      <c r="C1002" s="22" t="inlineStr">
        <is>
          <t>X</t>
        </is>
      </c>
      <c r="D1002" s="22" t="n">
        <v>1</v>
      </c>
      <c r="E1002" s="22" t="inlineStr">
        <is>
          <t>X: X search: Nigeria election 2027 rigging</t>
        </is>
      </c>
      <c r="F1002" s="22" t="inlineStr">
        <is>
          <t>x:X search: Nigeria election 2027 rigging</t>
        </is>
      </c>
      <c r="G1002" s="22" t="n">
        <v>-0.772</v>
      </c>
      <c r="H1002" s="22" t="n">
        <v>1</v>
      </c>
      <c r="I1002" s="22" t="n">
        <v>0</v>
      </c>
      <c r="J1002" s="22" t="n">
        <v>0</v>
      </c>
      <c r="K1002" s="22" t="n">
        <v>0</v>
      </c>
      <c r="L1002" s="22" t="n">
        <v>0</v>
      </c>
      <c r="M1002" s="22" t="n">
        <v>1</v>
      </c>
      <c r="N1002" s="22" t="n">
        <v>0</v>
      </c>
      <c r="O1002" s="22" t="n">
        <v>0</v>
      </c>
      <c r="P1002" s="22" t="n">
        <v>0</v>
      </c>
      <c r="Q1002" s="22" t="n">
        <v>0</v>
      </c>
      <c r="R1002" s="22" t="n">
        <v>0</v>
      </c>
      <c r="S1002" s="22" t="n">
        <v>0</v>
      </c>
      <c r="T1002" s="22" t="n">
        <v>0</v>
      </c>
      <c r="U1002" s="3">
        <f>IF(OR(N1002=1,Q1002=1),1,0)</f>
        <v/>
      </c>
      <c r="V1002" s="3">
        <f>IF(OR(T1002=1,P1002=1),1,0)</f>
        <v/>
      </c>
      <c r="W1002" s="3">
        <f>IF(OR(J1002=1),1,0)</f>
        <v/>
      </c>
      <c r="X1002" s="3">
        <f>IF(OR(I1002=1,H1002=1),1,0)</f>
        <v/>
      </c>
      <c r="Y1002" s="3">
        <f>IF(OR(G1002=1),1,0)</f>
        <v/>
      </c>
      <c r="Z1002" s="3">
        <f>IF(OR(F1002=1),1,0)</f>
        <v/>
      </c>
      <c r="AA1002" s="3">
        <f>IF(OR(M1002=1),1,0)</f>
        <v/>
      </c>
    </row>
    <row r="1003">
      <c r="A1003" s="22" t="inlineStr">
        <is>
          <t>7325b44b93ee3050cf26effc8e4f16ecda628c44</t>
        </is>
      </c>
      <c r="B1003" s="22" t="inlineStr">
        <is>
          <t>2026-10</t>
        </is>
      </c>
      <c r="C1003" s="22" t="inlineStr">
        <is>
          <t>X</t>
        </is>
      </c>
      <c r="D1003" s="22" t="n">
        <v>1</v>
      </c>
      <c r="E1003" s="22" t="inlineStr">
        <is>
          <t>X: X search: Nigeria election 2027 rigging</t>
        </is>
      </c>
      <c r="F1003" s="22" t="inlineStr">
        <is>
          <t>x:X search: Nigeria election 2027 rigging</t>
        </is>
      </c>
      <c r="G1003" s="22" t="n">
        <v>-0.886</v>
      </c>
      <c r="H1003" s="22" t="n">
        <v>1</v>
      </c>
      <c r="I1003" s="22" t="n">
        <v>0</v>
      </c>
      <c r="J1003" s="22" t="n">
        <v>0</v>
      </c>
      <c r="K1003" s="22" t="n">
        <v>0</v>
      </c>
      <c r="L1003" s="22" t="n">
        <v>0</v>
      </c>
      <c r="M1003" s="22" t="n">
        <v>0</v>
      </c>
      <c r="N1003" s="22" t="n">
        <v>0</v>
      </c>
      <c r="O1003" s="22" t="n">
        <v>0</v>
      </c>
      <c r="P1003" s="22" t="n">
        <v>0</v>
      </c>
      <c r="Q1003" s="22" t="n">
        <v>0</v>
      </c>
      <c r="R1003" s="22" t="n">
        <v>0</v>
      </c>
      <c r="S1003" s="22" t="n">
        <v>0</v>
      </c>
      <c r="T1003" s="22" t="n">
        <v>0</v>
      </c>
      <c r="U1003" s="3">
        <f>IF(OR(N1003=1,Q1003=1),1,0)</f>
        <v/>
      </c>
      <c r="V1003" s="3">
        <f>IF(OR(T1003=1,P1003=1),1,0)</f>
        <v/>
      </c>
      <c r="W1003" s="3">
        <f>IF(OR(J1003=1),1,0)</f>
        <v/>
      </c>
      <c r="X1003" s="3">
        <f>IF(OR(I1003=1,H1003=1),1,0)</f>
        <v/>
      </c>
      <c r="Y1003" s="3">
        <f>IF(OR(G1003=1),1,0)</f>
        <v/>
      </c>
      <c r="Z1003" s="3">
        <f>IF(OR(F1003=1),1,0)</f>
        <v/>
      </c>
      <c r="AA1003" s="3">
        <f>IF(OR(M1003=1),1,0)</f>
        <v/>
      </c>
    </row>
    <row r="1004">
      <c r="A1004" s="22" t="inlineStr">
        <is>
          <t>38010bc0ce4b6f0ebcee5c4cbaf515f295b0da52</t>
        </is>
      </c>
      <c r="B1004" s="22" t="inlineStr">
        <is>
          <t>2026-10</t>
        </is>
      </c>
      <c r="C1004" s="22" t="inlineStr">
        <is>
          <t>X</t>
        </is>
      </c>
      <c r="D1004" s="22" t="n">
        <v>1</v>
      </c>
      <c r="E1004" s="22" t="inlineStr">
        <is>
          <t>X: X search: Nigeria election 2027 rigging</t>
        </is>
      </c>
      <c r="F1004" s="22" t="inlineStr">
        <is>
          <t>x:X search: Nigeria election 2027 rigging</t>
        </is>
      </c>
      <c r="G1004" s="22" t="n">
        <v>0</v>
      </c>
      <c r="H1004" s="22" t="n">
        <v>1</v>
      </c>
      <c r="I1004" s="22" t="n">
        <v>0</v>
      </c>
      <c r="J1004" s="22" t="n">
        <v>0</v>
      </c>
      <c r="K1004" s="22" t="n">
        <v>0</v>
      </c>
      <c r="L1004" s="22" t="n">
        <v>0</v>
      </c>
      <c r="M1004" s="22" t="n">
        <v>0</v>
      </c>
      <c r="N1004" s="22" t="n">
        <v>0</v>
      </c>
      <c r="O1004" s="22" t="n">
        <v>0</v>
      </c>
      <c r="P1004" s="22" t="n">
        <v>0</v>
      </c>
      <c r="Q1004" s="22" t="n">
        <v>0</v>
      </c>
      <c r="R1004" s="22" t="n">
        <v>0</v>
      </c>
      <c r="S1004" s="22" t="n">
        <v>0</v>
      </c>
      <c r="T1004" s="22" t="n">
        <v>0</v>
      </c>
      <c r="U1004" s="3">
        <f>IF(OR(N1004=1,Q1004=1),1,0)</f>
        <v/>
      </c>
      <c r="V1004" s="3">
        <f>IF(OR(T1004=1,P1004=1),1,0)</f>
        <v/>
      </c>
      <c r="W1004" s="3">
        <f>IF(OR(J1004=1),1,0)</f>
        <v/>
      </c>
      <c r="X1004" s="3">
        <f>IF(OR(I1004=1,H1004=1),1,0)</f>
        <v/>
      </c>
      <c r="Y1004" s="3">
        <f>IF(OR(G1004=1),1,0)</f>
        <v/>
      </c>
      <c r="Z1004" s="3">
        <f>IF(OR(F1004=1),1,0)</f>
        <v/>
      </c>
      <c r="AA1004" s="3">
        <f>IF(OR(M1004=1),1,0)</f>
        <v/>
      </c>
    </row>
    <row r="1005">
      <c r="A1005" s="22" t="inlineStr">
        <is>
          <t>dce30e10c52ea7b9183adb21a78f9070aead2b9e</t>
        </is>
      </c>
      <c r="B1005" s="22" t="inlineStr">
        <is>
          <t>2026-10</t>
        </is>
      </c>
      <c r="C1005" s="22" t="inlineStr">
        <is>
          <t>X</t>
        </is>
      </c>
      <c r="D1005" s="22" t="n">
        <v>1</v>
      </c>
      <c r="E1005" s="22" t="inlineStr">
        <is>
          <t>X: X search: Nigeria election 2027 rigging</t>
        </is>
      </c>
      <c r="F1005" s="22" t="inlineStr">
        <is>
          <t>x:X search: Nigeria election 2027 rigging</t>
        </is>
      </c>
      <c r="G1005" s="22" t="n">
        <v>-0.637</v>
      </c>
      <c r="H1005" s="22" t="n">
        <v>1</v>
      </c>
      <c r="I1005" s="22" t="n">
        <v>0</v>
      </c>
      <c r="J1005" s="22" t="n">
        <v>0</v>
      </c>
      <c r="K1005" s="22" t="n">
        <v>0</v>
      </c>
      <c r="L1005" s="22" t="n">
        <v>0</v>
      </c>
      <c r="M1005" s="22" t="n">
        <v>1</v>
      </c>
      <c r="N1005" s="22" t="n">
        <v>0</v>
      </c>
      <c r="O1005" s="22" t="n">
        <v>0</v>
      </c>
      <c r="P1005" s="22" t="n">
        <v>0</v>
      </c>
      <c r="Q1005" s="22" t="n">
        <v>0</v>
      </c>
      <c r="R1005" s="22" t="n">
        <v>0</v>
      </c>
      <c r="S1005" s="22" t="n">
        <v>0</v>
      </c>
      <c r="T1005" s="22" t="n">
        <v>0</v>
      </c>
      <c r="U1005" s="3">
        <f>IF(OR(N1005=1,Q1005=1),1,0)</f>
        <v/>
      </c>
      <c r="V1005" s="3">
        <f>IF(OR(T1005=1,P1005=1),1,0)</f>
        <v/>
      </c>
      <c r="W1005" s="3">
        <f>IF(OR(J1005=1),1,0)</f>
        <v/>
      </c>
      <c r="X1005" s="3">
        <f>IF(OR(I1005=1,H1005=1),1,0)</f>
        <v/>
      </c>
      <c r="Y1005" s="3">
        <f>IF(OR(G1005=1),1,0)</f>
        <v/>
      </c>
      <c r="Z1005" s="3">
        <f>IF(OR(F1005=1),1,0)</f>
        <v/>
      </c>
      <c r="AA1005" s="3">
        <f>IF(OR(M1005=1),1,0)</f>
        <v/>
      </c>
    </row>
    <row r="1006">
      <c r="A1006" s="22" t="inlineStr">
        <is>
          <t>4b92c412ddc154a5778adc10d9a209d49d4a2017</t>
        </is>
      </c>
      <c r="B1006" s="22" t="inlineStr">
        <is>
          <t>2026-10</t>
        </is>
      </c>
      <c r="C1006" s="22" t="inlineStr">
        <is>
          <t>X</t>
        </is>
      </c>
      <c r="D1006" s="22" t="n">
        <v>1</v>
      </c>
      <c r="E1006" s="22" t="inlineStr">
        <is>
          <t>X: X search: Nigeria election 2027 rigging</t>
        </is>
      </c>
      <c r="F1006" s="22" t="inlineStr">
        <is>
          <t>x:X search: Nigeria election 2027 rigging</t>
        </is>
      </c>
      <c r="G1006" s="22" t="n">
        <v>-0.868</v>
      </c>
      <c r="H1006" s="22" t="n">
        <v>1</v>
      </c>
      <c r="I1006" s="22" t="n">
        <v>0</v>
      </c>
      <c r="J1006" s="22" t="n">
        <v>0</v>
      </c>
      <c r="K1006" s="22" t="n">
        <v>0</v>
      </c>
      <c r="L1006" s="22" t="n">
        <v>0</v>
      </c>
      <c r="M1006" s="22" t="n">
        <v>0</v>
      </c>
      <c r="N1006" s="22" t="n">
        <v>0</v>
      </c>
      <c r="O1006" s="22" t="n">
        <v>0</v>
      </c>
      <c r="P1006" s="22" t="n">
        <v>0</v>
      </c>
      <c r="Q1006" s="22" t="n">
        <v>0</v>
      </c>
      <c r="R1006" s="22" t="n">
        <v>0</v>
      </c>
      <c r="S1006" s="22" t="n">
        <v>0</v>
      </c>
      <c r="T1006" s="22" t="n">
        <v>0</v>
      </c>
      <c r="U1006" s="3">
        <f>IF(OR(N1006=1,Q1006=1),1,0)</f>
        <v/>
      </c>
      <c r="V1006" s="3">
        <f>IF(OR(T1006=1,P1006=1),1,0)</f>
        <v/>
      </c>
      <c r="W1006" s="3">
        <f>IF(OR(J1006=1),1,0)</f>
        <v/>
      </c>
      <c r="X1006" s="3">
        <f>IF(OR(I1006=1,H1006=1),1,0)</f>
        <v/>
      </c>
      <c r="Y1006" s="3">
        <f>IF(OR(G1006=1),1,0)</f>
        <v/>
      </c>
      <c r="Z1006" s="3">
        <f>IF(OR(F1006=1),1,0)</f>
        <v/>
      </c>
      <c r="AA1006" s="3">
        <f>IF(OR(M1006=1),1,0)</f>
        <v/>
      </c>
    </row>
    <row r="1007">
      <c r="A1007" s="22" t="inlineStr">
        <is>
          <t>3da1345f7639870bff8fda0ed390fbc5e064ffa7</t>
        </is>
      </c>
      <c r="B1007" s="22" t="inlineStr">
        <is>
          <t>2026-10</t>
        </is>
      </c>
      <c r="C1007" s="22" t="inlineStr">
        <is>
          <t>X</t>
        </is>
      </c>
      <c r="D1007" s="22" t="n">
        <v>1</v>
      </c>
      <c r="E1007" s="22" t="inlineStr">
        <is>
          <t>X: X search: Nigeria election 2027 rigging</t>
        </is>
      </c>
      <c r="F1007" s="22" t="inlineStr">
        <is>
          <t>x:X search: Nigeria election 2027 rigging</t>
        </is>
      </c>
      <c r="G1007" s="22" t="n">
        <v>-0.718</v>
      </c>
      <c r="H1007" s="22" t="n">
        <v>1</v>
      </c>
      <c r="I1007" s="22" t="n">
        <v>1</v>
      </c>
      <c r="J1007" s="22" t="n">
        <v>0</v>
      </c>
      <c r="K1007" s="22" t="n">
        <v>0</v>
      </c>
      <c r="L1007" s="22" t="n">
        <v>0</v>
      </c>
      <c r="M1007" s="22" t="n">
        <v>0</v>
      </c>
      <c r="N1007" s="22" t="n">
        <v>0</v>
      </c>
      <c r="O1007" s="22" t="n">
        <v>0</v>
      </c>
      <c r="P1007" s="22" t="n">
        <v>0</v>
      </c>
      <c r="Q1007" s="22" t="n">
        <v>0</v>
      </c>
      <c r="R1007" s="22" t="n">
        <v>0</v>
      </c>
      <c r="S1007" s="22" t="n">
        <v>0</v>
      </c>
      <c r="T1007" s="22" t="n">
        <v>0</v>
      </c>
      <c r="U1007" s="3">
        <f>IF(OR(N1007=1,Q1007=1),1,0)</f>
        <v/>
      </c>
      <c r="V1007" s="3">
        <f>IF(OR(T1007=1,P1007=1),1,0)</f>
        <v/>
      </c>
      <c r="W1007" s="3">
        <f>IF(OR(J1007=1),1,0)</f>
        <v/>
      </c>
      <c r="X1007" s="3">
        <f>IF(OR(I1007=1,H1007=1),1,0)</f>
        <v/>
      </c>
      <c r="Y1007" s="3">
        <f>IF(OR(G1007=1),1,0)</f>
        <v/>
      </c>
      <c r="Z1007" s="3">
        <f>IF(OR(F1007=1),1,0)</f>
        <v/>
      </c>
      <c r="AA1007" s="3">
        <f>IF(OR(M1007=1),1,0)</f>
        <v/>
      </c>
    </row>
    <row r="1008">
      <c r="A1008" s="22" t="inlineStr">
        <is>
          <t>8584f3a8b3c1ce0494ee2562aa62c957885dc96a</t>
        </is>
      </c>
      <c r="B1008" s="22" t="inlineStr">
        <is>
          <t>2026-10</t>
        </is>
      </c>
      <c r="C1008" s="22" t="inlineStr">
        <is>
          <t>X</t>
        </is>
      </c>
      <c r="D1008" s="22" t="n">
        <v>1</v>
      </c>
      <c r="E1008" s="22" t="inlineStr">
        <is>
          <t>X: X search: Nigeria election 2027 rigging</t>
        </is>
      </c>
      <c r="F1008" s="22" t="inlineStr">
        <is>
          <t>x:X search: Nigeria election 2027 rigging</t>
        </is>
      </c>
      <c r="G1008" s="22" t="n">
        <v>-0.143</v>
      </c>
      <c r="H1008" s="22" t="n">
        <v>1</v>
      </c>
      <c r="I1008" s="22" t="n">
        <v>0</v>
      </c>
      <c r="J1008" s="22" t="n">
        <v>0</v>
      </c>
      <c r="K1008" s="22" t="n">
        <v>0</v>
      </c>
      <c r="L1008" s="22" t="n">
        <v>0</v>
      </c>
      <c r="M1008" s="22" t="n">
        <v>0</v>
      </c>
      <c r="N1008" s="22" t="n">
        <v>0</v>
      </c>
      <c r="O1008" s="22" t="n">
        <v>0</v>
      </c>
      <c r="P1008" s="22" t="n">
        <v>0</v>
      </c>
      <c r="Q1008" s="22" t="n">
        <v>0</v>
      </c>
      <c r="R1008" s="22" t="n">
        <v>0</v>
      </c>
      <c r="S1008" s="22" t="n">
        <v>0</v>
      </c>
      <c r="T1008" s="22" t="n">
        <v>0</v>
      </c>
      <c r="U1008" s="3">
        <f>IF(OR(N1008=1,Q1008=1),1,0)</f>
        <v/>
      </c>
      <c r="V1008" s="3">
        <f>IF(OR(T1008=1,P1008=1),1,0)</f>
        <v/>
      </c>
      <c r="W1008" s="3">
        <f>IF(OR(J1008=1),1,0)</f>
        <v/>
      </c>
      <c r="X1008" s="3">
        <f>IF(OR(I1008=1,H1008=1),1,0)</f>
        <v/>
      </c>
      <c r="Y1008" s="3">
        <f>IF(OR(G1008=1),1,0)</f>
        <v/>
      </c>
      <c r="Z1008" s="3">
        <f>IF(OR(F1008=1),1,0)</f>
        <v/>
      </c>
      <c r="AA1008" s="3">
        <f>IF(OR(M1008=1),1,0)</f>
        <v/>
      </c>
    </row>
    <row r="1009">
      <c r="A1009" s="22" t="inlineStr">
        <is>
          <t>2f16ef5d10d58d81f6eb2a312f38c5addf9a8766</t>
        </is>
      </c>
      <c r="B1009" s="22" t="inlineStr">
        <is>
          <t>2026-10</t>
        </is>
      </c>
      <c r="C1009" s="22" t="inlineStr">
        <is>
          <t>X</t>
        </is>
      </c>
      <c r="D1009" s="22" t="n">
        <v>1</v>
      </c>
      <c r="E1009" s="22" t="inlineStr">
        <is>
          <t>X: X search: Nigeria election 2027 rigging</t>
        </is>
      </c>
      <c r="F1009" s="22" t="inlineStr">
        <is>
          <t>x:X search: Nigeria election 2027 rigging</t>
        </is>
      </c>
      <c r="G1009" s="22" t="n">
        <v>-0.361</v>
      </c>
      <c r="H1009" s="22" t="n">
        <v>1</v>
      </c>
      <c r="I1009" s="22" t="n">
        <v>0</v>
      </c>
      <c r="J1009" s="22" t="n">
        <v>0</v>
      </c>
      <c r="K1009" s="22" t="n">
        <v>0</v>
      </c>
      <c r="L1009" s="22" t="n">
        <v>0</v>
      </c>
      <c r="M1009" s="22" t="n">
        <v>1</v>
      </c>
      <c r="N1009" s="22" t="n">
        <v>0</v>
      </c>
      <c r="O1009" s="22" t="n">
        <v>0</v>
      </c>
      <c r="P1009" s="22" t="n">
        <v>0</v>
      </c>
      <c r="Q1009" s="22" t="n">
        <v>0</v>
      </c>
      <c r="R1009" s="22" t="n">
        <v>0</v>
      </c>
      <c r="S1009" s="22" t="n">
        <v>0</v>
      </c>
      <c r="T1009" s="22" t="n">
        <v>0</v>
      </c>
      <c r="U1009" s="3">
        <f>IF(OR(N1009=1,Q1009=1),1,0)</f>
        <v/>
      </c>
      <c r="V1009" s="3">
        <f>IF(OR(T1009=1,P1009=1),1,0)</f>
        <v/>
      </c>
      <c r="W1009" s="3">
        <f>IF(OR(J1009=1),1,0)</f>
        <v/>
      </c>
      <c r="X1009" s="3">
        <f>IF(OR(I1009=1,H1009=1),1,0)</f>
        <v/>
      </c>
      <c r="Y1009" s="3">
        <f>IF(OR(G1009=1),1,0)</f>
        <v/>
      </c>
      <c r="Z1009" s="3">
        <f>IF(OR(F1009=1),1,0)</f>
        <v/>
      </c>
      <c r="AA1009" s="3">
        <f>IF(OR(M1009=1),1,0)</f>
        <v/>
      </c>
    </row>
    <row r="1010">
      <c r="A1010" s="22" t="inlineStr">
        <is>
          <t>adef6b5b3d6d07a2f9b95662a89c04da0140e170</t>
        </is>
      </c>
      <c r="B1010" s="22" t="inlineStr">
        <is>
          <t>2026-10</t>
        </is>
      </c>
      <c r="C1010" s="22" t="inlineStr">
        <is>
          <t>Nairaland</t>
        </is>
      </c>
      <c r="D1010" s="22" t="n">
        <v>0</v>
      </c>
      <c r="E1010" s="22" t="inlineStr">
        <is>
          <t>Nairaland: Nairaland</t>
        </is>
      </c>
      <c r="F1010" s="22" t="inlineStr">
        <is>
          <t>nairaland:Nairaland</t>
        </is>
      </c>
      <c r="G1010" s="22" t="n">
        <v>0.587</v>
      </c>
      <c r="H1010" s="22" t="n">
        <v>1</v>
      </c>
      <c r="I1010" s="22" t="n">
        <v>0</v>
      </c>
      <c r="J1010" s="22" t="n">
        <v>0</v>
      </c>
      <c r="K1010" s="22" t="n">
        <v>0</v>
      </c>
      <c r="L1010" s="22" t="n">
        <v>0</v>
      </c>
      <c r="M1010" s="22" t="n">
        <v>0</v>
      </c>
      <c r="N1010" s="22" t="n">
        <v>0</v>
      </c>
      <c r="O1010" s="22" t="n">
        <v>0</v>
      </c>
      <c r="P1010" s="22" t="n">
        <v>0</v>
      </c>
      <c r="Q1010" s="22" t="n">
        <v>0</v>
      </c>
      <c r="R1010" s="22" t="n">
        <v>0</v>
      </c>
      <c r="S1010" s="22" t="n">
        <v>0</v>
      </c>
      <c r="T1010" s="22" t="n">
        <v>0</v>
      </c>
      <c r="U1010" s="3">
        <f>IF(OR(N1010=1,Q1010=1),1,0)</f>
        <v/>
      </c>
      <c r="V1010" s="3">
        <f>IF(OR(T1010=1,P1010=1),1,0)</f>
        <v/>
      </c>
      <c r="W1010" s="3">
        <f>IF(OR(J1010=1),1,0)</f>
        <v/>
      </c>
      <c r="X1010" s="3">
        <f>IF(OR(I1010=1,H1010=1),1,0)</f>
        <v/>
      </c>
      <c r="Y1010" s="3">
        <f>IF(OR(G1010=1),1,0)</f>
        <v/>
      </c>
      <c r="Z1010" s="3">
        <f>IF(OR(F1010=1),1,0)</f>
        <v/>
      </c>
      <c r="AA1010" s="3">
        <f>IF(OR(M1010=1),1,0)</f>
        <v/>
      </c>
    </row>
    <row r="1011">
      <c r="A1011" s="22" t="inlineStr">
        <is>
          <t>90ebf63db068ee08d92f3bac1d6b235c0d23fdae</t>
        </is>
      </c>
      <c r="B1011" s="22" t="inlineStr">
        <is>
          <t>2026-10</t>
        </is>
      </c>
      <c r="C1011" s="22" t="inlineStr">
        <is>
          <t>Nairaland</t>
        </is>
      </c>
      <c r="D1011" s="22" t="n">
        <v>0</v>
      </c>
      <c r="E1011" s="22" t="inlineStr">
        <is>
          <t>Nairaland: Nairaland</t>
        </is>
      </c>
      <c r="F1011" s="22" t="inlineStr">
        <is>
          <t>nairaland:Nairaland</t>
        </is>
      </c>
      <c r="G1011" s="22" t="n">
        <v>-0.637</v>
      </c>
      <c r="H1011" s="22" t="n">
        <v>0</v>
      </c>
      <c r="I1011" s="22" t="n">
        <v>0</v>
      </c>
      <c r="J1011" s="22" t="n">
        <v>0</v>
      </c>
      <c r="K1011" s="22" t="n">
        <v>0</v>
      </c>
      <c r="L1011" s="22" t="n">
        <v>0</v>
      </c>
      <c r="M1011" s="22" t="n">
        <v>1</v>
      </c>
      <c r="N1011" s="22" t="n">
        <v>0</v>
      </c>
      <c r="O1011" s="22" t="n">
        <v>0</v>
      </c>
      <c r="P1011" s="22" t="n">
        <v>0</v>
      </c>
      <c r="Q1011" s="22" t="n">
        <v>0</v>
      </c>
      <c r="R1011" s="22" t="n">
        <v>0</v>
      </c>
      <c r="S1011" s="22" t="n">
        <v>0</v>
      </c>
      <c r="T1011" s="22" t="n">
        <v>0</v>
      </c>
      <c r="U1011" s="3">
        <f>IF(OR(N1011=1,Q1011=1),1,0)</f>
        <v/>
      </c>
      <c r="V1011" s="3">
        <f>IF(OR(T1011=1,P1011=1),1,0)</f>
        <v/>
      </c>
      <c r="W1011" s="3">
        <f>IF(OR(J1011=1),1,0)</f>
        <v/>
      </c>
      <c r="X1011" s="3">
        <f>IF(OR(I1011=1,H1011=1),1,0)</f>
        <v/>
      </c>
      <c r="Y1011" s="3">
        <f>IF(OR(G1011=1),1,0)</f>
        <v/>
      </c>
      <c r="Z1011" s="3">
        <f>IF(OR(F1011=1),1,0)</f>
        <v/>
      </c>
      <c r="AA1011" s="3">
        <f>IF(OR(M1011=1),1,0)</f>
        <v/>
      </c>
    </row>
    <row r="1012">
      <c r="A1012" s="22" t="inlineStr">
        <is>
          <t>046db8d06843d3508c578e13975484c39ae03d2f</t>
        </is>
      </c>
      <c r="B1012" s="22" t="inlineStr">
        <is>
          <t>2026-10</t>
        </is>
      </c>
      <c r="C1012" s="22" t="inlineStr">
        <is>
          <t>Nairaland</t>
        </is>
      </c>
      <c r="D1012" s="22" t="n">
        <v>0</v>
      </c>
      <c r="E1012" s="22" t="inlineStr">
        <is>
          <t>Nairaland: Nairaland</t>
        </is>
      </c>
      <c r="F1012" s="22" t="inlineStr">
        <is>
          <t>nairaland:Nairaland</t>
        </is>
      </c>
      <c r="G1012" s="22" t="n">
        <v>-0.8070000000000001</v>
      </c>
      <c r="H1012" s="22" t="n">
        <v>1</v>
      </c>
      <c r="I1012" s="22" t="n">
        <v>0</v>
      </c>
      <c r="J1012" s="22" t="n">
        <v>0</v>
      </c>
      <c r="K1012" s="22" t="n">
        <v>0</v>
      </c>
      <c r="L1012" s="22" t="n">
        <v>0</v>
      </c>
      <c r="M1012" s="22" t="n">
        <v>0</v>
      </c>
      <c r="N1012" s="22" t="n">
        <v>0</v>
      </c>
      <c r="O1012" s="22" t="n">
        <v>0</v>
      </c>
      <c r="P1012" s="22" t="n">
        <v>0</v>
      </c>
      <c r="Q1012" s="22" t="n">
        <v>0</v>
      </c>
      <c r="R1012" s="22" t="n">
        <v>0</v>
      </c>
      <c r="S1012" s="22" t="n">
        <v>0</v>
      </c>
      <c r="T1012" s="22" t="n">
        <v>0</v>
      </c>
      <c r="U1012" s="3">
        <f>IF(OR(N1012=1,Q1012=1),1,0)</f>
        <v/>
      </c>
      <c r="V1012" s="3">
        <f>IF(OR(T1012=1,P1012=1),1,0)</f>
        <v/>
      </c>
      <c r="W1012" s="3">
        <f>IF(OR(J1012=1),1,0)</f>
        <v/>
      </c>
      <c r="X1012" s="3">
        <f>IF(OR(I1012=1,H1012=1),1,0)</f>
        <v/>
      </c>
      <c r="Y1012" s="3">
        <f>IF(OR(G1012=1),1,0)</f>
        <v/>
      </c>
      <c r="Z1012" s="3">
        <f>IF(OR(F1012=1),1,0)</f>
        <v/>
      </c>
      <c r="AA1012" s="3">
        <f>IF(OR(M1012=1),1,0)</f>
        <v/>
      </c>
    </row>
    <row r="1013">
      <c r="A1013" s="22" t="inlineStr">
        <is>
          <t>7aa1d43e46f6e94b82a55332bfca6284785dd0ce</t>
        </is>
      </c>
      <c r="B1013" s="22" t="inlineStr">
        <is>
          <t>2026-10</t>
        </is>
      </c>
      <c r="C1013" s="22" t="inlineStr">
        <is>
          <t>Nairaland</t>
        </is>
      </c>
      <c r="D1013" s="22" t="n">
        <v>0</v>
      </c>
      <c r="E1013" s="22" t="inlineStr">
        <is>
          <t>Nairaland: Nairaland</t>
        </is>
      </c>
      <c r="F1013" s="22" t="inlineStr">
        <is>
          <t>nairaland:Nairaland</t>
        </is>
      </c>
      <c r="G1013" s="22" t="n">
        <v>-0.487</v>
      </c>
      <c r="H1013" s="22" t="n">
        <v>0</v>
      </c>
      <c r="I1013" s="22" t="n">
        <v>0</v>
      </c>
      <c r="J1013" s="22" t="n">
        <v>0</v>
      </c>
      <c r="K1013" s="22" t="n">
        <v>1</v>
      </c>
      <c r="L1013" s="22" t="n">
        <v>0</v>
      </c>
      <c r="M1013" s="22" t="n">
        <v>0</v>
      </c>
      <c r="N1013" s="22" t="n">
        <v>0</v>
      </c>
      <c r="O1013" s="22" t="n">
        <v>0</v>
      </c>
      <c r="P1013" s="22" t="n">
        <v>0</v>
      </c>
      <c r="Q1013" s="22" t="n">
        <v>0</v>
      </c>
      <c r="R1013" s="22" t="n">
        <v>0</v>
      </c>
      <c r="S1013" s="22" t="n">
        <v>0</v>
      </c>
      <c r="T1013" s="22" t="n">
        <v>0</v>
      </c>
      <c r="U1013" s="3">
        <f>IF(OR(N1013=1,Q1013=1),1,0)</f>
        <v/>
      </c>
      <c r="V1013" s="3">
        <f>IF(OR(T1013=1,P1013=1),1,0)</f>
        <v/>
      </c>
      <c r="W1013" s="3">
        <f>IF(OR(J1013=1),1,0)</f>
        <v/>
      </c>
      <c r="X1013" s="3">
        <f>IF(OR(I1013=1,H1013=1),1,0)</f>
        <v/>
      </c>
      <c r="Y1013" s="3">
        <f>IF(OR(G1013=1),1,0)</f>
        <v/>
      </c>
      <c r="Z1013" s="3">
        <f>IF(OR(F1013=1),1,0)</f>
        <v/>
      </c>
      <c r="AA1013" s="3">
        <f>IF(OR(M1013=1),1,0)</f>
        <v/>
      </c>
    </row>
    <row r="1014">
      <c r="A1014" s="22" t="inlineStr">
        <is>
          <t>928b022baa050ec18799262d512fb72191ce461d</t>
        </is>
      </c>
      <c r="B1014" s="22" t="inlineStr">
        <is>
          <t>2026-10</t>
        </is>
      </c>
      <c r="C1014" s="22" t="inlineStr">
        <is>
          <t>Nairaland</t>
        </is>
      </c>
      <c r="D1014" s="22" t="n">
        <v>0</v>
      </c>
      <c r="E1014" s="22" t="inlineStr">
        <is>
          <t>Nairaland: Nairaland</t>
        </is>
      </c>
      <c r="F1014" s="22" t="inlineStr">
        <is>
          <t>nairaland:Nairaland</t>
        </is>
      </c>
      <c r="G1014" s="22" t="n">
        <v>0.586</v>
      </c>
      <c r="H1014" s="22" t="n">
        <v>0</v>
      </c>
      <c r="I1014" s="22" t="n">
        <v>0</v>
      </c>
      <c r="J1014" s="22" t="n">
        <v>0</v>
      </c>
      <c r="K1014" s="22" t="n">
        <v>0</v>
      </c>
      <c r="L1014" s="22" t="n">
        <v>1</v>
      </c>
      <c r="M1014" s="22" t="n">
        <v>0</v>
      </c>
      <c r="N1014" s="22" t="n">
        <v>0</v>
      </c>
      <c r="O1014" s="22" t="n">
        <v>0</v>
      </c>
      <c r="P1014" s="22" t="n">
        <v>0</v>
      </c>
      <c r="Q1014" s="22" t="n">
        <v>0</v>
      </c>
      <c r="R1014" s="22" t="n">
        <v>0</v>
      </c>
      <c r="S1014" s="22" t="n">
        <v>0</v>
      </c>
      <c r="T1014" s="22" t="n">
        <v>0</v>
      </c>
      <c r="U1014" s="3">
        <f>IF(OR(N1014=1,Q1014=1),1,0)</f>
        <v/>
      </c>
      <c r="V1014" s="3">
        <f>IF(OR(T1014=1,P1014=1),1,0)</f>
        <v/>
      </c>
      <c r="W1014" s="3">
        <f>IF(OR(J1014=1),1,0)</f>
        <v/>
      </c>
      <c r="X1014" s="3">
        <f>IF(OR(I1014=1,H1014=1),1,0)</f>
        <v/>
      </c>
      <c r="Y1014" s="3">
        <f>IF(OR(G1014=1),1,0)</f>
        <v/>
      </c>
      <c r="Z1014" s="3">
        <f>IF(OR(F1014=1),1,0)</f>
        <v/>
      </c>
      <c r="AA1014" s="3">
        <f>IF(OR(M1014=1),1,0)</f>
        <v/>
      </c>
    </row>
    <row r="1015">
      <c r="A1015" s="22" t="inlineStr">
        <is>
          <t>e6d7dcaf32fab22aa2ca1ff70851605270bbb857</t>
        </is>
      </c>
      <c r="B1015" s="22" t="inlineStr">
        <is>
          <t>2026-10</t>
        </is>
      </c>
      <c r="C1015" s="22" t="inlineStr">
        <is>
          <t>Nairaland</t>
        </is>
      </c>
      <c r="D1015" s="22" t="n">
        <v>0</v>
      </c>
      <c r="E1015" s="22" t="inlineStr">
        <is>
          <t>Nairaland: Nairaland</t>
        </is>
      </c>
      <c r="F1015" s="22" t="inlineStr">
        <is>
          <t>nairaland:Nairaland</t>
        </is>
      </c>
      <c r="G1015" s="22" t="n">
        <v>-0.923</v>
      </c>
      <c r="H1015" s="22" t="n">
        <v>1</v>
      </c>
      <c r="I1015" s="22" t="n">
        <v>0</v>
      </c>
      <c r="J1015" s="22" t="n">
        <v>0</v>
      </c>
      <c r="K1015" s="22" t="n">
        <v>0</v>
      </c>
      <c r="L1015" s="22" t="n">
        <v>0</v>
      </c>
      <c r="M1015" s="22" t="n">
        <v>0</v>
      </c>
      <c r="N1015" s="22" t="n">
        <v>0</v>
      </c>
      <c r="O1015" s="22" t="n">
        <v>0</v>
      </c>
      <c r="P1015" s="22" t="n">
        <v>0</v>
      </c>
      <c r="Q1015" s="22" t="n">
        <v>0</v>
      </c>
      <c r="R1015" s="22" t="n">
        <v>0</v>
      </c>
      <c r="S1015" s="22" t="n">
        <v>0</v>
      </c>
      <c r="T1015" s="22" t="n">
        <v>0</v>
      </c>
      <c r="U1015" s="3">
        <f>IF(OR(N1015=1,Q1015=1),1,0)</f>
        <v/>
      </c>
      <c r="V1015" s="3">
        <f>IF(OR(T1015=1,P1015=1),1,0)</f>
        <v/>
      </c>
      <c r="W1015" s="3">
        <f>IF(OR(J1015=1),1,0)</f>
        <v/>
      </c>
      <c r="X1015" s="3">
        <f>IF(OR(I1015=1,H1015=1),1,0)</f>
        <v/>
      </c>
      <c r="Y1015" s="3">
        <f>IF(OR(G1015=1),1,0)</f>
        <v/>
      </c>
      <c r="Z1015" s="3">
        <f>IF(OR(F1015=1),1,0)</f>
        <v/>
      </c>
      <c r="AA1015" s="3">
        <f>IF(OR(M1015=1),1,0)</f>
        <v/>
      </c>
    </row>
    <row r="1016">
      <c r="A1016" s="22" t="inlineStr">
        <is>
          <t>a4166ee75143bc3d36f893f1f5fc7fccd7f3ecc7</t>
        </is>
      </c>
      <c r="B1016" s="22" t="inlineStr">
        <is>
          <t>2026-10</t>
        </is>
      </c>
      <c r="C1016" s="22" t="inlineStr">
        <is>
          <t>Nairaland</t>
        </is>
      </c>
      <c r="D1016" s="22" t="n">
        <v>0</v>
      </c>
      <c r="E1016" s="22" t="inlineStr">
        <is>
          <t>Nairaland: Nairaland</t>
        </is>
      </c>
      <c r="F1016" s="22" t="inlineStr">
        <is>
          <t>nairaland:Nairaland</t>
        </is>
      </c>
      <c r="G1016" s="22" t="n">
        <v>-0.888</v>
      </c>
      <c r="H1016" s="22" t="n">
        <v>1</v>
      </c>
      <c r="I1016" s="22" t="n">
        <v>0</v>
      </c>
      <c r="J1016" s="22" t="n">
        <v>0</v>
      </c>
      <c r="K1016" s="22" t="n">
        <v>0</v>
      </c>
      <c r="L1016" s="22" t="n">
        <v>0</v>
      </c>
      <c r="M1016" s="22" t="n">
        <v>0</v>
      </c>
      <c r="N1016" s="22" t="n">
        <v>0</v>
      </c>
      <c r="O1016" s="22" t="n">
        <v>0</v>
      </c>
      <c r="P1016" s="22" t="n">
        <v>0</v>
      </c>
      <c r="Q1016" s="22" t="n">
        <v>0</v>
      </c>
      <c r="R1016" s="22" t="n">
        <v>0</v>
      </c>
      <c r="S1016" s="22" t="n">
        <v>0</v>
      </c>
      <c r="T1016" s="22" t="n">
        <v>0</v>
      </c>
      <c r="U1016" s="3">
        <f>IF(OR(N1016=1,Q1016=1),1,0)</f>
        <v/>
      </c>
      <c r="V1016" s="3">
        <f>IF(OR(T1016=1,P1016=1),1,0)</f>
        <v/>
      </c>
      <c r="W1016" s="3">
        <f>IF(OR(J1016=1),1,0)</f>
        <v/>
      </c>
      <c r="X1016" s="3">
        <f>IF(OR(I1016=1,H1016=1),1,0)</f>
        <v/>
      </c>
      <c r="Y1016" s="3">
        <f>IF(OR(G1016=1),1,0)</f>
        <v/>
      </c>
      <c r="Z1016" s="3">
        <f>IF(OR(F1016=1),1,0)</f>
        <v/>
      </c>
      <c r="AA1016" s="3">
        <f>IF(OR(M1016=1),1,0)</f>
        <v/>
      </c>
    </row>
    <row r="1017">
      <c r="A1017" s="22" t="inlineStr">
        <is>
          <t>c9edf11bb0160269ebf6ddc4adb8accc51d225e9</t>
        </is>
      </c>
      <c r="B1017" s="22" t="inlineStr">
        <is>
          <t>2026-10</t>
        </is>
      </c>
      <c r="C1017" s="22" t="inlineStr">
        <is>
          <t>Nairaland</t>
        </is>
      </c>
      <c r="D1017" s="22" t="n">
        <v>0</v>
      </c>
      <c r="E1017" s="22" t="inlineStr">
        <is>
          <t>Nairaland: Nairaland</t>
        </is>
      </c>
      <c r="F1017" s="22" t="inlineStr">
        <is>
          <t>nairaland:Nairaland</t>
        </is>
      </c>
      <c r="G1017" s="22" t="n">
        <v>-0.866</v>
      </c>
      <c r="H1017" s="22" t="n">
        <v>1</v>
      </c>
      <c r="I1017" s="22" t="n">
        <v>0</v>
      </c>
      <c r="J1017" s="22" t="n">
        <v>0</v>
      </c>
      <c r="K1017" s="22" t="n">
        <v>0</v>
      </c>
      <c r="L1017" s="22" t="n">
        <v>0</v>
      </c>
      <c r="M1017" s="22" t="n">
        <v>0</v>
      </c>
      <c r="N1017" s="22" t="n">
        <v>0</v>
      </c>
      <c r="O1017" s="22" t="n">
        <v>0</v>
      </c>
      <c r="P1017" s="22" t="n">
        <v>0</v>
      </c>
      <c r="Q1017" s="22" t="n">
        <v>0</v>
      </c>
      <c r="R1017" s="22" t="n">
        <v>0</v>
      </c>
      <c r="S1017" s="22" t="n">
        <v>0</v>
      </c>
      <c r="T1017" s="22" t="n">
        <v>0</v>
      </c>
      <c r="U1017" s="3">
        <f>IF(OR(N1017=1,Q1017=1),1,0)</f>
        <v/>
      </c>
      <c r="V1017" s="3">
        <f>IF(OR(T1017=1,P1017=1),1,0)</f>
        <v/>
      </c>
      <c r="W1017" s="3">
        <f>IF(OR(J1017=1),1,0)</f>
        <v/>
      </c>
      <c r="X1017" s="3">
        <f>IF(OR(I1017=1,H1017=1),1,0)</f>
        <v/>
      </c>
      <c r="Y1017" s="3">
        <f>IF(OR(G1017=1),1,0)</f>
        <v/>
      </c>
      <c r="Z1017" s="3">
        <f>IF(OR(F1017=1),1,0)</f>
        <v/>
      </c>
      <c r="AA1017" s="3">
        <f>IF(OR(M1017=1),1,0)</f>
        <v/>
      </c>
    </row>
    <row r="1018">
      <c r="A1018" s="22" t="inlineStr">
        <is>
          <t>1a27a53e8012904db120ca933ce05bf105678afe</t>
        </is>
      </c>
      <c r="B1018" s="22" t="inlineStr">
        <is>
          <t>2026-10</t>
        </is>
      </c>
      <c r="C1018" s="22" t="inlineStr">
        <is>
          <t>Nairaland</t>
        </is>
      </c>
      <c r="D1018" s="22" t="n">
        <v>0</v>
      </c>
      <c r="E1018" s="22" t="inlineStr">
        <is>
          <t>Nairaland: Nairaland</t>
        </is>
      </c>
      <c r="F1018" s="22" t="inlineStr">
        <is>
          <t>nairaland:Nairaland</t>
        </is>
      </c>
      <c r="G1018" s="22" t="n">
        <v>-0.192</v>
      </c>
      <c r="H1018" s="22" t="n">
        <v>1</v>
      </c>
      <c r="I1018" s="22" t="n">
        <v>0</v>
      </c>
      <c r="J1018" s="22" t="n">
        <v>0</v>
      </c>
      <c r="K1018" s="22" t="n">
        <v>0</v>
      </c>
      <c r="L1018" s="22" t="n">
        <v>0</v>
      </c>
      <c r="M1018" s="22" t="n">
        <v>0</v>
      </c>
      <c r="N1018" s="22" t="n">
        <v>0</v>
      </c>
      <c r="O1018" s="22" t="n">
        <v>0</v>
      </c>
      <c r="P1018" s="22" t="n">
        <v>0</v>
      </c>
      <c r="Q1018" s="22" t="n">
        <v>0</v>
      </c>
      <c r="R1018" s="22" t="n">
        <v>0</v>
      </c>
      <c r="S1018" s="22" t="n">
        <v>0</v>
      </c>
      <c r="T1018" s="22" t="n">
        <v>0</v>
      </c>
      <c r="U1018" s="3">
        <f>IF(OR(N1018=1,Q1018=1),1,0)</f>
        <v/>
      </c>
      <c r="V1018" s="3">
        <f>IF(OR(T1018=1,P1018=1),1,0)</f>
        <v/>
      </c>
      <c r="W1018" s="3">
        <f>IF(OR(J1018=1),1,0)</f>
        <v/>
      </c>
      <c r="X1018" s="3">
        <f>IF(OR(I1018=1,H1018=1),1,0)</f>
        <v/>
      </c>
      <c r="Y1018" s="3">
        <f>IF(OR(G1018=1),1,0)</f>
        <v/>
      </c>
      <c r="Z1018" s="3">
        <f>IF(OR(F1018=1),1,0)</f>
        <v/>
      </c>
      <c r="AA1018" s="3">
        <f>IF(OR(M1018=1),1,0)</f>
        <v/>
      </c>
    </row>
    <row r="1019">
      <c r="A1019" s="22" t="inlineStr">
        <is>
          <t>43432aa2e1a723ff59c77985fd8a4dac948edc5f</t>
        </is>
      </c>
      <c r="B1019" s="22" t="inlineStr">
        <is>
          <t>2026-09</t>
        </is>
      </c>
      <c r="C1019" s="22" t="inlineStr">
        <is>
          <t>Nairaland</t>
        </is>
      </c>
      <c r="D1019" s="22" t="n">
        <v>0</v>
      </c>
      <c r="E1019" s="22" t="inlineStr">
        <is>
          <t>Nairaland: Nairaland</t>
        </is>
      </c>
      <c r="F1019" s="22" t="inlineStr">
        <is>
          <t>nairaland:Nairaland</t>
        </is>
      </c>
      <c r="G1019" s="22" t="n">
        <v>-0.276</v>
      </c>
      <c r="H1019" s="22" t="n">
        <v>0</v>
      </c>
      <c r="I1019" s="22" t="n">
        <v>0</v>
      </c>
      <c r="J1019" s="22" t="n">
        <v>0</v>
      </c>
      <c r="K1019" s="22" t="n">
        <v>0</v>
      </c>
      <c r="L1019" s="22" t="n">
        <v>0</v>
      </c>
      <c r="M1019" s="22" t="n">
        <v>0</v>
      </c>
      <c r="N1019" s="22" t="n">
        <v>0</v>
      </c>
      <c r="O1019" s="22" t="n">
        <v>1</v>
      </c>
      <c r="P1019" s="22" t="n">
        <v>0</v>
      </c>
      <c r="Q1019" s="22" t="n">
        <v>0</v>
      </c>
      <c r="R1019" s="22" t="n">
        <v>0</v>
      </c>
      <c r="S1019" s="22" t="n">
        <v>0</v>
      </c>
      <c r="T1019" s="22" t="n">
        <v>0</v>
      </c>
      <c r="U1019" s="3">
        <f>IF(OR(N1019=1,Q1019=1),1,0)</f>
        <v/>
      </c>
      <c r="V1019" s="3">
        <f>IF(OR(T1019=1,P1019=1),1,0)</f>
        <v/>
      </c>
      <c r="W1019" s="3">
        <f>IF(OR(J1019=1),1,0)</f>
        <v/>
      </c>
      <c r="X1019" s="3">
        <f>IF(OR(I1019=1,H1019=1),1,0)</f>
        <v/>
      </c>
      <c r="Y1019" s="3">
        <f>IF(OR(G1019=1),1,0)</f>
        <v/>
      </c>
      <c r="Z1019" s="3">
        <f>IF(OR(F1019=1),1,0)</f>
        <v/>
      </c>
      <c r="AA1019" s="3">
        <f>IF(OR(M1019=1),1,0)</f>
        <v/>
      </c>
    </row>
    <row r="1020">
      <c r="A1020" s="22" t="inlineStr">
        <is>
          <t>7fcf64f73bfe6160b1675003db21be94cfd3cdd7</t>
        </is>
      </c>
      <c r="B1020" s="22" t="inlineStr">
        <is>
          <t>2026-09</t>
        </is>
      </c>
      <c r="C1020" s="22" t="inlineStr">
        <is>
          <t>Nairaland</t>
        </is>
      </c>
      <c r="D1020" s="22" t="n">
        <v>0</v>
      </c>
      <c r="E1020" s="22" t="inlineStr">
        <is>
          <t>Nairaland: Nairaland</t>
        </is>
      </c>
      <c r="F1020" s="22" t="inlineStr">
        <is>
          <t>nairaland:Nairaland</t>
        </is>
      </c>
      <c r="G1020" s="22" t="n">
        <v>0</v>
      </c>
      <c r="H1020" s="22" t="n">
        <v>1</v>
      </c>
      <c r="I1020" s="22" t="n">
        <v>0</v>
      </c>
      <c r="J1020" s="22" t="n">
        <v>0</v>
      </c>
      <c r="K1020" s="22" t="n">
        <v>0</v>
      </c>
      <c r="L1020" s="22" t="n">
        <v>0</v>
      </c>
      <c r="M1020" s="22" t="n">
        <v>0</v>
      </c>
      <c r="N1020" s="22" t="n">
        <v>0</v>
      </c>
      <c r="O1020" s="22" t="n">
        <v>0</v>
      </c>
      <c r="P1020" s="22" t="n">
        <v>0</v>
      </c>
      <c r="Q1020" s="22" t="n">
        <v>0</v>
      </c>
      <c r="R1020" s="22" t="n">
        <v>0</v>
      </c>
      <c r="S1020" s="22" t="n">
        <v>0</v>
      </c>
      <c r="T1020" s="22" t="n">
        <v>0</v>
      </c>
      <c r="U1020" s="3">
        <f>IF(OR(N1020=1,Q1020=1),1,0)</f>
        <v/>
      </c>
      <c r="V1020" s="3">
        <f>IF(OR(T1020=1,P1020=1),1,0)</f>
        <v/>
      </c>
      <c r="W1020" s="3">
        <f>IF(OR(J1020=1),1,0)</f>
        <v/>
      </c>
      <c r="X1020" s="3">
        <f>IF(OR(I1020=1,H1020=1),1,0)</f>
        <v/>
      </c>
      <c r="Y1020" s="3">
        <f>IF(OR(G1020=1),1,0)</f>
        <v/>
      </c>
      <c r="Z1020" s="3">
        <f>IF(OR(F1020=1),1,0)</f>
        <v/>
      </c>
      <c r="AA1020" s="3">
        <f>IF(OR(M1020=1),1,0)</f>
        <v/>
      </c>
    </row>
    <row r="1021">
      <c r="A1021" s="22" t="inlineStr">
        <is>
          <t>357acf3e12b7777797c79d62aff1bd83901247fb</t>
        </is>
      </c>
      <c r="B1021" s="22" t="inlineStr">
        <is>
          <t>2026-09</t>
        </is>
      </c>
      <c r="C1021" s="22" t="inlineStr">
        <is>
          <t>Nairaland</t>
        </is>
      </c>
      <c r="D1021" s="22" t="n">
        <v>0</v>
      </c>
      <c r="E1021" s="22" t="inlineStr">
        <is>
          <t>Nairaland: Nairaland</t>
        </is>
      </c>
      <c r="F1021" s="22" t="inlineStr">
        <is>
          <t>nairaland:Nairaland</t>
        </is>
      </c>
      <c r="G1021" s="22" t="n">
        <v>0</v>
      </c>
      <c r="H1021" s="22" t="n">
        <v>1</v>
      </c>
      <c r="I1021" s="22" t="n">
        <v>0</v>
      </c>
      <c r="J1021" s="22" t="n">
        <v>0</v>
      </c>
      <c r="K1021" s="22" t="n">
        <v>0</v>
      </c>
      <c r="L1021" s="22" t="n">
        <v>0</v>
      </c>
      <c r="M1021" s="22" t="n">
        <v>0</v>
      </c>
      <c r="N1021" s="22" t="n">
        <v>0</v>
      </c>
      <c r="O1021" s="22" t="n">
        <v>0</v>
      </c>
      <c r="P1021" s="22" t="n">
        <v>0</v>
      </c>
      <c r="Q1021" s="22" t="n">
        <v>0</v>
      </c>
      <c r="R1021" s="22" t="n">
        <v>0</v>
      </c>
      <c r="S1021" s="22" t="n">
        <v>0</v>
      </c>
      <c r="T1021" s="22" t="n">
        <v>0</v>
      </c>
      <c r="U1021" s="3">
        <f>IF(OR(N1021=1,Q1021=1),1,0)</f>
        <v/>
      </c>
      <c r="V1021" s="3">
        <f>IF(OR(T1021=1,P1021=1),1,0)</f>
        <v/>
      </c>
      <c r="W1021" s="3">
        <f>IF(OR(J1021=1),1,0)</f>
        <v/>
      </c>
      <c r="X1021" s="3">
        <f>IF(OR(I1021=1,H1021=1),1,0)</f>
        <v/>
      </c>
      <c r="Y1021" s="3">
        <f>IF(OR(G1021=1),1,0)</f>
        <v/>
      </c>
      <c r="Z1021" s="3">
        <f>IF(OR(F1021=1),1,0)</f>
        <v/>
      </c>
      <c r="AA1021" s="3">
        <f>IF(OR(M1021=1),1,0)</f>
        <v/>
      </c>
    </row>
    <row r="1022">
      <c r="A1022" s="22" t="inlineStr">
        <is>
          <t>ca3214630fba69167173cf9b6b805356807b2870</t>
        </is>
      </c>
      <c r="B1022" s="22" t="inlineStr">
        <is>
          <t>2026-09</t>
        </is>
      </c>
      <c r="C1022" s="22" t="inlineStr">
        <is>
          <t>Nairaland</t>
        </is>
      </c>
      <c r="D1022" s="22" t="n">
        <v>0</v>
      </c>
      <c r="E1022" s="22" t="inlineStr">
        <is>
          <t>Nairaland: Nairaland</t>
        </is>
      </c>
      <c r="F1022" s="22" t="inlineStr">
        <is>
          <t>nairaland:Nairaland</t>
        </is>
      </c>
      <c r="G1022" s="22" t="n">
        <v>-0.178</v>
      </c>
      <c r="H1022" s="22" t="n">
        <v>1</v>
      </c>
      <c r="I1022" s="22" t="n">
        <v>0</v>
      </c>
      <c r="J1022" s="22" t="n">
        <v>0</v>
      </c>
      <c r="K1022" s="22" t="n">
        <v>0</v>
      </c>
      <c r="L1022" s="22" t="n">
        <v>0</v>
      </c>
      <c r="M1022" s="22" t="n">
        <v>1</v>
      </c>
      <c r="N1022" s="22" t="n">
        <v>0</v>
      </c>
      <c r="O1022" s="22" t="n">
        <v>0</v>
      </c>
      <c r="P1022" s="22" t="n">
        <v>0</v>
      </c>
      <c r="Q1022" s="22" t="n">
        <v>0</v>
      </c>
      <c r="R1022" s="22" t="n">
        <v>0</v>
      </c>
      <c r="S1022" s="22" t="n">
        <v>0</v>
      </c>
      <c r="T1022" s="22" t="n">
        <v>0</v>
      </c>
      <c r="U1022" s="3">
        <f>IF(OR(N1022=1,Q1022=1),1,0)</f>
        <v/>
      </c>
      <c r="V1022" s="3">
        <f>IF(OR(T1022=1,P1022=1),1,0)</f>
        <v/>
      </c>
      <c r="W1022" s="3">
        <f>IF(OR(J1022=1),1,0)</f>
        <v/>
      </c>
      <c r="X1022" s="3">
        <f>IF(OR(I1022=1,H1022=1),1,0)</f>
        <v/>
      </c>
      <c r="Y1022" s="3">
        <f>IF(OR(G1022=1),1,0)</f>
        <v/>
      </c>
      <c r="Z1022" s="3">
        <f>IF(OR(F1022=1),1,0)</f>
        <v/>
      </c>
      <c r="AA1022" s="3">
        <f>IF(OR(M1022=1),1,0)</f>
        <v/>
      </c>
    </row>
    <row r="1023">
      <c r="A1023" s="22" t="inlineStr">
        <is>
          <t>5c4c23971898ef45f8e20c501e22d134a8582b61</t>
        </is>
      </c>
      <c r="B1023" s="22" t="inlineStr">
        <is>
          <t>2026-09</t>
        </is>
      </c>
      <c r="C1023" s="22" t="inlineStr">
        <is>
          <t>Nairaland</t>
        </is>
      </c>
      <c r="D1023" s="22" t="n">
        <v>0</v>
      </c>
      <c r="E1023" s="22" t="inlineStr">
        <is>
          <t>Nairaland: Nairaland</t>
        </is>
      </c>
      <c r="F1023" s="22" t="inlineStr">
        <is>
          <t>nairaland:Nairaland</t>
        </is>
      </c>
      <c r="G1023" s="22" t="n">
        <v>-0.586</v>
      </c>
      <c r="H1023" s="22" t="n">
        <v>1</v>
      </c>
      <c r="I1023" s="22" t="n">
        <v>0</v>
      </c>
      <c r="J1023" s="22" t="n">
        <v>0</v>
      </c>
      <c r="K1023" s="22" t="n">
        <v>0</v>
      </c>
      <c r="L1023" s="22" t="n">
        <v>0</v>
      </c>
      <c r="M1023" s="22" t="n">
        <v>0</v>
      </c>
      <c r="N1023" s="22" t="n">
        <v>0</v>
      </c>
      <c r="O1023" s="22" t="n">
        <v>0</v>
      </c>
      <c r="P1023" s="22" t="n">
        <v>0</v>
      </c>
      <c r="Q1023" s="22" t="n">
        <v>0</v>
      </c>
      <c r="R1023" s="22" t="n">
        <v>0</v>
      </c>
      <c r="S1023" s="22" t="n">
        <v>0</v>
      </c>
      <c r="T1023" s="22" t="n">
        <v>0</v>
      </c>
      <c r="U1023" s="3">
        <f>IF(OR(N1023=1,Q1023=1),1,0)</f>
        <v/>
      </c>
      <c r="V1023" s="3">
        <f>IF(OR(T1023=1,P1023=1),1,0)</f>
        <v/>
      </c>
      <c r="W1023" s="3">
        <f>IF(OR(J1023=1),1,0)</f>
        <v/>
      </c>
      <c r="X1023" s="3">
        <f>IF(OR(I1023=1,H1023=1),1,0)</f>
        <v/>
      </c>
      <c r="Y1023" s="3">
        <f>IF(OR(G1023=1),1,0)</f>
        <v/>
      </c>
      <c r="Z1023" s="3">
        <f>IF(OR(F1023=1),1,0)</f>
        <v/>
      </c>
      <c r="AA1023" s="3">
        <f>IF(OR(M1023=1),1,0)</f>
        <v/>
      </c>
    </row>
    <row r="1024">
      <c r="A1024" s="22" t="inlineStr">
        <is>
          <t>9dd8bb16701f22ca8f2bf1da13b3c7b202099d44</t>
        </is>
      </c>
      <c r="B1024" s="22" t="inlineStr">
        <is>
          <t>2026-09</t>
        </is>
      </c>
      <c r="C1024" s="22" t="inlineStr">
        <is>
          <t>Nairaland</t>
        </is>
      </c>
      <c r="D1024" s="22" t="n">
        <v>0</v>
      </c>
      <c r="E1024" s="22" t="inlineStr">
        <is>
          <t>Nairaland: Nairaland</t>
        </is>
      </c>
      <c r="F1024" s="22" t="inlineStr">
        <is>
          <t>nairaland:Nairaland</t>
        </is>
      </c>
      <c r="G1024" s="22" t="n">
        <v>-0.743</v>
      </c>
      <c r="H1024" s="22" t="n">
        <v>0</v>
      </c>
      <c r="I1024" s="22" t="n">
        <v>0</v>
      </c>
      <c r="J1024" s="22" t="n">
        <v>0</v>
      </c>
      <c r="K1024" s="22" t="n">
        <v>0</v>
      </c>
      <c r="L1024" s="22" t="n">
        <v>0</v>
      </c>
      <c r="M1024" s="22" t="n">
        <v>0</v>
      </c>
      <c r="N1024" s="22" t="n">
        <v>0</v>
      </c>
      <c r="O1024" s="22" t="n">
        <v>0</v>
      </c>
      <c r="P1024" s="22" t="n">
        <v>1</v>
      </c>
      <c r="Q1024" s="22" t="n">
        <v>0</v>
      </c>
      <c r="R1024" s="22" t="n">
        <v>0</v>
      </c>
      <c r="S1024" s="22" t="n">
        <v>0</v>
      </c>
      <c r="T1024" s="22" t="n">
        <v>0</v>
      </c>
      <c r="U1024" s="3">
        <f>IF(OR(N1024=1,Q1024=1),1,0)</f>
        <v/>
      </c>
      <c r="V1024" s="3">
        <f>IF(OR(T1024=1,P1024=1),1,0)</f>
        <v/>
      </c>
      <c r="W1024" s="3">
        <f>IF(OR(J1024=1),1,0)</f>
        <v/>
      </c>
      <c r="X1024" s="3">
        <f>IF(OR(I1024=1,H1024=1),1,0)</f>
        <v/>
      </c>
      <c r="Y1024" s="3">
        <f>IF(OR(G1024=1),1,0)</f>
        <v/>
      </c>
      <c r="Z1024" s="3">
        <f>IF(OR(F1024=1),1,0)</f>
        <v/>
      </c>
      <c r="AA1024" s="3">
        <f>IF(OR(M1024=1),1,0)</f>
        <v/>
      </c>
    </row>
    <row r="1025">
      <c r="A1025" s="22" t="inlineStr">
        <is>
          <t>9f861028dd29e24da75e633b213aa4042d90e777</t>
        </is>
      </c>
      <c r="B1025" s="22" t="inlineStr">
        <is>
          <t>2026-09</t>
        </is>
      </c>
      <c r="C1025" s="22" t="inlineStr">
        <is>
          <t>Nairaland</t>
        </is>
      </c>
      <c r="D1025" s="22" t="n">
        <v>0</v>
      </c>
      <c r="E1025" s="22" t="inlineStr">
        <is>
          <t>Nairaland: Nairaland</t>
        </is>
      </c>
      <c r="F1025" s="22" t="inlineStr">
        <is>
          <t>nairaland:Nairaland</t>
        </is>
      </c>
      <c r="G1025" s="22" t="n">
        <v>-0.586</v>
      </c>
      <c r="H1025" s="22" t="n">
        <v>1</v>
      </c>
      <c r="I1025" s="22" t="n">
        <v>0</v>
      </c>
      <c r="J1025" s="22" t="n">
        <v>0</v>
      </c>
      <c r="K1025" s="22" t="n">
        <v>0</v>
      </c>
      <c r="L1025" s="22" t="n">
        <v>0</v>
      </c>
      <c r="M1025" s="22" t="n">
        <v>0</v>
      </c>
      <c r="N1025" s="22" t="n">
        <v>0</v>
      </c>
      <c r="O1025" s="22" t="n">
        <v>0</v>
      </c>
      <c r="P1025" s="22" t="n">
        <v>0</v>
      </c>
      <c r="Q1025" s="22" t="n">
        <v>0</v>
      </c>
      <c r="R1025" s="22" t="n">
        <v>0</v>
      </c>
      <c r="S1025" s="22" t="n">
        <v>0</v>
      </c>
      <c r="T1025" s="22" t="n">
        <v>0</v>
      </c>
      <c r="U1025" s="3">
        <f>IF(OR(N1025=1,Q1025=1),1,0)</f>
        <v/>
      </c>
      <c r="V1025" s="3">
        <f>IF(OR(T1025=1,P1025=1),1,0)</f>
        <v/>
      </c>
      <c r="W1025" s="3">
        <f>IF(OR(J1025=1),1,0)</f>
        <v/>
      </c>
      <c r="X1025" s="3">
        <f>IF(OR(I1025=1,H1025=1),1,0)</f>
        <v/>
      </c>
      <c r="Y1025" s="3">
        <f>IF(OR(G1025=1),1,0)</f>
        <v/>
      </c>
      <c r="Z1025" s="3">
        <f>IF(OR(F1025=1),1,0)</f>
        <v/>
      </c>
      <c r="AA1025" s="3">
        <f>IF(OR(M1025=1),1,0)</f>
        <v/>
      </c>
    </row>
    <row r="1026">
      <c r="A1026" s="22" t="inlineStr">
        <is>
          <t>f316e10f93c498331cf09b7d99ba2503931399b9</t>
        </is>
      </c>
      <c r="B1026" s="22" t="inlineStr">
        <is>
          <t>2026-09</t>
        </is>
      </c>
      <c r="C1026" s="22" t="inlineStr">
        <is>
          <t>Nairaland</t>
        </is>
      </c>
      <c r="D1026" s="22" t="n">
        <v>0</v>
      </c>
      <c r="E1026" s="22" t="inlineStr">
        <is>
          <t>Nairaland: Nairaland</t>
        </is>
      </c>
      <c r="F1026" s="22" t="inlineStr">
        <is>
          <t>nairaland:Nairaland</t>
        </is>
      </c>
      <c r="G1026" s="22" t="n">
        <v>-0.862</v>
      </c>
      <c r="H1026" s="22" t="n">
        <v>1</v>
      </c>
      <c r="I1026" s="22" t="n">
        <v>0</v>
      </c>
      <c r="J1026" s="22" t="n">
        <v>0</v>
      </c>
      <c r="K1026" s="22" t="n">
        <v>0</v>
      </c>
      <c r="L1026" s="22" t="n">
        <v>0</v>
      </c>
      <c r="M1026" s="22" t="n">
        <v>0</v>
      </c>
      <c r="N1026" s="22" t="n">
        <v>0</v>
      </c>
      <c r="O1026" s="22" t="n">
        <v>0</v>
      </c>
      <c r="P1026" s="22" t="n">
        <v>0</v>
      </c>
      <c r="Q1026" s="22" t="n">
        <v>0</v>
      </c>
      <c r="R1026" s="22" t="n">
        <v>0</v>
      </c>
      <c r="S1026" s="22" t="n">
        <v>0</v>
      </c>
      <c r="T1026" s="22" t="n">
        <v>0</v>
      </c>
      <c r="U1026" s="3">
        <f>IF(OR(N1026=1,Q1026=1),1,0)</f>
        <v/>
      </c>
      <c r="V1026" s="3">
        <f>IF(OR(T1026=1,P1026=1),1,0)</f>
        <v/>
      </c>
      <c r="W1026" s="3">
        <f>IF(OR(J1026=1),1,0)</f>
        <v/>
      </c>
      <c r="X1026" s="3">
        <f>IF(OR(I1026=1,H1026=1),1,0)</f>
        <v/>
      </c>
      <c r="Y1026" s="3">
        <f>IF(OR(G1026=1),1,0)</f>
        <v/>
      </c>
      <c r="Z1026" s="3">
        <f>IF(OR(F1026=1),1,0)</f>
        <v/>
      </c>
      <c r="AA1026" s="3">
        <f>IF(OR(M1026=1),1,0)</f>
        <v/>
      </c>
    </row>
    <row r="1027">
      <c r="A1027" s="22" t="inlineStr">
        <is>
          <t>5f3fac58132608c3968145551b466e72aa4bff6c</t>
        </is>
      </c>
      <c r="B1027" s="22" t="inlineStr">
        <is>
          <t>2026-09</t>
        </is>
      </c>
      <c r="C1027" s="22" t="inlineStr">
        <is>
          <t>Nairaland</t>
        </is>
      </c>
      <c r="D1027" s="22" t="n">
        <v>0</v>
      </c>
      <c r="E1027" s="22" t="inlineStr">
        <is>
          <t>Nairaland: Nairaland</t>
        </is>
      </c>
      <c r="F1027" s="22" t="inlineStr">
        <is>
          <t>nairaland:Nairaland</t>
        </is>
      </c>
      <c r="G1027" s="22" t="n">
        <v>-0.422</v>
      </c>
      <c r="H1027" s="22" t="n">
        <v>0</v>
      </c>
      <c r="I1027" s="22" t="n">
        <v>0</v>
      </c>
      <c r="J1027" s="22" t="n">
        <v>0</v>
      </c>
      <c r="K1027" s="22" t="n">
        <v>0</v>
      </c>
      <c r="L1027" s="22" t="n">
        <v>0</v>
      </c>
      <c r="M1027" s="22" t="n">
        <v>1</v>
      </c>
      <c r="N1027" s="22" t="n">
        <v>0</v>
      </c>
      <c r="O1027" s="22" t="n">
        <v>0</v>
      </c>
      <c r="P1027" s="22" t="n">
        <v>0</v>
      </c>
      <c r="Q1027" s="22" t="n">
        <v>0</v>
      </c>
      <c r="R1027" s="22" t="n">
        <v>0</v>
      </c>
      <c r="S1027" s="22" t="n">
        <v>0</v>
      </c>
      <c r="T1027" s="22" t="n">
        <v>0</v>
      </c>
      <c r="U1027" s="3">
        <f>IF(OR(N1027=1,Q1027=1),1,0)</f>
        <v/>
      </c>
      <c r="V1027" s="3">
        <f>IF(OR(T1027=1,P1027=1),1,0)</f>
        <v/>
      </c>
      <c r="W1027" s="3">
        <f>IF(OR(J1027=1),1,0)</f>
        <v/>
      </c>
      <c r="X1027" s="3">
        <f>IF(OR(I1027=1,H1027=1),1,0)</f>
        <v/>
      </c>
      <c r="Y1027" s="3">
        <f>IF(OR(G1027=1),1,0)</f>
        <v/>
      </c>
      <c r="Z1027" s="3">
        <f>IF(OR(F1027=1),1,0)</f>
        <v/>
      </c>
      <c r="AA1027" s="3">
        <f>IF(OR(M1027=1),1,0)</f>
        <v/>
      </c>
    </row>
    <row r="1028">
      <c r="A1028" s="22" t="inlineStr">
        <is>
          <t>b4c839214db3733776e4e2dc51bef10204af63e7</t>
        </is>
      </c>
      <c r="B1028" s="22" t="inlineStr">
        <is>
          <t>2026-09</t>
        </is>
      </c>
      <c r="C1028" s="22" t="inlineStr">
        <is>
          <t>Nairaland</t>
        </is>
      </c>
      <c r="D1028" s="22" t="n">
        <v>0</v>
      </c>
      <c r="E1028" s="22" t="inlineStr">
        <is>
          <t>Nairaland: Nairaland</t>
        </is>
      </c>
      <c r="F1028" s="22" t="inlineStr">
        <is>
          <t>nairaland:Nairaland</t>
        </is>
      </c>
      <c r="G1028" s="22" t="n">
        <v>-0.375</v>
      </c>
      <c r="H1028" s="22" t="n">
        <v>1</v>
      </c>
      <c r="I1028" s="22" t="n">
        <v>0</v>
      </c>
      <c r="J1028" s="22" t="n">
        <v>0</v>
      </c>
      <c r="K1028" s="22" t="n">
        <v>0</v>
      </c>
      <c r="L1028" s="22" t="n">
        <v>0</v>
      </c>
      <c r="M1028" s="22" t="n">
        <v>0</v>
      </c>
      <c r="N1028" s="22" t="n">
        <v>0</v>
      </c>
      <c r="O1028" s="22" t="n">
        <v>0</v>
      </c>
      <c r="P1028" s="22" t="n">
        <v>0</v>
      </c>
      <c r="Q1028" s="22" t="n">
        <v>0</v>
      </c>
      <c r="R1028" s="22" t="n">
        <v>0</v>
      </c>
      <c r="S1028" s="22" t="n">
        <v>0</v>
      </c>
      <c r="T1028" s="22" t="n">
        <v>0</v>
      </c>
      <c r="U1028" s="3">
        <f>IF(OR(N1028=1,Q1028=1),1,0)</f>
        <v/>
      </c>
      <c r="V1028" s="3">
        <f>IF(OR(T1028=1,P1028=1),1,0)</f>
        <v/>
      </c>
      <c r="W1028" s="3">
        <f>IF(OR(J1028=1),1,0)</f>
        <v/>
      </c>
      <c r="X1028" s="3">
        <f>IF(OR(I1028=1,H1028=1),1,0)</f>
        <v/>
      </c>
      <c r="Y1028" s="3">
        <f>IF(OR(G1028=1),1,0)</f>
        <v/>
      </c>
      <c r="Z1028" s="3">
        <f>IF(OR(F1028=1),1,0)</f>
        <v/>
      </c>
      <c r="AA1028" s="3">
        <f>IF(OR(M1028=1),1,0)</f>
        <v/>
      </c>
    </row>
    <row r="1029">
      <c r="A1029" s="22" t="inlineStr">
        <is>
          <t>48e8ab50a4ba0eac1575ab299e5c85973d927c4e</t>
        </is>
      </c>
      <c r="B1029" s="22" t="inlineStr">
        <is>
          <t>2026-09</t>
        </is>
      </c>
      <c r="C1029" s="22" t="inlineStr">
        <is>
          <t>Nairaland</t>
        </is>
      </c>
      <c r="D1029" s="22" t="n">
        <v>0</v>
      </c>
      <c r="E1029" s="22" t="inlineStr">
        <is>
          <t>Nairaland: Nairaland</t>
        </is>
      </c>
      <c r="F1029" s="22" t="inlineStr">
        <is>
          <t>nairaland:Nairaland</t>
        </is>
      </c>
      <c r="G1029" s="22" t="n">
        <v>-0.366</v>
      </c>
      <c r="H1029" s="22" t="n">
        <v>1</v>
      </c>
      <c r="I1029" s="22" t="n">
        <v>0</v>
      </c>
      <c r="J1029" s="22" t="n">
        <v>0</v>
      </c>
      <c r="K1029" s="22" t="n">
        <v>0</v>
      </c>
      <c r="L1029" s="22" t="n">
        <v>0</v>
      </c>
      <c r="M1029" s="22" t="n">
        <v>0</v>
      </c>
      <c r="N1029" s="22" t="n">
        <v>0</v>
      </c>
      <c r="O1029" s="22" t="n">
        <v>0</v>
      </c>
      <c r="P1029" s="22" t="n">
        <v>0</v>
      </c>
      <c r="Q1029" s="22" t="n">
        <v>0</v>
      </c>
      <c r="R1029" s="22" t="n">
        <v>0</v>
      </c>
      <c r="S1029" s="22" t="n">
        <v>0</v>
      </c>
      <c r="T1029" s="22" t="n">
        <v>0</v>
      </c>
      <c r="U1029" s="3">
        <f>IF(OR(N1029=1,Q1029=1),1,0)</f>
        <v/>
      </c>
      <c r="V1029" s="3">
        <f>IF(OR(T1029=1,P1029=1),1,0)</f>
        <v/>
      </c>
      <c r="W1029" s="3">
        <f>IF(OR(J1029=1),1,0)</f>
        <v/>
      </c>
      <c r="X1029" s="3">
        <f>IF(OR(I1029=1,H1029=1),1,0)</f>
        <v/>
      </c>
      <c r="Y1029" s="3">
        <f>IF(OR(G1029=1),1,0)</f>
        <v/>
      </c>
      <c r="Z1029" s="3">
        <f>IF(OR(F1029=1),1,0)</f>
        <v/>
      </c>
      <c r="AA1029" s="3">
        <f>IF(OR(M1029=1),1,0)</f>
        <v/>
      </c>
    </row>
    <row r="1030">
      <c r="A1030" s="22" t="inlineStr">
        <is>
          <t>dc79ddf8413fdbc83c7e7aa82ac366b33f65ea78</t>
        </is>
      </c>
      <c r="B1030" s="22" t="inlineStr">
        <is>
          <t>2026-09</t>
        </is>
      </c>
      <c r="C1030" s="22" t="inlineStr">
        <is>
          <t>Nairaland</t>
        </is>
      </c>
      <c r="D1030" s="22" t="n">
        <v>0</v>
      </c>
      <c r="E1030" s="22" t="inlineStr">
        <is>
          <t>Nairaland: Nairaland</t>
        </is>
      </c>
      <c r="F1030" s="22" t="inlineStr">
        <is>
          <t>nairaland:Nairaland</t>
        </is>
      </c>
      <c r="G1030" s="22" t="n">
        <v>-0.6879999999999999</v>
      </c>
      <c r="H1030" s="22" t="n">
        <v>1</v>
      </c>
      <c r="I1030" s="22" t="n">
        <v>0</v>
      </c>
      <c r="J1030" s="22" t="n">
        <v>0</v>
      </c>
      <c r="K1030" s="22" t="n">
        <v>0</v>
      </c>
      <c r="L1030" s="22" t="n">
        <v>0</v>
      </c>
      <c r="M1030" s="22" t="n">
        <v>0</v>
      </c>
      <c r="N1030" s="22" t="n">
        <v>0</v>
      </c>
      <c r="O1030" s="22" t="n">
        <v>0</v>
      </c>
      <c r="P1030" s="22" t="n">
        <v>0</v>
      </c>
      <c r="Q1030" s="22" t="n">
        <v>0</v>
      </c>
      <c r="R1030" s="22" t="n">
        <v>0</v>
      </c>
      <c r="S1030" s="22" t="n">
        <v>0</v>
      </c>
      <c r="T1030" s="22" t="n">
        <v>0</v>
      </c>
      <c r="U1030" s="3">
        <f>IF(OR(N1030=1,Q1030=1),1,0)</f>
        <v/>
      </c>
      <c r="V1030" s="3">
        <f>IF(OR(T1030=1,P1030=1),1,0)</f>
        <v/>
      </c>
      <c r="W1030" s="3">
        <f>IF(OR(J1030=1),1,0)</f>
        <v/>
      </c>
      <c r="X1030" s="3">
        <f>IF(OR(I1030=1,H1030=1),1,0)</f>
        <v/>
      </c>
      <c r="Y1030" s="3">
        <f>IF(OR(G1030=1),1,0)</f>
        <v/>
      </c>
      <c r="Z1030" s="3">
        <f>IF(OR(F1030=1),1,0)</f>
        <v/>
      </c>
      <c r="AA1030" s="3">
        <f>IF(OR(M1030=1),1,0)</f>
        <v/>
      </c>
    </row>
    <row r="1031">
      <c r="A1031" s="22" t="inlineStr">
        <is>
          <t>cfc8703432c77ac0a37b05bcdc7d4e7461505ac5</t>
        </is>
      </c>
      <c r="B1031" s="22" t="inlineStr">
        <is>
          <t>2026-10</t>
        </is>
      </c>
      <c r="C1031" s="22" t="inlineStr">
        <is>
          <t>X</t>
        </is>
      </c>
      <c r="D1031" s="22" t="n">
        <v>1</v>
      </c>
      <c r="E1031" s="22" t="inlineStr">
        <is>
          <t>X: X search (Top): INEC AI results 2027</t>
        </is>
      </c>
      <c r="F1031" s="22" t="inlineStr">
        <is>
          <t>x:X search (Top): INEC AI results 2027</t>
        </is>
      </c>
      <c r="G1031" s="22" t="n">
        <v>0.8179999999999999</v>
      </c>
      <c r="H1031" s="22" t="n">
        <v>1</v>
      </c>
      <c r="I1031" s="22" t="n">
        <v>0</v>
      </c>
      <c r="J1031" s="22" t="n">
        <v>0</v>
      </c>
      <c r="K1031" s="22" t="n">
        <v>0</v>
      </c>
      <c r="L1031" s="22" t="n">
        <v>0</v>
      </c>
      <c r="M1031" s="22" t="n">
        <v>0</v>
      </c>
      <c r="N1031" s="22" t="n">
        <v>0</v>
      </c>
      <c r="O1031" s="22" t="n">
        <v>0</v>
      </c>
      <c r="P1031" s="22" t="n">
        <v>0</v>
      </c>
      <c r="Q1031" s="22" t="n">
        <v>0</v>
      </c>
      <c r="R1031" s="22" t="n">
        <v>0</v>
      </c>
      <c r="S1031" s="22" t="n">
        <v>0</v>
      </c>
      <c r="T1031" s="22" t="n">
        <v>0</v>
      </c>
      <c r="U1031" s="3">
        <f>IF(OR(N1031=1,Q1031=1),1,0)</f>
        <v/>
      </c>
      <c r="V1031" s="3">
        <f>IF(OR(T1031=1,P1031=1),1,0)</f>
        <v/>
      </c>
      <c r="W1031" s="3">
        <f>IF(OR(J1031=1),1,0)</f>
        <v/>
      </c>
      <c r="X1031" s="3">
        <f>IF(OR(I1031=1,H1031=1),1,0)</f>
        <v/>
      </c>
      <c r="Y1031" s="3">
        <f>IF(OR(G1031=1),1,0)</f>
        <v/>
      </c>
      <c r="Z1031" s="3">
        <f>IF(OR(F1031=1),1,0)</f>
        <v/>
      </c>
      <c r="AA1031" s="3">
        <f>IF(OR(M1031=1),1,0)</f>
        <v/>
      </c>
    </row>
    <row r="1032">
      <c r="A1032" s="22" t="inlineStr">
        <is>
          <t>9d3ae2ffec78d82034bf98be615807c808b0faf6</t>
        </is>
      </c>
      <c r="B1032" s="22" t="inlineStr">
        <is>
          <t>2026-10</t>
        </is>
      </c>
      <c r="C1032" s="22" t="inlineStr">
        <is>
          <t>X</t>
        </is>
      </c>
      <c r="D1032" s="22" t="n">
        <v>1</v>
      </c>
      <c r="E1032" s="22" t="inlineStr">
        <is>
          <t>X: X search (Top): INEC AI results 2027</t>
        </is>
      </c>
      <c r="F1032" s="22" t="inlineStr">
        <is>
          <t>x:X search (Top): INEC AI results 2027</t>
        </is>
      </c>
      <c r="G1032" s="22" t="n">
        <v>-0.522</v>
      </c>
      <c r="H1032" s="22" t="n">
        <v>0</v>
      </c>
      <c r="I1032" s="22" t="n">
        <v>0</v>
      </c>
      <c r="J1032" s="22" t="n">
        <v>0</v>
      </c>
      <c r="K1032" s="22" t="n">
        <v>0</v>
      </c>
      <c r="L1032" s="22" t="n">
        <v>0</v>
      </c>
      <c r="M1032" s="22" t="n">
        <v>1</v>
      </c>
      <c r="N1032" s="22" t="n">
        <v>0</v>
      </c>
      <c r="O1032" s="22" t="n">
        <v>0</v>
      </c>
      <c r="P1032" s="22" t="n">
        <v>0</v>
      </c>
      <c r="Q1032" s="22" t="n">
        <v>0</v>
      </c>
      <c r="R1032" s="22" t="n">
        <v>0</v>
      </c>
      <c r="S1032" s="22" t="n">
        <v>0</v>
      </c>
      <c r="T1032" s="22" t="n">
        <v>0</v>
      </c>
      <c r="U1032" s="3">
        <f>IF(OR(N1032=1,Q1032=1),1,0)</f>
        <v/>
      </c>
      <c r="V1032" s="3">
        <f>IF(OR(T1032=1,P1032=1),1,0)</f>
        <v/>
      </c>
      <c r="W1032" s="3">
        <f>IF(OR(J1032=1),1,0)</f>
        <v/>
      </c>
      <c r="X1032" s="3">
        <f>IF(OR(I1032=1,H1032=1),1,0)</f>
        <v/>
      </c>
      <c r="Y1032" s="3">
        <f>IF(OR(G1032=1),1,0)</f>
        <v/>
      </c>
      <c r="Z1032" s="3">
        <f>IF(OR(F1032=1),1,0)</f>
        <v/>
      </c>
      <c r="AA1032" s="3">
        <f>IF(OR(M1032=1),1,0)</f>
        <v/>
      </c>
    </row>
    <row r="1033">
      <c r="A1033" s="22" t="inlineStr">
        <is>
          <t>787ca0b6ac0112a757fca6b106e78f27561cd98c</t>
        </is>
      </c>
      <c r="B1033" s="22" t="inlineStr">
        <is>
          <t>2026-10</t>
        </is>
      </c>
      <c r="C1033" s="22" t="inlineStr">
        <is>
          <t>X</t>
        </is>
      </c>
      <c r="D1033" s="22" t="n">
        <v>1</v>
      </c>
      <c r="E1033" s="22" t="inlineStr">
        <is>
          <t>X: X search (Top): INEC AI results 2027</t>
        </is>
      </c>
      <c r="F1033" s="22" t="inlineStr">
        <is>
          <t>x:X search (Top): INEC AI results 2027</t>
        </is>
      </c>
      <c r="G1033" s="22" t="n">
        <v>0</v>
      </c>
      <c r="H1033" s="22" t="n">
        <v>0</v>
      </c>
      <c r="I1033" s="22" t="n">
        <v>0</v>
      </c>
      <c r="J1033" s="22" t="n">
        <v>0</v>
      </c>
      <c r="K1033" s="22" t="n">
        <v>0</v>
      </c>
      <c r="L1033" s="22" t="n">
        <v>0</v>
      </c>
      <c r="M1033" s="22" t="n">
        <v>0</v>
      </c>
      <c r="N1033" s="22" t="n">
        <v>0</v>
      </c>
      <c r="O1033" s="22" t="n">
        <v>1</v>
      </c>
      <c r="P1033" s="22" t="n">
        <v>0</v>
      </c>
      <c r="Q1033" s="22" t="n">
        <v>0</v>
      </c>
      <c r="R1033" s="22" t="n">
        <v>0</v>
      </c>
      <c r="S1033" s="22" t="n">
        <v>0</v>
      </c>
      <c r="T1033" s="22" t="n">
        <v>0</v>
      </c>
      <c r="U1033" s="3">
        <f>IF(OR(N1033=1,Q1033=1),1,0)</f>
        <v/>
      </c>
      <c r="V1033" s="3">
        <f>IF(OR(T1033=1,P1033=1),1,0)</f>
        <v/>
      </c>
      <c r="W1033" s="3">
        <f>IF(OR(J1033=1),1,0)</f>
        <v/>
      </c>
      <c r="X1033" s="3">
        <f>IF(OR(I1033=1,H1033=1),1,0)</f>
        <v/>
      </c>
      <c r="Y1033" s="3">
        <f>IF(OR(G1033=1),1,0)</f>
        <v/>
      </c>
      <c r="Z1033" s="3">
        <f>IF(OR(F1033=1),1,0)</f>
        <v/>
      </c>
      <c r="AA1033" s="3">
        <f>IF(OR(M1033=1),1,0)</f>
        <v/>
      </c>
    </row>
    <row r="1034">
      <c r="A1034" s="22" t="inlineStr">
        <is>
          <t>cc85b9c316c4a910c7f3ca1dc0a7073a500d1174</t>
        </is>
      </c>
      <c r="B1034" s="22" t="inlineStr">
        <is>
          <t>2026-10</t>
        </is>
      </c>
      <c r="C1034" s="22" t="inlineStr">
        <is>
          <t>X</t>
        </is>
      </c>
      <c r="D1034" s="22" t="n">
        <v>1</v>
      </c>
      <c r="E1034" s="22" t="inlineStr">
        <is>
          <t>X: X search (Top): INEC AI results 2027</t>
        </is>
      </c>
      <c r="F1034" s="22" t="inlineStr">
        <is>
          <t>x:X search (Top): INEC AI results 2027</t>
        </is>
      </c>
      <c r="G1034" s="22" t="n">
        <v>0.226</v>
      </c>
      <c r="H1034" s="22" t="n">
        <v>0</v>
      </c>
      <c r="I1034" s="22" t="n">
        <v>1</v>
      </c>
      <c r="J1034" s="22" t="n">
        <v>0</v>
      </c>
      <c r="K1034" s="22" t="n">
        <v>0</v>
      </c>
      <c r="L1034" s="22" t="n">
        <v>0</v>
      </c>
      <c r="M1034" s="22" t="n">
        <v>0</v>
      </c>
      <c r="N1034" s="22" t="n">
        <v>0</v>
      </c>
      <c r="O1034" s="22" t="n">
        <v>0</v>
      </c>
      <c r="P1034" s="22" t="n">
        <v>0</v>
      </c>
      <c r="Q1034" s="22" t="n">
        <v>0</v>
      </c>
      <c r="R1034" s="22" t="n">
        <v>0</v>
      </c>
      <c r="S1034" s="22" t="n">
        <v>0</v>
      </c>
      <c r="T1034" s="22" t="n">
        <v>0</v>
      </c>
      <c r="U1034" s="3">
        <f>IF(OR(N1034=1,Q1034=1),1,0)</f>
        <v/>
      </c>
      <c r="V1034" s="3">
        <f>IF(OR(T1034=1,P1034=1),1,0)</f>
        <v/>
      </c>
      <c r="W1034" s="3">
        <f>IF(OR(J1034=1),1,0)</f>
        <v/>
      </c>
      <c r="X1034" s="3">
        <f>IF(OR(I1034=1,H1034=1),1,0)</f>
        <v/>
      </c>
      <c r="Y1034" s="3">
        <f>IF(OR(G1034=1),1,0)</f>
        <v/>
      </c>
      <c r="Z1034" s="3">
        <f>IF(OR(F1034=1),1,0)</f>
        <v/>
      </c>
      <c r="AA1034" s="3">
        <f>IF(OR(M1034=1),1,0)</f>
        <v/>
      </c>
    </row>
    <row r="1035">
      <c r="A1035" s="22" t="inlineStr">
        <is>
          <t>84c80a95e92aa578dc7bf0297b9d62ec91bf85ef</t>
        </is>
      </c>
      <c r="B1035" s="22" t="inlineStr">
        <is>
          <t>2026-02</t>
        </is>
      </c>
      <c r="C1035" s="22" t="inlineStr">
        <is>
          <t>X</t>
        </is>
      </c>
      <c r="D1035" s="22" t="n">
        <v>1</v>
      </c>
      <c r="E1035" s="22" t="inlineStr">
        <is>
          <t>X: X search (Top): INEC AI results 2027</t>
        </is>
      </c>
      <c r="F1035" s="22" t="inlineStr">
        <is>
          <t>x:X search (Top): INEC AI results 2027</t>
        </is>
      </c>
      <c r="G1035" s="22" t="n">
        <v>0.226</v>
      </c>
      <c r="H1035" s="22" t="n">
        <v>0</v>
      </c>
      <c r="I1035" s="22" t="n">
        <v>1</v>
      </c>
      <c r="J1035" s="22" t="n">
        <v>0</v>
      </c>
      <c r="K1035" s="22" t="n">
        <v>0</v>
      </c>
      <c r="L1035" s="22" t="n">
        <v>0</v>
      </c>
      <c r="M1035" s="22" t="n">
        <v>0</v>
      </c>
      <c r="N1035" s="22" t="n">
        <v>0</v>
      </c>
      <c r="O1035" s="22" t="n">
        <v>0</v>
      </c>
      <c r="P1035" s="22" t="n">
        <v>0</v>
      </c>
      <c r="Q1035" s="22" t="n">
        <v>0</v>
      </c>
      <c r="R1035" s="22" t="n">
        <v>0</v>
      </c>
      <c r="S1035" s="22" t="n">
        <v>0</v>
      </c>
      <c r="T1035" s="22" t="n">
        <v>0</v>
      </c>
      <c r="U1035" s="3">
        <f>IF(OR(N1035=1,Q1035=1),1,0)</f>
        <v/>
      </c>
      <c r="V1035" s="3">
        <f>IF(OR(T1035=1,P1035=1),1,0)</f>
        <v/>
      </c>
      <c r="W1035" s="3">
        <f>IF(OR(J1035=1),1,0)</f>
        <v/>
      </c>
      <c r="X1035" s="3">
        <f>IF(OR(I1035=1,H1035=1),1,0)</f>
        <v/>
      </c>
      <c r="Y1035" s="3">
        <f>IF(OR(G1035=1),1,0)</f>
        <v/>
      </c>
      <c r="Z1035" s="3">
        <f>IF(OR(F1035=1),1,0)</f>
        <v/>
      </c>
      <c r="AA1035" s="3">
        <f>IF(OR(M1035=1),1,0)</f>
        <v/>
      </c>
    </row>
    <row r="1036">
      <c r="A1036" s="22" t="inlineStr">
        <is>
          <t>5a87c006fb09e0de41b84bfb918c082a9b0e2d31</t>
        </is>
      </c>
      <c r="B1036" s="22" t="inlineStr">
        <is>
          <t>2026-10</t>
        </is>
      </c>
      <c r="C1036" s="22" t="inlineStr">
        <is>
          <t>X</t>
        </is>
      </c>
      <c r="D1036" s="22" t="n">
        <v>1</v>
      </c>
      <c r="E1036" s="22" t="inlineStr">
        <is>
          <t>X: X search (Top): INEC AI results 2027</t>
        </is>
      </c>
      <c r="F1036" s="22" t="inlineStr">
        <is>
          <t>x:X search (Top): INEC AI results 2027</t>
        </is>
      </c>
      <c r="G1036" s="22" t="n">
        <v>-0.66</v>
      </c>
      <c r="H1036" s="22" t="n">
        <v>1</v>
      </c>
      <c r="I1036" s="22" t="n">
        <v>0</v>
      </c>
      <c r="J1036" s="22" t="n">
        <v>0</v>
      </c>
      <c r="K1036" s="22" t="n">
        <v>0</v>
      </c>
      <c r="L1036" s="22" t="n">
        <v>0</v>
      </c>
      <c r="M1036" s="22" t="n">
        <v>1</v>
      </c>
      <c r="N1036" s="22" t="n">
        <v>0</v>
      </c>
      <c r="O1036" s="22" t="n">
        <v>0</v>
      </c>
      <c r="P1036" s="22" t="n">
        <v>0</v>
      </c>
      <c r="Q1036" s="22" t="n">
        <v>0</v>
      </c>
      <c r="R1036" s="22" t="n">
        <v>0</v>
      </c>
      <c r="S1036" s="22" t="n">
        <v>0</v>
      </c>
      <c r="T1036" s="22" t="n">
        <v>0</v>
      </c>
      <c r="U1036" s="3">
        <f>IF(OR(N1036=1,Q1036=1),1,0)</f>
        <v/>
      </c>
      <c r="V1036" s="3">
        <f>IF(OR(T1036=1,P1036=1),1,0)</f>
        <v/>
      </c>
      <c r="W1036" s="3">
        <f>IF(OR(J1036=1),1,0)</f>
        <v/>
      </c>
      <c r="X1036" s="3">
        <f>IF(OR(I1036=1,H1036=1),1,0)</f>
        <v/>
      </c>
      <c r="Y1036" s="3">
        <f>IF(OR(G1036=1),1,0)</f>
        <v/>
      </c>
      <c r="Z1036" s="3">
        <f>IF(OR(F1036=1),1,0)</f>
        <v/>
      </c>
      <c r="AA1036" s="3">
        <f>IF(OR(M1036=1),1,0)</f>
        <v/>
      </c>
    </row>
    <row r="1037">
      <c r="A1037" s="22" t="inlineStr">
        <is>
          <t>6589ff812773dc192b338d2351b07adca7663a3c</t>
        </is>
      </c>
      <c r="B1037" s="22" t="inlineStr">
        <is>
          <t>2025-07</t>
        </is>
      </c>
      <c r="C1037" s="22" t="inlineStr">
        <is>
          <t>X</t>
        </is>
      </c>
      <c r="D1037" s="22" t="n">
        <v>1</v>
      </c>
      <c r="E1037" s="22" t="inlineStr">
        <is>
          <t>X: X search (Top): INEC AI results 2027</t>
        </is>
      </c>
      <c r="F1037" s="22" t="inlineStr">
        <is>
          <t>x:X search (Top): INEC AI results 2027</t>
        </is>
      </c>
      <c r="G1037" s="22" t="n">
        <v>-0.273</v>
      </c>
      <c r="H1037" s="22" t="n">
        <v>0</v>
      </c>
      <c r="I1037" s="22" t="n">
        <v>1</v>
      </c>
      <c r="J1037" s="22" t="n">
        <v>0</v>
      </c>
      <c r="K1037" s="22" t="n">
        <v>0</v>
      </c>
      <c r="L1037" s="22" t="n">
        <v>0</v>
      </c>
      <c r="M1037" s="22" t="n">
        <v>0</v>
      </c>
      <c r="N1037" s="22" t="n">
        <v>0</v>
      </c>
      <c r="O1037" s="22" t="n">
        <v>0</v>
      </c>
      <c r="P1037" s="22" t="n">
        <v>0</v>
      </c>
      <c r="Q1037" s="22" t="n">
        <v>0</v>
      </c>
      <c r="R1037" s="22" t="n">
        <v>0</v>
      </c>
      <c r="S1037" s="22" t="n">
        <v>0</v>
      </c>
      <c r="T1037" s="22" t="n">
        <v>0</v>
      </c>
      <c r="U1037" s="3">
        <f>IF(OR(N1037=1,Q1037=1),1,0)</f>
        <v/>
      </c>
      <c r="V1037" s="3">
        <f>IF(OR(T1037=1,P1037=1),1,0)</f>
        <v/>
      </c>
      <c r="W1037" s="3">
        <f>IF(OR(J1037=1),1,0)</f>
        <v/>
      </c>
      <c r="X1037" s="3">
        <f>IF(OR(I1037=1,H1037=1),1,0)</f>
        <v/>
      </c>
      <c r="Y1037" s="3">
        <f>IF(OR(G1037=1),1,0)</f>
        <v/>
      </c>
      <c r="Z1037" s="3">
        <f>IF(OR(F1037=1),1,0)</f>
        <v/>
      </c>
      <c r="AA1037" s="3">
        <f>IF(OR(M1037=1),1,0)</f>
        <v/>
      </c>
    </row>
    <row r="1038">
      <c r="A1038" s="22" t="inlineStr">
        <is>
          <t>0dd9db7c463c8b17b9bf3617ecebd7b871757801</t>
        </is>
      </c>
      <c r="B1038" s="22" t="inlineStr">
        <is>
          <t>2026-09</t>
        </is>
      </c>
      <c r="C1038" s="22" t="inlineStr">
        <is>
          <t>X</t>
        </is>
      </c>
      <c r="D1038" s="22" t="n">
        <v>1</v>
      </c>
      <c r="E1038" s="22" t="inlineStr">
        <is>
          <t>X: X search (Top): INEC AI results 2027</t>
        </is>
      </c>
      <c r="F1038" s="22" t="inlineStr">
        <is>
          <t>x:X search (Top): INEC AI results 2027</t>
        </is>
      </c>
      <c r="G1038" s="22" t="n">
        <v>-0.625</v>
      </c>
      <c r="H1038" s="22" t="n">
        <v>1</v>
      </c>
      <c r="I1038" s="22" t="n">
        <v>0</v>
      </c>
      <c r="J1038" s="22" t="n">
        <v>0</v>
      </c>
      <c r="K1038" s="22" t="n">
        <v>0</v>
      </c>
      <c r="L1038" s="22" t="n">
        <v>0</v>
      </c>
      <c r="M1038" s="22" t="n">
        <v>1</v>
      </c>
      <c r="N1038" s="22" t="n">
        <v>0</v>
      </c>
      <c r="O1038" s="22" t="n">
        <v>0</v>
      </c>
      <c r="P1038" s="22" t="n">
        <v>0</v>
      </c>
      <c r="Q1038" s="22" t="n">
        <v>1</v>
      </c>
      <c r="R1038" s="22" t="n">
        <v>0</v>
      </c>
      <c r="S1038" s="22" t="n">
        <v>0</v>
      </c>
      <c r="T1038" s="22" t="n">
        <v>0</v>
      </c>
      <c r="U1038" s="3">
        <f>IF(OR(N1038=1,Q1038=1),1,0)</f>
        <v/>
      </c>
      <c r="V1038" s="3">
        <f>IF(OR(T1038=1,P1038=1),1,0)</f>
        <v/>
      </c>
      <c r="W1038" s="3">
        <f>IF(OR(J1038=1),1,0)</f>
        <v/>
      </c>
      <c r="X1038" s="3">
        <f>IF(OR(I1038=1,H1038=1),1,0)</f>
        <v/>
      </c>
      <c r="Y1038" s="3">
        <f>IF(OR(G1038=1),1,0)</f>
        <v/>
      </c>
      <c r="Z1038" s="3">
        <f>IF(OR(F1038=1),1,0)</f>
        <v/>
      </c>
      <c r="AA1038" s="3">
        <f>IF(OR(M1038=1),1,0)</f>
        <v/>
      </c>
    </row>
    <row r="1039">
      <c r="A1039" s="22" t="inlineStr">
        <is>
          <t>6b0ba2e1baec621429be154b4b04636d431cbbe8</t>
        </is>
      </c>
      <c r="B1039" s="22" t="inlineStr">
        <is>
          <t>2026-10</t>
        </is>
      </c>
      <c r="C1039" s="22" t="inlineStr">
        <is>
          <t>X</t>
        </is>
      </c>
      <c r="D1039" s="22" t="n">
        <v>1</v>
      </c>
      <c r="E1039" s="22" t="inlineStr">
        <is>
          <t>X: X search (Top): INEC AI results 2027</t>
        </is>
      </c>
      <c r="F1039" s="22" t="inlineStr">
        <is>
          <t>x:X search (Top): INEC AI results 2027</t>
        </is>
      </c>
      <c r="G1039" s="22" t="n">
        <v>-0.784</v>
      </c>
      <c r="H1039" s="22" t="n">
        <v>0</v>
      </c>
      <c r="I1039" s="22" t="n">
        <v>0</v>
      </c>
      <c r="J1039" s="22" t="n">
        <v>0</v>
      </c>
      <c r="K1039" s="22" t="n">
        <v>0</v>
      </c>
      <c r="L1039" s="22" t="n">
        <v>0</v>
      </c>
      <c r="M1039" s="22" t="n">
        <v>1</v>
      </c>
      <c r="N1039" s="22" t="n">
        <v>0</v>
      </c>
      <c r="O1039" s="22" t="n">
        <v>0</v>
      </c>
      <c r="P1039" s="22" t="n">
        <v>0</v>
      </c>
      <c r="Q1039" s="22" t="n">
        <v>0</v>
      </c>
      <c r="R1039" s="22" t="n">
        <v>0</v>
      </c>
      <c r="S1039" s="22" t="n">
        <v>0</v>
      </c>
      <c r="T1039" s="22" t="n">
        <v>0</v>
      </c>
      <c r="U1039" s="3">
        <f>IF(OR(N1039=1,Q1039=1),1,0)</f>
        <v/>
      </c>
      <c r="V1039" s="3">
        <f>IF(OR(T1039=1,P1039=1),1,0)</f>
        <v/>
      </c>
      <c r="W1039" s="3">
        <f>IF(OR(J1039=1),1,0)</f>
        <v/>
      </c>
      <c r="X1039" s="3">
        <f>IF(OR(I1039=1,H1039=1),1,0)</f>
        <v/>
      </c>
      <c r="Y1039" s="3">
        <f>IF(OR(G1039=1),1,0)</f>
        <v/>
      </c>
      <c r="Z1039" s="3">
        <f>IF(OR(F1039=1),1,0)</f>
        <v/>
      </c>
      <c r="AA1039" s="3">
        <f>IF(OR(M1039=1),1,0)</f>
        <v/>
      </c>
    </row>
    <row r="1040">
      <c r="A1040" s="22" t="inlineStr">
        <is>
          <t>af2adc347e59a61b39cede722107b9ccce69628c</t>
        </is>
      </c>
      <c r="B1040" s="22" t="inlineStr">
        <is>
          <t>2026-10</t>
        </is>
      </c>
      <c r="C1040" s="22" t="inlineStr">
        <is>
          <t>X</t>
        </is>
      </c>
      <c r="D1040" s="22" t="n">
        <v>0</v>
      </c>
      <c r="E1040" s="22" t="inlineStr">
        <is>
          <t>X: @inecnigeria (replies)</t>
        </is>
      </c>
      <c r="F1040" s="22" t="inlineStr">
        <is>
          <t>x:@inecnigeria (replies)</t>
        </is>
      </c>
      <c r="G1040" s="22" t="n">
        <v>-0.822</v>
      </c>
      <c r="H1040" s="22" t="n">
        <v>1</v>
      </c>
      <c r="I1040" s="22" t="n">
        <v>0</v>
      </c>
      <c r="J1040" s="22" t="n">
        <v>0</v>
      </c>
      <c r="K1040" s="22" t="n">
        <v>0</v>
      </c>
      <c r="L1040" s="22" t="n">
        <v>0</v>
      </c>
      <c r="M1040" s="22" t="n">
        <v>0</v>
      </c>
      <c r="N1040" s="22" t="n">
        <v>0</v>
      </c>
      <c r="O1040" s="22" t="n">
        <v>0</v>
      </c>
      <c r="P1040" s="22" t="n">
        <v>0</v>
      </c>
      <c r="Q1040" s="22" t="n">
        <v>0</v>
      </c>
      <c r="R1040" s="22" t="n">
        <v>0</v>
      </c>
      <c r="S1040" s="22" t="n">
        <v>0</v>
      </c>
      <c r="T1040" s="22" t="n">
        <v>0</v>
      </c>
      <c r="U1040" s="3">
        <f>IF(OR(N1040=1,Q1040=1),1,0)</f>
        <v/>
      </c>
      <c r="V1040" s="3">
        <f>IF(OR(T1040=1,P1040=1),1,0)</f>
        <v/>
      </c>
      <c r="W1040" s="3">
        <f>IF(OR(J1040=1),1,0)</f>
        <v/>
      </c>
      <c r="X1040" s="3">
        <f>IF(OR(I1040=1,H1040=1),1,0)</f>
        <v/>
      </c>
      <c r="Y1040" s="3">
        <f>IF(OR(G1040=1),1,0)</f>
        <v/>
      </c>
      <c r="Z1040" s="3">
        <f>IF(OR(F1040=1),1,0)</f>
        <v/>
      </c>
      <c r="AA1040" s="3">
        <f>IF(OR(M1040=1),1,0)</f>
        <v/>
      </c>
    </row>
    <row r="1041">
      <c r="A1041" s="22" t="inlineStr">
        <is>
          <t>fb32a23058deca18a47835a2aa54320924b8bfc5</t>
        </is>
      </c>
      <c r="B1041" s="22" t="inlineStr">
        <is>
          <t>2026-10</t>
        </is>
      </c>
      <c r="C1041" s="22" t="inlineStr">
        <is>
          <t>X</t>
        </is>
      </c>
      <c r="D1041" s="22" t="n">
        <v>0</v>
      </c>
      <c r="E1041" s="22" t="inlineStr">
        <is>
          <t>X: @inecnigeria (replies)</t>
        </is>
      </c>
      <c r="F1041" s="22" t="inlineStr">
        <is>
          <t>x:@inecnigeria (replies)</t>
        </is>
      </c>
      <c r="G1041" s="22" t="n">
        <v>0</v>
      </c>
      <c r="H1041" s="22" t="n">
        <v>0</v>
      </c>
      <c r="I1041" s="22" t="n">
        <v>1</v>
      </c>
      <c r="J1041" s="22" t="n">
        <v>0</v>
      </c>
      <c r="K1041" s="22" t="n">
        <v>0</v>
      </c>
      <c r="L1041" s="22" t="n">
        <v>0</v>
      </c>
      <c r="M1041" s="22" t="n">
        <v>0</v>
      </c>
      <c r="N1041" s="22" t="n">
        <v>0</v>
      </c>
      <c r="O1041" s="22" t="n">
        <v>0</v>
      </c>
      <c r="P1041" s="22" t="n">
        <v>0</v>
      </c>
      <c r="Q1041" s="22" t="n">
        <v>0</v>
      </c>
      <c r="R1041" s="22" t="n">
        <v>0</v>
      </c>
      <c r="S1041" s="22" t="n">
        <v>0</v>
      </c>
      <c r="T1041" s="22" t="n">
        <v>0</v>
      </c>
      <c r="U1041" s="3">
        <f>IF(OR(N1041=1,Q1041=1),1,0)</f>
        <v/>
      </c>
      <c r="V1041" s="3">
        <f>IF(OR(T1041=1,P1041=1),1,0)</f>
        <v/>
      </c>
      <c r="W1041" s="3">
        <f>IF(OR(J1041=1),1,0)</f>
        <v/>
      </c>
      <c r="X1041" s="3">
        <f>IF(OR(I1041=1,H1041=1),1,0)</f>
        <v/>
      </c>
      <c r="Y1041" s="3">
        <f>IF(OR(G1041=1),1,0)</f>
        <v/>
      </c>
      <c r="Z1041" s="3">
        <f>IF(OR(F1041=1),1,0)</f>
        <v/>
      </c>
      <c r="AA1041" s="3">
        <f>IF(OR(M1041=1),1,0)</f>
        <v/>
      </c>
    </row>
    <row r="1042">
      <c r="A1042" s="22" t="inlineStr">
        <is>
          <t>6a6126f0fcdd7375a65a91ed58bfc5ca0834b28b</t>
        </is>
      </c>
      <c r="B1042" s="22" t="inlineStr">
        <is>
          <t>2026-10</t>
        </is>
      </c>
      <c r="C1042" s="22" t="inlineStr">
        <is>
          <t>X</t>
        </is>
      </c>
      <c r="D1042" s="22" t="n">
        <v>0</v>
      </c>
      <c r="E1042" s="22" t="inlineStr">
        <is>
          <t>X: @inecnigeria (replies)</t>
        </is>
      </c>
      <c r="F1042" s="22" t="inlineStr">
        <is>
          <t>x:@inecnigeria (replies)</t>
        </is>
      </c>
      <c r="G1042" s="22" t="n">
        <v>-0.206</v>
      </c>
      <c r="H1042" s="22" t="n">
        <v>1</v>
      </c>
      <c r="I1042" s="22" t="n">
        <v>0</v>
      </c>
      <c r="J1042" s="22" t="n">
        <v>0</v>
      </c>
      <c r="K1042" s="22" t="n">
        <v>0</v>
      </c>
      <c r="L1042" s="22" t="n">
        <v>0</v>
      </c>
      <c r="M1042" s="22" t="n">
        <v>0</v>
      </c>
      <c r="N1042" s="22" t="n">
        <v>0</v>
      </c>
      <c r="O1042" s="22" t="n">
        <v>0</v>
      </c>
      <c r="P1042" s="22" t="n">
        <v>0</v>
      </c>
      <c r="Q1042" s="22" t="n">
        <v>0</v>
      </c>
      <c r="R1042" s="22" t="n">
        <v>0</v>
      </c>
      <c r="S1042" s="22" t="n">
        <v>0</v>
      </c>
      <c r="T1042" s="22" t="n">
        <v>0</v>
      </c>
      <c r="U1042" s="3">
        <f>IF(OR(N1042=1,Q1042=1),1,0)</f>
        <v/>
      </c>
      <c r="V1042" s="3">
        <f>IF(OR(T1042=1,P1042=1),1,0)</f>
        <v/>
      </c>
      <c r="W1042" s="3">
        <f>IF(OR(J1042=1),1,0)</f>
        <v/>
      </c>
      <c r="X1042" s="3">
        <f>IF(OR(I1042=1,H1042=1),1,0)</f>
        <v/>
      </c>
      <c r="Y1042" s="3">
        <f>IF(OR(G1042=1),1,0)</f>
        <v/>
      </c>
      <c r="Z1042" s="3">
        <f>IF(OR(F1042=1),1,0)</f>
        <v/>
      </c>
      <c r="AA1042" s="3">
        <f>IF(OR(M1042=1),1,0)</f>
        <v/>
      </c>
    </row>
    <row r="1043">
      <c r="A1043" s="22" t="inlineStr">
        <is>
          <t>46671657c6710dadbc761b2a4ac3e146b772ff52</t>
        </is>
      </c>
      <c r="B1043" s="22" t="inlineStr">
        <is>
          <t>2026-10</t>
        </is>
      </c>
      <c r="C1043" s="22" t="inlineStr">
        <is>
          <t>X</t>
        </is>
      </c>
      <c r="D1043" s="22" t="n">
        <v>0</v>
      </c>
      <c r="E1043" s="22" t="inlineStr">
        <is>
          <t>X: @inecnigeria (replies)</t>
        </is>
      </c>
      <c r="F1043" s="22" t="inlineStr">
        <is>
          <t>x:@inecnigeria (replies)</t>
        </is>
      </c>
      <c r="G1043" s="22" t="n">
        <v>0.511</v>
      </c>
      <c r="H1043" s="22" t="n">
        <v>1</v>
      </c>
      <c r="I1043" s="22" t="n">
        <v>0</v>
      </c>
      <c r="J1043" s="22" t="n">
        <v>0</v>
      </c>
      <c r="K1043" s="22" t="n">
        <v>0</v>
      </c>
      <c r="L1043" s="22" t="n">
        <v>0</v>
      </c>
      <c r="M1043" s="22" t="n">
        <v>0</v>
      </c>
      <c r="N1043" s="22" t="n">
        <v>0</v>
      </c>
      <c r="O1043" s="22" t="n">
        <v>0</v>
      </c>
      <c r="P1043" s="22" t="n">
        <v>0</v>
      </c>
      <c r="Q1043" s="22" t="n">
        <v>0</v>
      </c>
      <c r="R1043" s="22" t="n">
        <v>0</v>
      </c>
      <c r="S1043" s="22" t="n">
        <v>0</v>
      </c>
      <c r="T1043" s="22" t="n">
        <v>0</v>
      </c>
      <c r="U1043" s="3">
        <f>IF(OR(N1043=1,Q1043=1),1,0)</f>
        <v/>
      </c>
      <c r="V1043" s="3">
        <f>IF(OR(T1043=1,P1043=1),1,0)</f>
        <v/>
      </c>
      <c r="W1043" s="3">
        <f>IF(OR(J1043=1),1,0)</f>
        <v/>
      </c>
      <c r="X1043" s="3">
        <f>IF(OR(I1043=1,H1043=1),1,0)</f>
        <v/>
      </c>
      <c r="Y1043" s="3">
        <f>IF(OR(G1043=1),1,0)</f>
        <v/>
      </c>
      <c r="Z1043" s="3">
        <f>IF(OR(F1043=1),1,0)</f>
        <v/>
      </c>
      <c r="AA1043" s="3">
        <f>IF(OR(M1043=1),1,0)</f>
        <v/>
      </c>
    </row>
    <row r="1044">
      <c r="A1044" s="22" t="inlineStr">
        <is>
          <t>d00311d89d7d2cb065c03bc9756a5fa48534c049</t>
        </is>
      </c>
      <c r="B1044" s="22" t="inlineStr">
        <is>
          <t>2026-10</t>
        </is>
      </c>
      <c r="C1044" s="22" t="inlineStr">
        <is>
          <t>X</t>
        </is>
      </c>
      <c r="D1044" s="22" t="n">
        <v>0</v>
      </c>
      <c r="E1044" s="22" t="inlineStr">
        <is>
          <t>X: @inecnigeria (replies)</t>
        </is>
      </c>
      <c r="F1044" s="22" t="inlineStr">
        <is>
          <t>x:@inecnigeria (replies)</t>
        </is>
      </c>
      <c r="G1044" s="22" t="n">
        <v>0.66</v>
      </c>
      <c r="H1044" s="22" t="n">
        <v>1</v>
      </c>
      <c r="I1044" s="22" t="n">
        <v>1</v>
      </c>
      <c r="J1044" s="22" t="n">
        <v>0</v>
      </c>
      <c r="K1044" s="22" t="n">
        <v>0</v>
      </c>
      <c r="L1044" s="22" t="n">
        <v>0</v>
      </c>
      <c r="M1044" s="22" t="n">
        <v>0</v>
      </c>
      <c r="N1044" s="22" t="n">
        <v>0</v>
      </c>
      <c r="O1044" s="22" t="n">
        <v>0</v>
      </c>
      <c r="P1044" s="22" t="n">
        <v>0</v>
      </c>
      <c r="Q1044" s="22" t="n">
        <v>0</v>
      </c>
      <c r="R1044" s="22" t="n">
        <v>0</v>
      </c>
      <c r="S1044" s="22" t="n">
        <v>0</v>
      </c>
      <c r="T1044" s="22" t="n">
        <v>0</v>
      </c>
      <c r="U1044" s="3">
        <f>IF(OR(N1044=1,Q1044=1),1,0)</f>
        <v/>
      </c>
      <c r="V1044" s="3">
        <f>IF(OR(T1044=1,P1044=1),1,0)</f>
        <v/>
      </c>
      <c r="W1044" s="3">
        <f>IF(OR(J1044=1),1,0)</f>
        <v/>
      </c>
      <c r="X1044" s="3">
        <f>IF(OR(I1044=1,H1044=1),1,0)</f>
        <v/>
      </c>
      <c r="Y1044" s="3">
        <f>IF(OR(G1044=1),1,0)</f>
        <v/>
      </c>
      <c r="Z1044" s="3">
        <f>IF(OR(F1044=1),1,0)</f>
        <v/>
      </c>
      <c r="AA1044" s="3">
        <f>IF(OR(M1044=1),1,0)</f>
        <v/>
      </c>
    </row>
    <row r="1045">
      <c r="A1045" s="22" t="inlineStr">
        <is>
          <t>8b61f1286125ee51d822605bfed76bbb55597272</t>
        </is>
      </c>
      <c r="B1045" s="22" t="inlineStr">
        <is>
          <t>2026-10</t>
        </is>
      </c>
      <c r="C1045" s="22" t="inlineStr">
        <is>
          <t>X</t>
        </is>
      </c>
      <c r="D1045" s="22" t="n">
        <v>0</v>
      </c>
      <c r="E1045" s="22" t="inlineStr">
        <is>
          <t>X: @inecnigeria (replies)</t>
        </is>
      </c>
      <c r="F1045" s="22" t="inlineStr">
        <is>
          <t>x:@inecnigeria (replies)</t>
        </is>
      </c>
      <c r="G1045" s="22" t="n">
        <v>-0.866</v>
      </c>
      <c r="H1045" s="22" t="n">
        <v>1</v>
      </c>
      <c r="I1045" s="22" t="n">
        <v>0</v>
      </c>
      <c r="J1045" s="22" t="n">
        <v>0</v>
      </c>
      <c r="K1045" s="22" t="n">
        <v>0</v>
      </c>
      <c r="L1045" s="22" t="n">
        <v>0</v>
      </c>
      <c r="M1045" s="22" t="n">
        <v>0</v>
      </c>
      <c r="N1045" s="22" t="n">
        <v>0</v>
      </c>
      <c r="O1045" s="22" t="n">
        <v>0</v>
      </c>
      <c r="P1045" s="22" t="n">
        <v>0</v>
      </c>
      <c r="Q1045" s="22" t="n">
        <v>0</v>
      </c>
      <c r="R1045" s="22" t="n">
        <v>0</v>
      </c>
      <c r="S1045" s="22" t="n">
        <v>0</v>
      </c>
      <c r="T1045" s="22" t="n">
        <v>0</v>
      </c>
      <c r="U1045" s="3">
        <f>IF(OR(N1045=1,Q1045=1),1,0)</f>
        <v/>
      </c>
      <c r="V1045" s="3">
        <f>IF(OR(T1045=1,P1045=1),1,0)</f>
        <v/>
      </c>
      <c r="W1045" s="3">
        <f>IF(OR(J1045=1),1,0)</f>
        <v/>
      </c>
      <c r="X1045" s="3">
        <f>IF(OR(I1045=1,H1045=1),1,0)</f>
        <v/>
      </c>
      <c r="Y1045" s="3">
        <f>IF(OR(G1045=1),1,0)</f>
        <v/>
      </c>
      <c r="Z1045" s="3">
        <f>IF(OR(F1045=1),1,0)</f>
        <v/>
      </c>
      <c r="AA1045" s="3">
        <f>IF(OR(M1045=1),1,0)</f>
        <v/>
      </c>
    </row>
    <row r="1046">
      <c r="A1046" s="22" t="inlineStr">
        <is>
          <t>338a60e0bd5ef5fba552e8494bf1f814fc0a3a97</t>
        </is>
      </c>
      <c r="B1046" s="22" t="inlineStr">
        <is>
          <t>2026-10</t>
        </is>
      </c>
      <c r="C1046" s="22" t="inlineStr">
        <is>
          <t>X</t>
        </is>
      </c>
      <c r="D1046" s="22" t="n">
        <v>0</v>
      </c>
      <c r="E1046" s="22" t="inlineStr">
        <is>
          <t>X: @inecnigeria (replies)</t>
        </is>
      </c>
      <c r="F1046" s="22" t="inlineStr">
        <is>
          <t>x:@inecnigeria (replies)</t>
        </is>
      </c>
      <c r="G1046" s="22" t="n">
        <v>-0.864</v>
      </c>
      <c r="H1046" s="22" t="n">
        <v>0</v>
      </c>
      <c r="I1046" s="22" t="n">
        <v>1</v>
      </c>
      <c r="J1046" s="22" t="n">
        <v>0</v>
      </c>
      <c r="K1046" s="22" t="n">
        <v>0</v>
      </c>
      <c r="L1046" s="22" t="n">
        <v>0</v>
      </c>
      <c r="M1046" s="22" t="n">
        <v>0</v>
      </c>
      <c r="N1046" s="22" t="n">
        <v>0</v>
      </c>
      <c r="O1046" s="22" t="n">
        <v>0</v>
      </c>
      <c r="P1046" s="22" t="n">
        <v>0</v>
      </c>
      <c r="Q1046" s="22" t="n">
        <v>0</v>
      </c>
      <c r="R1046" s="22" t="n">
        <v>0</v>
      </c>
      <c r="S1046" s="22" t="n">
        <v>0</v>
      </c>
      <c r="T1046" s="22" t="n">
        <v>0</v>
      </c>
      <c r="U1046" s="3">
        <f>IF(OR(N1046=1,Q1046=1),1,0)</f>
        <v/>
      </c>
      <c r="V1046" s="3">
        <f>IF(OR(T1046=1,P1046=1),1,0)</f>
        <v/>
      </c>
      <c r="W1046" s="3">
        <f>IF(OR(J1046=1),1,0)</f>
        <v/>
      </c>
      <c r="X1046" s="3">
        <f>IF(OR(I1046=1,H1046=1),1,0)</f>
        <v/>
      </c>
      <c r="Y1046" s="3">
        <f>IF(OR(G1046=1),1,0)</f>
        <v/>
      </c>
      <c r="Z1046" s="3">
        <f>IF(OR(F1046=1),1,0)</f>
        <v/>
      </c>
      <c r="AA1046" s="3">
        <f>IF(OR(M1046=1),1,0)</f>
        <v/>
      </c>
    </row>
    <row r="1047">
      <c r="A1047" s="22" t="inlineStr">
        <is>
          <t>df6d3c94cfcf46d2c18322f15620de6cfb29f9bc</t>
        </is>
      </c>
      <c r="B1047" s="22" t="inlineStr">
        <is>
          <t>2026-10</t>
        </is>
      </c>
      <c r="C1047" s="22" t="inlineStr">
        <is>
          <t>X</t>
        </is>
      </c>
      <c r="D1047" s="22" t="n">
        <v>0</v>
      </c>
      <c r="E1047" s="22" t="inlineStr">
        <is>
          <t>X: @inecnigeria (replies)</t>
        </is>
      </c>
      <c r="F1047" s="22" t="inlineStr">
        <is>
          <t>x:@inecnigeria (replies)</t>
        </is>
      </c>
      <c r="G1047" s="22" t="n">
        <v>-0.382</v>
      </c>
      <c r="H1047" s="22" t="n">
        <v>0</v>
      </c>
      <c r="I1047" s="22" t="n">
        <v>0</v>
      </c>
      <c r="J1047" s="22" t="n">
        <v>0</v>
      </c>
      <c r="K1047" s="22" t="n">
        <v>0</v>
      </c>
      <c r="L1047" s="22" t="n">
        <v>0</v>
      </c>
      <c r="M1047" s="22" t="n">
        <v>1</v>
      </c>
      <c r="N1047" s="22" t="n">
        <v>0</v>
      </c>
      <c r="O1047" s="22" t="n">
        <v>0</v>
      </c>
      <c r="P1047" s="22" t="n">
        <v>0</v>
      </c>
      <c r="Q1047" s="22" t="n">
        <v>0</v>
      </c>
      <c r="R1047" s="22" t="n">
        <v>0</v>
      </c>
      <c r="S1047" s="22" t="n">
        <v>0</v>
      </c>
      <c r="T1047" s="22" t="n">
        <v>0</v>
      </c>
      <c r="U1047" s="3">
        <f>IF(OR(N1047=1,Q1047=1),1,0)</f>
        <v/>
      </c>
      <c r="V1047" s="3">
        <f>IF(OR(T1047=1,P1047=1),1,0)</f>
        <v/>
      </c>
      <c r="W1047" s="3">
        <f>IF(OR(J1047=1),1,0)</f>
        <v/>
      </c>
      <c r="X1047" s="3">
        <f>IF(OR(I1047=1,H1047=1),1,0)</f>
        <v/>
      </c>
      <c r="Y1047" s="3">
        <f>IF(OR(G1047=1),1,0)</f>
        <v/>
      </c>
      <c r="Z1047" s="3">
        <f>IF(OR(F1047=1),1,0)</f>
        <v/>
      </c>
      <c r="AA1047" s="3">
        <f>IF(OR(M1047=1),1,0)</f>
        <v/>
      </c>
    </row>
    <row r="1048">
      <c r="A1048" s="22" t="inlineStr">
        <is>
          <t>a8e32b9eb79ee6ed00f11ef871467fabf72655d5</t>
        </is>
      </c>
      <c r="B1048" s="22" t="inlineStr">
        <is>
          <t>2026-10</t>
        </is>
      </c>
      <c r="C1048" s="22" t="inlineStr">
        <is>
          <t>X</t>
        </is>
      </c>
      <c r="D1048" s="22" t="n">
        <v>0</v>
      </c>
      <c r="E1048" s="22" t="inlineStr">
        <is>
          <t>X: @inecnigeria (replies)</t>
        </is>
      </c>
      <c r="F1048" s="22" t="inlineStr">
        <is>
          <t>x:@inecnigeria (replies)</t>
        </is>
      </c>
      <c r="G1048" s="22" t="n">
        <v>-0.765</v>
      </c>
      <c r="H1048" s="22" t="n">
        <v>1</v>
      </c>
      <c r="I1048" s="22" t="n">
        <v>0</v>
      </c>
      <c r="J1048" s="22" t="n">
        <v>0</v>
      </c>
      <c r="K1048" s="22" t="n">
        <v>0</v>
      </c>
      <c r="L1048" s="22" t="n">
        <v>0</v>
      </c>
      <c r="M1048" s="22" t="n">
        <v>1</v>
      </c>
      <c r="N1048" s="22" t="n">
        <v>0</v>
      </c>
      <c r="O1048" s="22" t="n">
        <v>0</v>
      </c>
      <c r="P1048" s="22" t="n">
        <v>0</v>
      </c>
      <c r="Q1048" s="22" t="n">
        <v>0</v>
      </c>
      <c r="R1048" s="22" t="n">
        <v>0</v>
      </c>
      <c r="S1048" s="22" t="n">
        <v>0</v>
      </c>
      <c r="T1048" s="22" t="n">
        <v>0</v>
      </c>
      <c r="U1048" s="3">
        <f>IF(OR(N1048=1,Q1048=1),1,0)</f>
        <v/>
      </c>
      <c r="V1048" s="3">
        <f>IF(OR(T1048=1,P1048=1),1,0)</f>
        <v/>
      </c>
      <c r="W1048" s="3">
        <f>IF(OR(J1048=1),1,0)</f>
        <v/>
      </c>
      <c r="X1048" s="3">
        <f>IF(OR(I1048=1,H1048=1),1,0)</f>
        <v/>
      </c>
      <c r="Y1048" s="3">
        <f>IF(OR(G1048=1),1,0)</f>
        <v/>
      </c>
      <c r="Z1048" s="3">
        <f>IF(OR(F1048=1),1,0)</f>
        <v/>
      </c>
      <c r="AA1048" s="3">
        <f>IF(OR(M1048=1),1,0)</f>
        <v/>
      </c>
    </row>
    <row r="1049">
      <c r="A1049" s="22" t="inlineStr">
        <is>
          <t>79ee7c4c418c1a458a1d3e930a1e2488260fe7cf</t>
        </is>
      </c>
      <c r="B1049" s="22" t="inlineStr">
        <is>
          <t>2026-10</t>
        </is>
      </c>
      <c r="C1049" s="22" t="inlineStr">
        <is>
          <t>X</t>
        </is>
      </c>
      <c r="D1049" s="22" t="n">
        <v>0</v>
      </c>
      <c r="E1049" s="22" t="inlineStr">
        <is>
          <t>X: @inecnigeria (replies)</t>
        </is>
      </c>
      <c r="F1049" s="22" t="inlineStr">
        <is>
          <t>x:@inecnigeria (replies)</t>
        </is>
      </c>
      <c r="G1049" s="22" t="n">
        <v>0.572</v>
      </c>
      <c r="H1049" s="22" t="n">
        <v>1</v>
      </c>
      <c r="I1049" s="22" t="n">
        <v>0</v>
      </c>
      <c r="J1049" s="22" t="n">
        <v>0</v>
      </c>
      <c r="K1049" s="22" t="n">
        <v>0</v>
      </c>
      <c r="L1049" s="22" t="n">
        <v>0</v>
      </c>
      <c r="M1049" s="22" t="n">
        <v>0</v>
      </c>
      <c r="N1049" s="22" t="n">
        <v>0</v>
      </c>
      <c r="O1049" s="22" t="n">
        <v>0</v>
      </c>
      <c r="P1049" s="22" t="n">
        <v>0</v>
      </c>
      <c r="Q1049" s="22" t="n">
        <v>0</v>
      </c>
      <c r="R1049" s="22" t="n">
        <v>0</v>
      </c>
      <c r="S1049" s="22" t="n">
        <v>0</v>
      </c>
      <c r="T1049" s="22" t="n">
        <v>0</v>
      </c>
      <c r="U1049" s="3">
        <f>IF(OR(N1049=1,Q1049=1),1,0)</f>
        <v/>
      </c>
      <c r="V1049" s="3">
        <f>IF(OR(T1049=1,P1049=1),1,0)</f>
        <v/>
      </c>
      <c r="W1049" s="3">
        <f>IF(OR(J1049=1),1,0)</f>
        <v/>
      </c>
      <c r="X1049" s="3">
        <f>IF(OR(I1049=1,H1049=1),1,0)</f>
        <v/>
      </c>
      <c r="Y1049" s="3">
        <f>IF(OR(G1049=1),1,0)</f>
        <v/>
      </c>
      <c r="Z1049" s="3">
        <f>IF(OR(F1049=1),1,0)</f>
        <v/>
      </c>
      <c r="AA1049" s="3">
        <f>IF(OR(M1049=1),1,0)</f>
        <v/>
      </c>
    </row>
    <row r="1050">
      <c r="A1050" s="22" t="inlineStr">
        <is>
          <t>375ed6bbe9c2dd5dbf0b8aac21d284e851ca5f70</t>
        </is>
      </c>
      <c r="B1050" s="22" t="inlineStr">
        <is>
          <t>2026-10</t>
        </is>
      </c>
      <c r="C1050" s="22" t="inlineStr">
        <is>
          <t>X</t>
        </is>
      </c>
      <c r="D1050" s="22" t="n">
        <v>0</v>
      </c>
      <c r="E1050" s="22" t="inlineStr">
        <is>
          <t>X: @inecnigeria (replies)</t>
        </is>
      </c>
      <c r="F1050" s="22" t="inlineStr">
        <is>
          <t>x:@inecnigeria (replies)</t>
        </is>
      </c>
      <c r="G1050" s="22" t="n">
        <v>0.422</v>
      </c>
      <c r="H1050" s="22" t="n">
        <v>1</v>
      </c>
      <c r="I1050" s="22" t="n">
        <v>0</v>
      </c>
      <c r="J1050" s="22" t="n">
        <v>0</v>
      </c>
      <c r="K1050" s="22" t="n">
        <v>0</v>
      </c>
      <c r="L1050" s="22" t="n">
        <v>0</v>
      </c>
      <c r="M1050" s="22" t="n">
        <v>0</v>
      </c>
      <c r="N1050" s="22" t="n">
        <v>0</v>
      </c>
      <c r="O1050" s="22" t="n">
        <v>0</v>
      </c>
      <c r="P1050" s="22" t="n">
        <v>0</v>
      </c>
      <c r="Q1050" s="22" t="n">
        <v>0</v>
      </c>
      <c r="R1050" s="22" t="n">
        <v>0</v>
      </c>
      <c r="S1050" s="22" t="n">
        <v>0</v>
      </c>
      <c r="T1050" s="22" t="n">
        <v>0</v>
      </c>
      <c r="U1050" s="3">
        <f>IF(OR(N1050=1,Q1050=1),1,0)</f>
        <v/>
      </c>
      <c r="V1050" s="3">
        <f>IF(OR(T1050=1,P1050=1),1,0)</f>
        <v/>
      </c>
      <c r="W1050" s="3">
        <f>IF(OR(J1050=1),1,0)</f>
        <v/>
      </c>
      <c r="X1050" s="3">
        <f>IF(OR(I1050=1,H1050=1),1,0)</f>
        <v/>
      </c>
      <c r="Y1050" s="3">
        <f>IF(OR(G1050=1),1,0)</f>
        <v/>
      </c>
      <c r="Z1050" s="3">
        <f>IF(OR(F1050=1),1,0)</f>
        <v/>
      </c>
      <c r="AA1050" s="3">
        <f>IF(OR(M1050=1),1,0)</f>
        <v/>
      </c>
    </row>
    <row r="1051">
      <c r="A1051" s="22" t="inlineStr">
        <is>
          <t>dc3161289cdd680d1b7c4564746e640a69c33bd9</t>
        </is>
      </c>
      <c r="B1051" s="22" t="inlineStr">
        <is>
          <t>2026-10</t>
        </is>
      </c>
      <c r="C1051" s="22" t="inlineStr">
        <is>
          <t>X</t>
        </is>
      </c>
      <c r="D1051" s="22" t="n">
        <v>0</v>
      </c>
      <c r="E1051" s="22" t="inlineStr">
        <is>
          <t>X: @inecnigeria (replies)</t>
        </is>
      </c>
      <c r="F1051" s="22" t="inlineStr">
        <is>
          <t>x:@inecnigeria (replies)</t>
        </is>
      </c>
      <c r="G1051" s="22" t="n">
        <v>-0.178</v>
      </c>
      <c r="H1051" s="22" t="n">
        <v>0</v>
      </c>
      <c r="I1051" s="22" t="n">
        <v>1</v>
      </c>
      <c r="J1051" s="22" t="n">
        <v>0</v>
      </c>
      <c r="K1051" s="22" t="n">
        <v>0</v>
      </c>
      <c r="L1051" s="22" t="n">
        <v>0</v>
      </c>
      <c r="M1051" s="22" t="n">
        <v>0</v>
      </c>
      <c r="N1051" s="22" t="n">
        <v>0</v>
      </c>
      <c r="O1051" s="22" t="n">
        <v>0</v>
      </c>
      <c r="P1051" s="22" t="n">
        <v>0</v>
      </c>
      <c r="Q1051" s="22" t="n">
        <v>0</v>
      </c>
      <c r="R1051" s="22" t="n">
        <v>0</v>
      </c>
      <c r="S1051" s="22" t="n">
        <v>0</v>
      </c>
      <c r="T1051" s="22" t="n">
        <v>0</v>
      </c>
      <c r="U1051" s="3">
        <f>IF(OR(N1051=1,Q1051=1),1,0)</f>
        <v/>
      </c>
      <c r="V1051" s="3">
        <f>IF(OR(T1051=1,P1051=1),1,0)</f>
        <v/>
      </c>
      <c r="W1051" s="3">
        <f>IF(OR(J1051=1),1,0)</f>
        <v/>
      </c>
      <c r="X1051" s="3">
        <f>IF(OR(I1051=1,H1051=1),1,0)</f>
        <v/>
      </c>
      <c r="Y1051" s="3">
        <f>IF(OR(G1051=1),1,0)</f>
        <v/>
      </c>
      <c r="Z1051" s="3">
        <f>IF(OR(F1051=1),1,0)</f>
        <v/>
      </c>
      <c r="AA1051" s="3">
        <f>IF(OR(M1051=1),1,0)</f>
        <v/>
      </c>
    </row>
    <row r="1052">
      <c r="A1052" s="22" t="inlineStr">
        <is>
          <t>7dd16bbe06fa7981b0de5dc725bada84d36d78bb</t>
        </is>
      </c>
      <c r="B1052" s="22" t="inlineStr">
        <is>
          <t>2026-10</t>
        </is>
      </c>
      <c r="C1052" s="22" t="inlineStr">
        <is>
          <t>X</t>
        </is>
      </c>
      <c r="D1052" s="22" t="n">
        <v>0</v>
      </c>
      <c r="E1052" s="22" t="inlineStr">
        <is>
          <t>X: @inecnigeria (replies)</t>
        </is>
      </c>
      <c r="F1052" s="22" t="inlineStr">
        <is>
          <t>x:@inecnigeria (replies)</t>
        </is>
      </c>
      <c r="G1052" s="22" t="n">
        <v>-0.697</v>
      </c>
      <c r="H1052" s="22" t="n">
        <v>0</v>
      </c>
      <c r="I1052" s="22" t="n">
        <v>1</v>
      </c>
      <c r="J1052" s="22" t="n">
        <v>0</v>
      </c>
      <c r="K1052" s="22" t="n">
        <v>0</v>
      </c>
      <c r="L1052" s="22" t="n">
        <v>0</v>
      </c>
      <c r="M1052" s="22" t="n">
        <v>1</v>
      </c>
      <c r="N1052" s="22" t="n">
        <v>0</v>
      </c>
      <c r="O1052" s="22" t="n">
        <v>0</v>
      </c>
      <c r="P1052" s="22" t="n">
        <v>0</v>
      </c>
      <c r="Q1052" s="22" t="n">
        <v>0</v>
      </c>
      <c r="R1052" s="22" t="n">
        <v>0</v>
      </c>
      <c r="S1052" s="22" t="n">
        <v>0</v>
      </c>
      <c r="T1052" s="22" t="n">
        <v>0</v>
      </c>
      <c r="U1052" s="3">
        <f>IF(OR(N1052=1,Q1052=1),1,0)</f>
        <v/>
      </c>
      <c r="V1052" s="3">
        <f>IF(OR(T1052=1,P1052=1),1,0)</f>
        <v/>
      </c>
      <c r="W1052" s="3">
        <f>IF(OR(J1052=1),1,0)</f>
        <v/>
      </c>
      <c r="X1052" s="3">
        <f>IF(OR(I1052=1,H1052=1),1,0)</f>
        <v/>
      </c>
      <c r="Y1052" s="3">
        <f>IF(OR(G1052=1),1,0)</f>
        <v/>
      </c>
      <c r="Z1052" s="3">
        <f>IF(OR(F1052=1),1,0)</f>
        <v/>
      </c>
      <c r="AA1052" s="3">
        <f>IF(OR(M1052=1),1,0)</f>
        <v/>
      </c>
    </row>
    <row r="1053">
      <c r="A1053" s="22" t="inlineStr">
        <is>
          <t>45d54b7ad9cfa1f9c082f4c6d5b929d9bad0b4b1</t>
        </is>
      </c>
      <c r="B1053" s="22" t="inlineStr">
        <is>
          <t>2026-10</t>
        </is>
      </c>
      <c r="C1053" s="22" t="inlineStr">
        <is>
          <t>X</t>
        </is>
      </c>
      <c r="D1053" s="22" t="n">
        <v>0</v>
      </c>
      <c r="E1053" s="22" t="inlineStr">
        <is>
          <t>X: @inecnigeria (replies)</t>
        </is>
      </c>
      <c r="F1053" s="22" t="inlineStr">
        <is>
          <t>x:@inecnigeria (replies)</t>
        </is>
      </c>
      <c r="G1053" s="22" t="n">
        <v>0.619</v>
      </c>
      <c r="H1053" s="22" t="n">
        <v>1</v>
      </c>
      <c r="I1053" s="22" t="n">
        <v>0</v>
      </c>
      <c r="J1053" s="22" t="n">
        <v>0</v>
      </c>
      <c r="K1053" s="22" t="n">
        <v>0</v>
      </c>
      <c r="L1053" s="22" t="n">
        <v>0</v>
      </c>
      <c r="M1053" s="22" t="n">
        <v>0</v>
      </c>
      <c r="N1053" s="22" t="n">
        <v>0</v>
      </c>
      <c r="O1053" s="22" t="n">
        <v>0</v>
      </c>
      <c r="P1053" s="22" t="n">
        <v>0</v>
      </c>
      <c r="Q1053" s="22" t="n">
        <v>0</v>
      </c>
      <c r="R1053" s="22" t="n">
        <v>0</v>
      </c>
      <c r="S1053" s="22" t="n">
        <v>0</v>
      </c>
      <c r="T1053" s="22" t="n">
        <v>0</v>
      </c>
      <c r="U1053" s="3">
        <f>IF(OR(N1053=1,Q1053=1),1,0)</f>
        <v/>
      </c>
      <c r="V1053" s="3">
        <f>IF(OR(T1053=1,P1053=1),1,0)</f>
        <v/>
      </c>
      <c r="W1053" s="3">
        <f>IF(OR(J1053=1),1,0)</f>
        <v/>
      </c>
      <c r="X1053" s="3">
        <f>IF(OR(I1053=1,H1053=1),1,0)</f>
        <v/>
      </c>
      <c r="Y1053" s="3">
        <f>IF(OR(G1053=1),1,0)</f>
        <v/>
      </c>
      <c r="Z1053" s="3">
        <f>IF(OR(F1053=1),1,0)</f>
        <v/>
      </c>
      <c r="AA1053" s="3">
        <f>IF(OR(M1053=1),1,0)</f>
        <v/>
      </c>
    </row>
    <row r="1054">
      <c r="A1054" s="22" t="inlineStr">
        <is>
          <t>73f26fce5872392fc05abd41d13c750ad00f8b75</t>
        </is>
      </c>
      <c r="B1054" s="22" t="inlineStr">
        <is>
          <t>2026-10</t>
        </is>
      </c>
      <c r="C1054" s="22" t="inlineStr">
        <is>
          <t>X</t>
        </is>
      </c>
      <c r="D1054" s="22" t="n">
        <v>0</v>
      </c>
      <c r="E1054" s="22" t="inlineStr">
        <is>
          <t>X: @inecnigeria (replies)</t>
        </is>
      </c>
      <c r="F1054" s="22" t="inlineStr">
        <is>
          <t>x:@inecnigeria (replies)</t>
        </is>
      </c>
      <c r="G1054" s="22" t="n">
        <v>-0.468</v>
      </c>
      <c r="H1054" s="22" t="n">
        <v>0</v>
      </c>
      <c r="I1054" s="22" t="n">
        <v>0</v>
      </c>
      <c r="J1054" s="22" t="n">
        <v>0</v>
      </c>
      <c r="K1054" s="22" t="n">
        <v>0</v>
      </c>
      <c r="L1054" s="22" t="n">
        <v>0</v>
      </c>
      <c r="M1054" s="22" t="n">
        <v>1</v>
      </c>
      <c r="N1054" s="22" t="n">
        <v>0</v>
      </c>
      <c r="O1054" s="22" t="n">
        <v>0</v>
      </c>
      <c r="P1054" s="22" t="n">
        <v>0</v>
      </c>
      <c r="Q1054" s="22" t="n">
        <v>0</v>
      </c>
      <c r="R1054" s="22" t="n">
        <v>0</v>
      </c>
      <c r="S1054" s="22" t="n">
        <v>0</v>
      </c>
      <c r="T1054" s="22" t="n">
        <v>0</v>
      </c>
      <c r="U1054" s="3">
        <f>IF(OR(N1054=1,Q1054=1),1,0)</f>
        <v/>
      </c>
      <c r="V1054" s="3">
        <f>IF(OR(T1054=1,P1054=1),1,0)</f>
        <v/>
      </c>
      <c r="W1054" s="3">
        <f>IF(OR(J1054=1),1,0)</f>
        <v/>
      </c>
      <c r="X1054" s="3">
        <f>IF(OR(I1054=1,H1054=1),1,0)</f>
        <v/>
      </c>
      <c r="Y1054" s="3">
        <f>IF(OR(G1054=1),1,0)</f>
        <v/>
      </c>
      <c r="Z1054" s="3">
        <f>IF(OR(F1054=1),1,0)</f>
        <v/>
      </c>
      <c r="AA1054" s="3">
        <f>IF(OR(M1054=1),1,0)</f>
        <v/>
      </c>
    </row>
    <row r="1055">
      <c r="A1055" s="22" t="inlineStr">
        <is>
          <t>23f02593e294c10fbef3d4eedcac6a5cc0d8bd8e</t>
        </is>
      </c>
      <c r="B1055" s="22" t="inlineStr">
        <is>
          <t>2026-10</t>
        </is>
      </c>
      <c r="C1055" s="22" t="inlineStr">
        <is>
          <t>X</t>
        </is>
      </c>
      <c r="D1055" s="22" t="n">
        <v>0</v>
      </c>
      <c r="E1055" s="22" t="inlineStr">
        <is>
          <t>X: @inecnigeria (replies)</t>
        </is>
      </c>
      <c r="F1055" s="22" t="inlineStr">
        <is>
          <t>x:@inecnigeria (replies)</t>
        </is>
      </c>
      <c r="G1055" s="22" t="n">
        <v>0.799</v>
      </c>
      <c r="H1055" s="22" t="n">
        <v>0</v>
      </c>
      <c r="I1055" s="22" t="n">
        <v>1</v>
      </c>
      <c r="J1055" s="22" t="n">
        <v>0</v>
      </c>
      <c r="K1055" s="22" t="n">
        <v>0</v>
      </c>
      <c r="L1055" s="22" t="n">
        <v>0</v>
      </c>
      <c r="M1055" s="22" t="n">
        <v>0</v>
      </c>
      <c r="N1055" s="22" t="n">
        <v>0</v>
      </c>
      <c r="O1055" s="22" t="n">
        <v>0</v>
      </c>
      <c r="P1055" s="22" t="n">
        <v>0</v>
      </c>
      <c r="Q1055" s="22" t="n">
        <v>0</v>
      </c>
      <c r="R1055" s="22" t="n">
        <v>0</v>
      </c>
      <c r="S1055" s="22" t="n">
        <v>0</v>
      </c>
      <c r="T1055" s="22" t="n">
        <v>0</v>
      </c>
      <c r="U1055" s="3">
        <f>IF(OR(N1055=1,Q1055=1),1,0)</f>
        <v/>
      </c>
      <c r="V1055" s="3">
        <f>IF(OR(T1055=1,P1055=1),1,0)</f>
        <v/>
      </c>
      <c r="W1055" s="3">
        <f>IF(OR(J1055=1),1,0)</f>
        <v/>
      </c>
      <c r="X1055" s="3">
        <f>IF(OR(I1055=1,H1055=1),1,0)</f>
        <v/>
      </c>
      <c r="Y1055" s="3">
        <f>IF(OR(G1055=1),1,0)</f>
        <v/>
      </c>
      <c r="Z1055" s="3">
        <f>IF(OR(F1055=1),1,0)</f>
        <v/>
      </c>
      <c r="AA1055" s="3">
        <f>IF(OR(M1055=1),1,0)</f>
        <v/>
      </c>
    </row>
    <row r="1056">
      <c r="A1056" s="22" t="inlineStr">
        <is>
          <t>3fff20dec5e48224ef70bdba109a8e9c9b4798ef</t>
        </is>
      </c>
      <c r="B1056" s="22" t="inlineStr">
        <is>
          <t>2026-10</t>
        </is>
      </c>
      <c r="C1056" s="22" t="inlineStr">
        <is>
          <t>X</t>
        </is>
      </c>
      <c r="D1056" s="22" t="n">
        <v>0</v>
      </c>
      <c r="E1056" s="22" t="inlineStr">
        <is>
          <t>X: @inecnigeria (replies)</t>
        </is>
      </c>
      <c r="F1056" s="22" t="inlineStr">
        <is>
          <t>x:@inecnigeria (replies)</t>
        </is>
      </c>
      <c r="G1056" s="22" t="n">
        <v>0.751</v>
      </c>
      <c r="H1056" s="22" t="n">
        <v>1</v>
      </c>
      <c r="I1056" s="22" t="n">
        <v>0</v>
      </c>
      <c r="J1056" s="22" t="n">
        <v>0</v>
      </c>
      <c r="K1056" s="22" t="n">
        <v>0</v>
      </c>
      <c r="L1056" s="22" t="n">
        <v>0</v>
      </c>
      <c r="M1056" s="22" t="n">
        <v>0</v>
      </c>
      <c r="N1056" s="22" t="n">
        <v>0</v>
      </c>
      <c r="O1056" s="22" t="n">
        <v>0</v>
      </c>
      <c r="P1056" s="22" t="n">
        <v>0</v>
      </c>
      <c r="Q1056" s="22" t="n">
        <v>0</v>
      </c>
      <c r="R1056" s="22" t="n">
        <v>0</v>
      </c>
      <c r="S1056" s="22" t="n">
        <v>0</v>
      </c>
      <c r="T1056" s="22" t="n">
        <v>0</v>
      </c>
      <c r="U1056" s="3">
        <f>IF(OR(N1056=1,Q1056=1),1,0)</f>
        <v/>
      </c>
      <c r="V1056" s="3">
        <f>IF(OR(T1056=1,P1056=1),1,0)</f>
        <v/>
      </c>
      <c r="W1056" s="3">
        <f>IF(OR(J1056=1),1,0)</f>
        <v/>
      </c>
      <c r="X1056" s="3">
        <f>IF(OR(I1056=1,H1056=1),1,0)</f>
        <v/>
      </c>
      <c r="Y1056" s="3">
        <f>IF(OR(G1056=1),1,0)</f>
        <v/>
      </c>
      <c r="Z1056" s="3">
        <f>IF(OR(F1056=1),1,0)</f>
        <v/>
      </c>
      <c r="AA1056" s="3">
        <f>IF(OR(M1056=1),1,0)</f>
        <v/>
      </c>
    </row>
    <row r="1057">
      <c r="A1057" s="22" t="inlineStr">
        <is>
          <t>b0cbcf755a9b988af2ffa6dc83468c97c117e1a5</t>
        </is>
      </c>
      <c r="B1057" s="22" t="inlineStr">
        <is>
          <t>2026-10</t>
        </is>
      </c>
      <c r="C1057" s="22" t="inlineStr">
        <is>
          <t>X</t>
        </is>
      </c>
      <c r="D1057" s="22" t="n">
        <v>0</v>
      </c>
      <c r="E1057" s="22" t="inlineStr">
        <is>
          <t>X: @inecnigeria (replies)</t>
        </is>
      </c>
      <c r="F1057" s="22" t="inlineStr">
        <is>
          <t>x:@inecnigeria (replies)</t>
        </is>
      </c>
      <c r="G1057" s="22" t="n">
        <v>-0.586</v>
      </c>
      <c r="H1057" s="22" t="n">
        <v>1</v>
      </c>
      <c r="I1057" s="22" t="n">
        <v>0</v>
      </c>
      <c r="J1057" s="22" t="n">
        <v>0</v>
      </c>
      <c r="K1057" s="22" t="n">
        <v>0</v>
      </c>
      <c r="L1057" s="22" t="n">
        <v>0</v>
      </c>
      <c r="M1057" s="22" t="n">
        <v>0</v>
      </c>
      <c r="N1057" s="22" t="n">
        <v>0</v>
      </c>
      <c r="O1057" s="22" t="n">
        <v>0</v>
      </c>
      <c r="P1057" s="22" t="n">
        <v>0</v>
      </c>
      <c r="Q1057" s="22" t="n">
        <v>0</v>
      </c>
      <c r="R1057" s="22" t="n">
        <v>0</v>
      </c>
      <c r="S1057" s="22" t="n">
        <v>0</v>
      </c>
      <c r="T1057" s="22" t="n">
        <v>0</v>
      </c>
      <c r="U1057" s="3">
        <f>IF(OR(N1057=1,Q1057=1),1,0)</f>
        <v/>
      </c>
      <c r="V1057" s="3">
        <f>IF(OR(T1057=1,P1057=1),1,0)</f>
        <v/>
      </c>
      <c r="W1057" s="3">
        <f>IF(OR(J1057=1),1,0)</f>
        <v/>
      </c>
      <c r="X1057" s="3">
        <f>IF(OR(I1057=1,H1057=1),1,0)</f>
        <v/>
      </c>
      <c r="Y1057" s="3">
        <f>IF(OR(G1057=1),1,0)</f>
        <v/>
      </c>
      <c r="Z1057" s="3">
        <f>IF(OR(F1057=1),1,0)</f>
        <v/>
      </c>
      <c r="AA1057" s="3">
        <f>IF(OR(M1057=1),1,0)</f>
        <v/>
      </c>
    </row>
    <row r="1058">
      <c r="A1058" s="22" t="inlineStr">
        <is>
          <t>0c9ce07dbf979663934c3ce9b16b1f429cc5f191</t>
        </is>
      </c>
      <c r="B1058" s="22" t="inlineStr">
        <is>
          <t>2026-10</t>
        </is>
      </c>
      <c r="C1058" s="22" t="inlineStr">
        <is>
          <t>X</t>
        </is>
      </c>
      <c r="D1058" s="22" t="n">
        <v>0</v>
      </c>
      <c r="E1058" s="22" t="inlineStr">
        <is>
          <t>X: @inecnigeria (replies)</t>
        </is>
      </c>
      <c r="F1058" s="22" t="inlineStr">
        <is>
          <t>x:@inecnigeria (replies)</t>
        </is>
      </c>
      <c r="G1058" s="22" t="n">
        <v>-0.431</v>
      </c>
      <c r="H1058" s="22" t="n">
        <v>0</v>
      </c>
      <c r="I1058" s="22" t="n">
        <v>1</v>
      </c>
      <c r="J1058" s="22" t="n">
        <v>0</v>
      </c>
      <c r="K1058" s="22" t="n">
        <v>0</v>
      </c>
      <c r="L1058" s="22" t="n">
        <v>0</v>
      </c>
      <c r="M1058" s="22" t="n">
        <v>0</v>
      </c>
      <c r="N1058" s="22" t="n">
        <v>0</v>
      </c>
      <c r="O1058" s="22" t="n">
        <v>0</v>
      </c>
      <c r="P1058" s="22" t="n">
        <v>0</v>
      </c>
      <c r="Q1058" s="22" t="n">
        <v>0</v>
      </c>
      <c r="R1058" s="22" t="n">
        <v>0</v>
      </c>
      <c r="S1058" s="22" t="n">
        <v>0</v>
      </c>
      <c r="T1058" s="22" t="n">
        <v>0</v>
      </c>
      <c r="U1058" s="3">
        <f>IF(OR(N1058=1,Q1058=1),1,0)</f>
        <v/>
      </c>
      <c r="V1058" s="3">
        <f>IF(OR(T1058=1,P1058=1),1,0)</f>
        <v/>
      </c>
      <c r="W1058" s="3">
        <f>IF(OR(J1058=1),1,0)</f>
        <v/>
      </c>
      <c r="X1058" s="3">
        <f>IF(OR(I1058=1,H1058=1),1,0)</f>
        <v/>
      </c>
      <c r="Y1058" s="3">
        <f>IF(OR(G1058=1),1,0)</f>
        <v/>
      </c>
      <c r="Z1058" s="3">
        <f>IF(OR(F1058=1),1,0)</f>
        <v/>
      </c>
      <c r="AA1058" s="3">
        <f>IF(OR(M1058=1),1,0)</f>
        <v/>
      </c>
    </row>
    <row r="1059">
      <c r="A1059" s="22" t="inlineStr">
        <is>
          <t>b9a588d9c286b771c78b8b55e9c185b754ec00f0</t>
        </is>
      </c>
      <c r="B1059" s="22" t="inlineStr">
        <is>
          <t>2026-10</t>
        </is>
      </c>
      <c r="C1059" s="22" t="inlineStr">
        <is>
          <t>X</t>
        </is>
      </c>
      <c r="D1059" s="22" t="n">
        <v>0</v>
      </c>
      <c r="E1059" s="22" t="inlineStr">
        <is>
          <t>X: @inecnigeria (replies)</t>
        </is>
      </c>
      <c r="F1059" s="22" t="inlineStr">
        <is>
          <t>x:@inecnigeria (replies)</t>
        </is>
      </c>
      <c r="G1059" s="22" t="n">
        <v>0.511</v>
      </c>
      <c r="H1059" s="22" t="n">
        <v>0</v>
      </c>
      <c r="I1059" s="22" t="n">
        <v>0</v>
      </c>
      <c r="J1059" s="22" t="n">
        <v>0</v>
      </c>
      <c r="K1059" s="22" t="n">
        <v>0</v>
      </c>
      <c r="L1059" s="22" t="n">
        <v>0</v>
      </c>
      <c r="M1059" s="22" t="n">
        <v>1</v>
      </c>
      <c r="N1059" s="22" t="n">
        <v>0</v>
      </c>
      <c r="O1059" s="22" t="n">
        <v>0</v>
      </c>
      <c r="P1059" s="22" t="n">
        <v>0</v>
      </c>
      <c r="Q1059" s="22" t="n">
        <v>0</v>
      </c>
      <c r="R1059" s="22" t="n">
        <v>0</v>
      </c>
      <c r="S1059" s="22" t="n">
        <v>0</v>
      </c>
      <c r="T1059" s="22" t="n">
        <v>0</v>
      </c>
      <c r="U1059" s="3">
        <f>IF(OR(N1059=1,Q1059=1),1,0)</f>
        <v/>
      </c>
      <c r="V1059" s="3">
        <f>IF(OR(T1059=1,P1059=1),1,0)</f>
        <v/>
      </c>
      <c r="W1059" s="3">
        <f>IF(OR(J1059=1),1,0)</f>
        <v/>
      </c>
      <c r="X1059" s="3">
        <f>IF(OR(I1059=1,H1059=1),1,0)</f>
        <v/>
      </c>
      <c r="Y1059" s="3">
        <f>IF(OR(G1059=1),1,0)</f>
        <v/>
      </c>
      <c r="Z1059" s="3">
        <f>IF(OR(F1059=1),1,0)</f>
        <v/>
      </c>
      <c r="AA1059" s="3">
        <f>IF(OR(M1059=1),1,0)</f>
        <v/>
      </c>
    </row>
    <row r="1060">
      <c r="A1060" s="22" t="inlineStr">
        <is>
          <t>507b93e216257df88f45c89b9710cff246c962da</t>
        </is>
      </c>
      <c r="B1060" s="22" t="inlineStr">
        <is>
          <t>2026-10</t>
        </is>
      </c>
      <c r="C1060" s="22" t="inlineStr">
        <is>
          <t>X</t>
        </is>
      </c>
      <c r="D1060" s="22" t="n">
        <v>0</v>
      </c>
      <c r="E1060" s="22" t="inlineStr">
        <is>
          <t>X: @inecnigeria (replies)</t>
        </is>
      </c>
      <c r="F1060" s="22" t="inlineStr">
        <is>
          <t>x:@inecnigeria (replies)</t>
        </is>
      </c>
      <c r="G1060" s="22" t="n">
        <v>0.638</v>
      </c>
      <c r="H1060" s="22" t="n">
        <v>0</v>
      </c>
      <c r="I1060" s="22" t="n">
        <v>1</v>
      </c>
      <c r="J1060" s="22" t="n">
        <v>0</v>
      </c>
      <c r="K1060" s="22" t="n">
        <v>0</v>
      </c>
      <c r="L1060" s="22" t="n">
        <v>0</v>
      </c>
      <c r="M1060" s="22" t="n">
        <v>0</v>
      </c>
      <c r="N1060" s="22" t="n">
        <v>0</v>
      </c>
      <c r="O1060" s="22" t="n">
        <v>0</v>
      </c>
      <c r="P1060" s="22" t="n">
        <v>1</v>
      </c>
      <c r="Q1060" s="22" t="n">
        <v>0</v>
      </c>
      <c r="R1060" s="22" t="n">
        <v>0</v>
      </c>
      <c r="S1060" s="22" t="n">
        <v>0</v>
      </c>
      <c r="T1060" s="22" t="n">
        <v>0</v>
      </c>
      <c r="U1060" s="3">
        <f>IF(OR(N1060=1,Q1060=1),1,0)</f>
        <v/>
      </c>
      <c r="V1060" s="3">
        <f>IF(OR(T1060=1,P1060=1),1,0)</f>
        <v/>
      </c>
      <c r="W1060" s="3">
        <f>IF(OR(J1060=1),1,0)</f>
        <v/>
      </c>
      <c r="X1060" s="3">
        <f>IF(OR(I1060=1,H1060=1),1,0)</f>
        <v/>
      </c>
      <c r="Y1060" s="3">
        <f>IF(OR(G1060=1),1,0)</f>
        <v/>
      </c>
      <c r="Z1060" s="3">
        <f>IF(OR(F1060=1),1,0)</f>
        <v/>
      </c>
      <c r="AA1060" s="3">
        <f>IF(OR(M1060=1),1,0)</f>
        <v/>
      </c>
    </row>
    <row r="1061">
      <c r="A1061" s="22" t="inlineStr">
        <is>
          <t>d63d3b29d046e8cf0bc11143e06a7f4f367176c5</t>
        </is>
      </c>
      <c r="B1061" s="22" t="inlineStr">
        <is>
          <t>2026-10</t>
        </is>
      </c>
      <c r="C1061" s="22" t="inlineStr">
        <is>
          <t>X</t>
        </is>
      </c>
      <c r="D1061" s="22" t="n">
        <v>0</v>
      </c>
      <c r="E1061" s="22" t="inlineStr">
        <is>
          <t>X: @inecnigeria (replies)</t>
        </is>
      </c>
      <c r="F1061" s="22" t="inlineStr">
        <is>
          <t>x:@inecnigeria (replies)</t>
        </is>
      </c>
      <c r="G1061" s="22" t="n">
        <v>0.052</v>
      </c>
      <c r="H1061" s="22" t="n">
        <v>1</v>
      </c>
      <c r="I1061" s="22" t="n">
        <v>0</v>
      </c>
      <c r="J1061" s="22" t="n">
        <v>0</v>
      </c>
      <c r="K1061" s="22" t="n">
        <v>0</v>
      </c>
      <c r="L1061" s="22" t="n">
        <v>0</v>
      </c>
      <c r="M1061" s="22" t="n">
        <v>0</v>
      </c>
      <c r="N1061" s="22" t="n">
        <v>0</v>
      </c>
      <c r="O1061" s="22" t="n">
        <v>0</v>
      </c>
      <c r="P1061" s="22" t="n">
        <v>0</v>
      </c>
      <c r="Q1061" s="22" t="n">
        <v>0</v>
      </c>
      <c r="R1061" s="22" t="n">
        <v>0</v>
      </c>
      <c r="S1061" s="22" t="n">
        <v>0</v>
      </c>
      <c r="T1061" s="22" t="n">
        <v>0</v>
      </c>
      <c r="U1061" s="3">
        <f>IF(OR(N1061=1,Q1061=1),1,0)</f>
        <v/>
      </c>
      <c r="V1061" s="3">
        <f>IF(OR(T1061=1,P1061=1),1,0)</f>
        <v/>
      </c>
      <c r="W1061" s="3">
        <f>IF(OR(J1061=1),1,0)</f>
        <v/>
      </c>
      <c r="X1061" s="3">
        <f>IF(OR(I1061=1,H1061=1),1,0)</f>
        <v/>
      </c>
      <c r="Y1061" s="3">
        <f>IF(OR(G1061=1),1,0)</f>
        <v/>
      </c>
      <c r="Z1061" s="3">
        <f>IF(OR(F1061=1),1,0)</f>
        <v/>
      </c>
      <c r="AA1061" s="3">
        <f>IF(OR(M1061=1),1,0)</f>
        <v/>
      </c>
    </row>
    <row r="1062">
      <c r="A1062" s="22" t="inlineStr">
        <is>
          <t>e2b494ec70b728a5be80f6bae254482fe3089334</t>
        </is>
      </c>
      <c r="B1062" s="22" t="inlineStr">
        <is>
          <t>2026-10</t>
        </is>
      </c>
      <c r="C1062" s="22" t="inlineStr">
        <is>
          <t>X</t>
        </is>
      </c>
      <c r="D1062" s="22" t="n">
        <v>0</v>
      </c>
      <c r="E1062" s="22" t="inlineStr">
        <is>
          <t>X: @inecnigeria (replies)</t>
        </is>
      </c>
      <c r="F1062" s="22" t="inlineStr">
        <is>
          <t>x:@inecnigeria (replies)</t>
        </is>
      </c>
      <c r="G1062" s="22" t="n">
        <v>0.778</v>
      </c>
      <c r="H1062" s="22" t="n">
        <v>1</v>
      </c>
      <c r="I1062" s="22" t="n">
        <v>0</v>
      </c>
      <c r="J1062" s="22" t="n">
        <v>0</v>
      </c>
      <c r="K1062" s="22" t="n">
        <v>0</v>
      </c>
      <c r="L1062" s="22" t="n">
        <v>0</v>
      </c>
      <c r="M1062" s="22" t="n">
        <v>0</v>
      </c>
      <c r="N1062" s="22" t="n">
        <v>0</v>
      </c>
      <c r="O1062" s="22" t="n">
        <v>0</v>
      </c>
      <c r="P1062" s="22" t="n">
        <v>0</v>
      </c>
      <c r="Q1062" s="22" t="n">
        <v>0</v>
      </c>
      <c r="R1062" s="22" t="n">
        <v>0</v>
      </c>
      <c r="S1062" s="22" t="n">
        <v>0</v>
      </c>
      <c r="T1062" s="22" t="n">
        <v>0</v>
      </c>
      <c r="U1062" s="3">
        <f>IF(OR(N1062=1,Q1062=1),1,0)</f>
        <v/>
      </c>
      <c r="V1062" s="3">
        <f>IF(OR(T1062=1,P1062=1),1,0)</f>
        <v/>
      </c>
      <c r="W1062" s="3">
        <f>IF(OR(J1062=1),1,0)</f>
        <v/>
      </c>
      <c r="X1062" s="3">
        <f>IF(OR(I1062=1,H1062=1),1,0)</f>
        <v/>
      </c>
      <c r="Y1062" s="3">
        <f>IF(OR(G1062=1),1,0)</f>
        <v/>
      </c>
      <c r="Z1062" s="3">
        <f>IF(OR(F1062=1),1,0)</f>
        <v/>
      </c>
      <c r="AA1062" s="3">
        <f>IF(OR(M1062=1),1,0)</f>
        <v/>
      </c>
    </row>
    <row r="1063">
      <c r="A1063" s="22" t="inlineStr">
        <is>
          <t>e17bef85eb89922f95bcef1197e2e23a5b942c88</t>
        </is>
      </c>
      <c r="B1063" s="22" t="inlineStr">
        <is>
          <t>2026-10</t>
        </is>
      </c>
      <c r="C1063" s="22" t="inlineStr">
        <is>
          <t>X</t>
        </is>
      </c>
      <c r="D1063" s="22" t="n">
        <v>0</v>
      </c>
      <c r="E1063" s="22" t="inlineStr">
        <is>
          <t>X: @inecnigeria (replies)</t>
        </is>
      </c>
      <c r="F1063" s="22" t="inlineStr">
        <is>
          <t>x:@inecnigeria (replies)</t>
        </is>
      </c>
      <c r="G1063" s="22" t="n">
        <v>0.7</v>
      </c>
      <c r="H1063" s="22" t="n">
        <v>1</v>
      </c>
      <c r="I1063" s="22" t="n">
        <v>0</v>
      </c>
      <c r="J1063" s="22" t="n">
        <v>0</v>
      </c>
      <c r="K1063" s="22" t="n">
        <v>0</v>
      </c>
      <c r="L1063" s="22" t="n">
        <v>0</v>
      </c>
      <c r="M1063" s="22" t="n">
        <v>0</v>
      </c>
      <c r="N1063" s="22" t="n">
        <v>0</v>
      </c>
      <c r="O1063" s="22" t="n">
        <v>0</v>
      </c>
      <c r="P1063" s="22" t="n">
        <v>0</v>
      </c>
      <c r="Q1063" s="22" t="n">
        <v>0</v>
      </c>
      <c r="R1063" s="22" t="n">
        <v>0</v>
      </c>
      <c r="S1063" s="22" t="n">
        <v>0</v>
      </c>
      <c r="T1063" s="22" t="n">
        <v>0</v>
      </c>
      <c r="U1063" s="3">
        <f>IF(OR(N1063=1,Q1063=1),1,0)</f>
        <v/>
      </c>
      <c r="V1063" s="3">
        <f>IF(OR(T1063=1,P1063=1),1,0)</f>
        <v/>
      </c>
      <c r="W1063" s="3">
        <f>IF(OR(J1063=1),1,0)</f>
        <v/>
      </c>
      <c r="X1063" s="3">
        <f>IF(OR(I1063=1,H1063=1),1,0)</f>
        <v/>
      </c>
      <c r="Y1063" s="3">
        <f>IF(OR(G1063=1),1,0)</f>
        <v/>
      </c>
      <c r="Z1063" s="3">
        <f>IF(OR(F1063=1),1,0)</f>
        <v/>
      </c>
      <c r="AA1063" s="3">
        <f>IF(OR(M1063=1),1,0)</f>
        <v/>
      </c>
    </row>
    <row r="1064">
      <c r="A1064" s="22" t="inlineStr">
        <is>
          <t>4e3cc9d474340c2d799869dace596341a6a8a4ea</t>
        </is>
      </c>
      <c r="B1064" s="22" t="inlineStr">
        <is>
          <t>2026-10</t>
        </is>
      </c>
      <c r="C1064" s="22" t="inlineStr">
        <is>
          <t>X</t>
        </is>
      </c>
      <c r="D1064" s="22" t="n">
        <v>0</v>
      </c>
      <c r="E1064" s="22" t="inlineStr">
        <is>
          <t>X: @inecnigeria (replies)</t>
        </is>
      </c>
      <c r="F1064" s="22" t="inlineStr">
        <is>
          <t>x:@inecnigeria (replies)</t>
        </is>
      </c>
      <c r="G1064" s="22" t="n">
        <v>0.572</v>
      </c>
      <c r="H1064" s="22" t="n">
        <v>0</v>
      </c>
      <c r="I1064" s="22" t="n">
        <v>1</v>
      </c>
      <c r="J1064" s="22" t="n">
        <v>0</v>
      </c>
      <c r="K1064" s="22" t="n">
        <v>0</v>
      </c>
      <c r="L1064" s="22" t="n">
        <v>0</v>
      </c>
      <c r="M1064" s="22" t="n">
        <v>0</v>
      </c>
      <c r="N1064" s="22" t="n">
        <v>0</v>
      </c>
      <c r="O1064" s="22" t="n">
        <v>0</v>
      </c>
      <c r="P1064" s="22" t="n">
        <v>0</v>
      </c>
      <c r="Q1064" s="22" t="n">
        <v>0</v>
      </c>
      <c r="R1064" s="22" t="n">
        <v>0</v>
      </c>
      <c r="S1064" s="22" t="n">
        <v>0</v>
      </c>
      <c r="T1064" s="22" t="n">
        <v>0</v>
      </c>
      <c r="U1064" s="3">
        <f>IF(OR(N1064=1,Q1064=1),1,0)</f>
        <v/>
      </c>
      <c r="V1064" s="3">
        <f>IF(OR(T1064=1,P1064=1),1,0)</f>
        <v/>
      </c>
      <c r="W1064" s="3">
        <f>IF(OR(J1064=1),1,0)</f>
        <v/>
      </c>
      <c r="X1064" s="3">
        <f>IF(OR(I1064=1,H1064=1),1,0)</f>
        <v/>
      </c>
      <c r="Y1064" s="3">
        <f>IF(OR(G1064=1),1,0)</f>
        <v/>
      </c>
      <c r="Z1064" s="3">
        <f>IF(OR(F1064=1),1,0)</f>
        <v/>
      </c>
      <c r="AA1064" s="3">
        <f>IF(OR(M1064=1),1,0)</f>
        <v/>
      </c>
    </row>
    <row r="1065">
      <c r="A1065" s="22" t="inlineStr">
        <is>
          <t>5e4c6d15e04c39a0c1c234c0a4e37bd76b74a457</t>
        </is>
      </c>
      <c r="B1065" s="22" t="inlineStr">
        <is>
          <t>2026-10</t>
        </is>
      </c>
      <c r="C1065" s="22" t="inlineStr">
        <is>
          <t>X</t>
        </is>
      </c>
      <c r="D1065" s="22" t="n">
        <v>0</v>
      </c>
      <c r="E1065" s="22" t="inlineStr">
        <is>
          <t>X: @inecnigeria (replies)</t>
        </is>
      </c>
      <c r="F1065" s="22" t="inlineStr">
        <is>
          <t>x:@inecnigeria (replies)</t>
        </is>
      </c>
      <c r="G1065" s="22" t="n">
        <v>0</v>
      </c>
      <c r="H1065" s="22" t="n">
        <v>1</v>
      </c>
      <c r="I1065" s="22" t="n">
        <v>1</v>
      </c>
      <c r="J1065" s="22" t="n">
        <v>0</v>
      </c>
      <c r="K1065" s="22" t="n">
        <v>0</v>
      </c>
      <c r="L1065" s="22" t="n">
        <v>0</v>
      </c>
      <c r="M1065" s="22" t="n">
        <v>0</v>
      </c>
      <c r="N1065" s="22" t="n">
        <v>0</v>
      </c>
      <c r="O1065" s="22" t="n">
        <v>0</v>
      </c>
      <c r="P1065" s="22" t="n">
        <v>0</v>
      </c>
      <c r="Q1065" s="22" t="n">
        <v>0</v>
      </c>
      <c r="R1065" s="22" t="n">
        <v>0</v>
      </c>
      <c r="S1065" s="22" t="n">
        <v>0</v>
      </c>
      <c r="T1065" s="22" t="n">
        <v>0</v>
      </c>
      <c r="U1065" s="3">
        <f>IF(OR(N1065=1,Q1065=1),1,0)</f>
        <v/>
      </c>
      <c r="V1065" s="3">
        <f>IF(OR(T1065=1,P1065=1),1,0)</f>
        <v/>
      </c>
      <c r="W1065" s="3">
        <f>IF(OR(J1065=1),1,0)</f>
        <v/>
      </c>
      <c r="X1065" s="3">
        <f>IF(OR(I1065=1,H1065=1),1,0)</f>
        <v/>
      </c>
      <c r="Y1065" s="3">
        <f>IF(OR(G1065=1),1,0)</f>
        <v/>
      </c>
      <c r="Z1065" s="3">
        <f>IF(OR(F1065=1),1,0)</f>
        <v/>
      </c>
      <c r="AA1065" s="3">
        <f>IF(OR(M1065=1),1,0)</f>
        <v/>
      </c>
    </row>
    <row r="1066">
      <c r="A1066" s="22" t="inlineStr">
        <is>
          <t>f14f34ddb72d6069db976d7e9c12c92699b48eb7</t>
        </is>
      </c>
      <c r="B1066" s="22" t="inlineStr">
        <is>
          <t>2026-10</t>
        </is>
      </c>
      <c r="C1066" s="22" t="inlineStr">
        <is>
          <t>X</t>
        </is>
      </c>
      <c r="D1066" s="22" t="n">
        <v>0</v>
      </c>
      <c r="E1066" s="22" t="inlineStr">
        <is>
          <t>X: @inecnigeria (replies)</t>
        </is>
      </c>
      <c r="F1066" s="22" t="inlineStr">
        <is>
          <t>x:@inecnigeria (replies)</t>
        </is>
      </c>
      <c r="G1066" s="22" t="n">
        <v>-0.85</v>
      </c>
      <c r="H1066" s="22" t="n">
        <v>1</v>
      </c>
      <c r="I1066" s="22" t="n">
        <v>0</v>
      </c>
      <c r="J1066" s="22" t="n">
        <v>0</v>
      </c>
      <c r="K1066" s="22" t="n">
        <v>0</v>
      </c>
      <c r="L1066" s="22" t="n">
        <v>0</v>
      </c>
      <c r="M1066" s="22" t="n">
        <v>0</v>
      </c>
      <c r="N1066" s="22" t="n">
        <v>0</v>
      </c>
      <c r="O1066" s="22" t="n">
        <v>0</v>
      </c>
      <c r="P1066" s="22" t="n">
        <v>0</v>
      </c>
      <c r="Q1066" s="22" t="n">
        <v>0</v>
      </c>
      <c r="R1066" s="22" t="n">
        <v>0</v>
      </c>
      <c r="S1066" s="22" t="n">
        <v>0</v>
      </c>
      <c r="T1066" s="22" t="n">
        <v>0</v>
      </c>
      <c r="U1066" s="3">
        <f>IF(OR(N1066=1,Q1066=1),1,0)</f>
        <v/>
      </c>
      <c r="V1066" s="3">
        <f>IF(OR(T1066=1,P1066=1),1,0)</f>
        <v/>
      </c>
      <c r="W1066" s="3">
        <f>IF(OR(J1066=1),1,0)</f>
        <v/>
      </c>
      <c r="X1066" s="3">
        <f>IF(OR(I1066=1,H1066=1),1,0)</f>
        <v/>
      </c>
      <c r="Y1066" s="3">
        <f>IF(OR(G1066=1),1,0)</f>
        <v/>
      </c>
      <c r="Z1066" s="3">
        <f>IF(OR(F1066=1),1,0)</f>
        <v/>
      </c>
      <c r="AA1066" s="3">
        <f>IF(OR(M1066=1),1,0)</f>
        <v/>
      </c>
    </row>
    <row r="1067">
      <c r="A1067" s="22" t="inlineStr">
        <is>
          <t>0c13088ca8b0f6a469657d3b00cfe3feeb7c0e12</t>
        </is>
      </c>
      <c r="B1067" s="22" t="inlineStr">
        <is>
          <t>2026-10</t>
        </is>
      </c>
      <c r="C1067" s="22" t="inlineStr">
        <is>
          <t>X</t>
        </is>
      </c>
      <c r="D1067" s="22" t="n">
        <v>0</v>
      </c>
      <c r="E1067" s="22" t="inlineStr">
        <is>
          <t>X: @inecnigeria (replies)</t>
        </is>
      </c>
      <c r="F1067" s="22" t="inlineStr">
        <is>
          <t>x:@inecnigeria (replies)</t>
        </is>
      </c>
      <c r="G1067" s="22" t="n">
        <v>0.402</v>
      </c>
      <c r="H1067" s="22" t="n">
        <v>0</v>
      </c>
      <c r="I1067" s="22" t="n">
        <v>1</v>
      </c>
      <c r="J1067" s="22" t="n">
        <v>0</v>
      </c>
      <c r="K1067" s="22" t="n">
        <v>0</v>
      </c>
      <c r="L1067" s="22" t="n">
        <v>0</v>
      </c>
      <c r="M1067" s="22" t="n">
        <v>0</v>
      </c>
      <c r="N1067" s="22" t="n">
        <v>0</v>
      </c>
      <c r="O1067" s="22" t="n">
        <v>0</v>
      </c>
      <c r="P1067" s="22" t="n">
        <v>0</v>
      </c>
      <c r="Q1067" s="22" t="n">
        <v>0</v>
      </c>
      <c r="R1067" s="22" t="n">
        <v>0</v>
      </c>
      <c r="S1067" s="22" t="n">
        <v>0</v>
      </c>
      <c r="T1067" s="22" t="n">
        <v>0</v>
      </c>
      <c r="U1067" s="3">
        <f>IF(OR(N1067=1,Q1067=1),1,0)</f>
        <v/>
      </c>
      <c r="V1067" s="3">
        <f>IF(OR(T1067=1,P1067=1),1,0)</f>
        <v/>
      </c>
      <c r="W1067" s="3">
        <f>IF(OR(J1067=1),1,0)</f>
        <v/>
      </c>
      <c r="X1067" s="3">
        <f>IF(OR(I1067=1,H1067=1),1,0)</f>
        <v/>
      </c>
      <c r="Y1067" s="3">
        <f>IF(OR(G1067=1),1,0)</f>
        <v/>
      </c>
      <c r="Z1067" s="3">
        <f>IF(OR(F1067=1),1,0)</f>
        <v/>
      </c>
      <c r="AA1067" s="3">
        <f>IF(OR(M1067=1),1,0)</f>
        <v/>
      </c>
    </row>
    <row r="1068">
      <c r="A1068" s="22" t="inlineStr">
        <is>
          <t>8e8a3c797ba20eb0f976d13b23d7e1ddf0ab0e04</t>
        </is>
      </c>
      <c r="B1068" s="22" t="inlineStr">
        <is>
          <t>2026-10</t>
        </is>
      </c>
      <c r="C1068" s="22" t="inlineStr">
        <is>
          <t>X</t>
        </is>
      </c>
      <c r="D1068" s="22" t="n">
        <v>0</v>
      </c>
      <c r="E1068" s="22" t="inlineStr">
        <is>
          <t>X: @inecnigeria (replies)</t>
        </is>
      </c>
      <c r="F1068" s="22" t="inlineStr">
        <is>
          <t>x:@inecnigeria (replies)</t>
        </is>
      </c>
      <c r="G1068" s="22" t="n">
        <v>-0.226</v>
      </c>
      <c r="H1068" s="22" t="n">
        <v>0</v>
      </c>
      <c r="I1068" s="22" t="n">
        <v>1</v>
      </c>
      <c r="J1068" s="22" t="n">
        <v>0</v>
      </c>
      <c r="K1068" s="22" t="n">
        <v>0</v>
      </c>
      <c r="L1068" s="22" t="n">
        <v>0</v>
      </c>
      <c r="M1068" s="22" t="n">
        <v>0</v>
      </c>
      <c r="N1068" s="22" t="n">
        <v>0</v>
      </c>
      <c r="O1068" s="22" t="n">
        <v>0</v>
      </c>
      <c r="P1068" s="22" t="n">
        <v>0</v>
      </c>
      <c r="Q1068" s="22" t="n">
        <v>0</v>
      </c>
      <c r="R1068" s="22" t="n">
        <v>0</v>
      </c>
      <c r="S1068" s="22" t="n">
        <v>0</v>
      </c>
      <c r="T1068" s="22" t="n">
        <v>0</v>
      </c>
      <c r="U1068" s="3">
        <f>IF(OR(N1068=1,Q1068=1),1,0)</f>
        <v/>
      </c>
      <c r="V1068" s="3">
        <f>IF(OR(T1068=1,P1068=1),1,0)</f>
        <v/>
      </c>
      <c r="W1068" s="3">
        <f>IF(OR(J1068=1),1,0)</f>
        <v/>
      </c>
      <c r="X1068" s="3">
        <f>IF(OR(I1068=1,H1068=1),1,0)</f>
        <v/>
      </c>
      <c r="Y1068" s="3">
        <f>IF(OR(G1068=1),1,0)</f>
        <v/>
      </c>
      <c r="Z1068" s="3">
        <f>IF(OR(F1068=1),1,0)</f>
        <v/>
      </c>
      <c r="AA1068" s="3">
        <f>IF(OR(M1068=1),1,0)</f>
        <v/>
      </c>
    </row>
    <row r="1069">
      <c r="A1069" s="22" t="inlineStr">
        <is>
          <t>bb146ea560227f4169162df140491ee3071a83b5</t>
        </is>
      </c>
      <c r="B1069" s="22" t="inlineStr">
        <is>
          <t>2026-10</t>
        </is>
      </c>
      <c r="C1069" s="22" t="inlineStr">
        <is>
          <t>X</t>
        </is>
      </c>
      <c r="D1069" s="22" t="n">
        <v>0</v>
      </c>
      <c r="E1069" s="22" t="inlineStr">
        <is>
          <t>X: @inecnigeria (replies)</t>
        </is>
      </c>
      <c r="F1069" s="22" t="inlineStr">
        <is>
          <t>x:@inecnigeria (replies)</t>
        </is>
      </c>
      <c r="G1069" s="22" t="n">
        <v>-0.577</v>
      </c>
      <c r="H1069" s="22" t="n">
        <v>0</v>
      </c>
      <c r="I1069" s="22" t="n">
        <v>0</v>
      </c>
      <c r="J1069" s="22" t="n">
        <v>0</v>
      </c>
      <c r="K1069" s="22" t="n">
        <v>0</v>
      </c>
      <c r="L1069" s="22" t="n">
        <v>0</v>
      </c>
      <c r="M1069" s="22" t="n">
        <v>1</v>
      </c>
      <c r="N1069" s="22" t="n">
        <v>0</v>
      </c>
      <c r="O1069" s="22" t="n">
        <v>0</v>
      </c>
      <c r="P1069" s="22" t="n">
        <v>0</v>
      </c>
      <c r="Q1069" s="22" t="n">
        <v>0</v>
      </c>
      <c r="R1069" s="22" t="n">
        <v>0</v>
      </c>
      <c r="S1069" s="22" t="n">
        <v>0</v>
      </c>
      <c r="T1069" s="22" t="n">
        <v>0</v>
      </c>
      <c r="U1069" s="3">
        <f>IF(OR(N1069=1,Q1069=1),1,0)</f>
        <v/>
      </c>
      <c r="V1069" s="3">
        <f>IF(OR(T1069=1,P1069=1),1,0)</f>
        <v/>
      </c>
      <c r="W1069" s="3">
        <f>IF(OR(J1069=1),1,0)</f>
        <v/>
      </c>
      <c r="X1069" s="3">
        <f>IF(OR(I1069=1,H1069=1),1,0)</f>
        <v/>
      </c>
      <c r="Y1069" s="3">
        <f>IF(OR(G1069=1),1,0)</f>
        <v/>
      </c>
      <c r="Z1069" s="3">
        <f>IF(OR(F1069=1),1,0)</f>
        <v/>
      </c>
      <c r="AA1069" s="3">
        <f>IF(OR(M1069=1),1,0)</f>
        <v/>
      </c>
    </row>
    <row r="1070">
      <c r="A1070" s="22" t="inlineStr">
        <is>
          <t>70dd024f9ae8082f98a6dc4d02af684aa835fa99</t>
        </is>
      </c>
      <c r="B1070" s="22" t="inlineStr">
        <is>
          <t>2026-10</t>
        </is>
      </c>
      <c r="C1070" s="22" t="inlineStr">
        <is>
          <t>X</t>
        </is>
      </c>
      <c r="D1070" s="22" t="n">
        <v>0</v>
      </c>
      <c r="E1070" s="22" t="inlineStr">
        <is>
          <t>X: @inecnigeria (replies)</t>
        </is>
      </c>
      <c r="F1070" s="22" t="inlineStr">
        <is>
          <t>x:@inecnigeria (replies)</t>
        </is>
      </c>
      <c r="G1070" s="22" t="n">
        <v>-0.868</v>
      </c>
      <c r="H1070" s="22" t="n">
        <v>1</v>
      </c>
      <c r="I1070" s="22" t="n">
        <v>0</v>
      </c>
      <c r="J1070" s="22" t="n">
        <v>0</v>
      </c>
      <c r="K1070" s="22" t="n">
        <v>0</v>
      </c>
      <c r="L1070" s="22" t="n">
        <v>0</v>
      </c>
      <c r="M1070" s="22" t="n">
        <v>0</v>
      </c>
      <c r="N1070" s="22" t="n">
        <v>0</v>
      </c>
      <c r="O1070" s="22" t="n">
        <v>0</v>
      </c>
      <c r="P1070" s="22" t="n">
        <v>0</v>
      </c>
      <c r="Q1070" s="22" t="n">
        <v>0</v>
      </c>
      <c r="R1070" s="22" t="n">
        <v>0</v>
      </c>
      <c r="S1070" s="22" t="n">
        <v>0</v>
      </c>
      <c r="T1070" s="22" t="n">
        <v>0</v>
      </c>
      <c r="U1070" s="3">
        <f>IF(OR(N1070=1,Q1070=1),1,0)</f>
        <v/>
      </c>
      <c r="V1070" s="3">
        <f>IF(OR(T1070=1,P1070=1),1,0)</f>
        <v/>
      </c>
      <c r="W1070" s="3">
        <f>IF(OR(J1070=1),1,0)</f>
        <v/>
      </c>
      <c r="X1070" s="3">
        <f>IF(OR(I1070=1,H1070=1),1,0)</f>
        <v/>
      </c>
      <c r="Y1070" s="3">
        <f>IF(OR(G1070=1),1,0)</f>
        <v/>
      </c>
      <c r="Z1070" s="3">
        <f>IF(OR(F1070=1),1,0)</f>
        <v/>
      </c>
      <c r="AA1070" s="3">
        <f>IF(OR(M1070=1),1,0)</f>
        <v/>
      </c>
    </row>
    <row r="1071">
      <c r="A1071" s="22" t="inlineStr">
        <is>
          <t>0105876b03f8bc181a3681328c605fcc2cbc78b6</t>
        </is>
      </c>
      <c r="B1071" s="22" t="inlineStr">
        <is>
          <t>2026-10</t>
        </is>
      </c>
      <c r="C1071" s="22" t="inlineStr">
        <is>
          <t>X</t>
        </is>
      </c>
      <c r="D1071" s="22" t="n">
        <v>0</v>
      </c>
      <c r="E1071" s="22" t="inlineStr">
        <is>
          <t>X: @inecnigeria (replies)</t>
        </is>
      </c>
      <c r="F1071" s="22" t="inlineStr">
        <is>
          <t>x:@inecnigeria (replies)</t>
        </is>
      </c>
      <c r="G1071" s="22" t="n">
        <v>-0.71</v>
      </c>
      <c r="H1071" s="22" t="n">
        <v>1</v>
      </c>
      <c r="I1071" s="22" t="n">
        <v>1</v>
      </c>
      <c r="J1071" s="22" t="n">
        <v>0</v>
      </c>
      <c r="K1071" s="22" t="n">
        <v>0</v>
      </c>
      <c r="L1071" s="22" t="n">
        <v>0</v>
      </c>
      <c r="M1071" s="22" t="n">
        <v>0</v>
      </c>
      <c r="N1071" s="22" t="n">
        <v>0</v>
      </c>
      <c r="O1071" s="22" t="n">
        <v>0</v>
      </c>
      <c r="P1071" s="22" t="n">
        <v>0</v>
      </c>
      <c r="Q1071" s="22" t="n">
        <v>0</v>
      </c>
      <c r="R1071" s="22" t="n">
        <v>0</v>
      </c>
      <c r="S1071" s="22" t="n">
        <v>0</v>
      </c>
      <c r="T1071" s="22" t="n">
        <v>0</v>
      </c>
      <c r="U1071" s="3">
        <f>IF(OR(N1071=1,Q1071=1),1,0)</f>
        <v/>
      </c>
      <c r="V1071" s="3">
        <f>IF(OR(T1071=1,P1071=1),1,0)</f>
        <v/>
      </c>
      <c r="W1071" s="3">
        <f>IF(OR(J1071=1),1,0)</f>
        <v/>
      </c>
      <c r="X1071" s="3">
        <f>IF(OR(I1071=1,H1071=1),1,0)</f>
        <v/>
      </c>
      <c r="Y1071" s="3">
        <f>IF(OR(G1071=1),1,0)</f>
        <v/>
      </c>
      <c r="Z1071" s="3">
        <f>IF(OR(F1071=1),1,0)</f>
        <v/>
      </c>
      <c r="AA1071" s="3">
        <f>IF(OR(M1071=1),1,0)</f>
        <v/>
      </c>
    </row>
    <row r="1072">
      <c r="A1072" s="22" t="inlineStr">
        <is>
          <t>37c59ba700eb03da11f226072452388b0470ba53</t>
        </is>
      </c>
      <c r="B1072" s="22" t="inlineStr">
        <is>
          <t>2026-10</t>
        </is>
      </c>
      <c r="C1072" s="22" t="inlineStr">
        <is>
          <t>X</t>
        </is>
      </c>
      <c r="D1072" s="22" t="n">
        <v>0</v>
      </c>
      <c r="E1072" s="22" t="inlineStr">
        <is>
          <t>X: @inecnigeria (replies)</t>
        </is>
      </c>
      <c r="F1072" s="22" t="inlineStr">
        <is>
          <t>x:@inecnigeria (replies)</t>
        </is>
      </c>
      <c r="G1072" s="22" t="n">
        <v>0.077</v>
      </c>
      <c r="H1072" s="22" t="n">
        <v>0</v>
      </c>
      <c r="I1072" s="22" t="n">
        <v>1</v>
      </c>
      <c r="J1072" s="22" t="n">
        <v>0</v>
      </c>
      <c r="K1072" s="22" t="n">
        <v>0</v>
      </c>
      <c r="L1072" s="22" t="n">
        <v>0</v>
      </c>
      <c r="M1072" s="22" t="n">
        <v>0</v>
      </c>
      <c r="N1072" s="22" t="n">
        <v>0</v>
      </c>
      <c r="O1072" s="22" t="n">
        <v>0</v>
      </c>
      <c r="P1072" s="22" t="n">
        <v>0</v>
      </c>
      <c r="Q1072" s="22" t="n">
        <v>0</v>
      </c>
      <c r="R1072" s="22" t="n">
        <v>0</v>
      </c>
      <c r="S1072" s="22" t="n">
        <v>0</v>
      </c>
      <c r="T1072" s="22" t="n">
        <v>0</v>
      </c>
      <c r="U1072" s="3">
        <f>IF(OR(N1072=1,Q1072=1),1,0)</f>
        <v/>
      </c>
      <c r="V1072" s="3">
        <f>IF(OR(T1072=1,P1072=1),1,0)</f>
        <v/>
      </c>
      <c r="W1072" s="3">
        <f>IF(OR(J1072=1),1,0)</f>
        <v/>
      </c>
      <c r="X1072" s="3">
        <f>IF(OR(I1072=1,H1072=1),1,0)</f>
        <v/>
      </c>
      <c r="Y1072" s="3">
        <f>IF(OR(G1072=1),1,0)</f>
        <v/>
      </c>
      <c r="Z1072" s="3">
        <f>IF(OR(F1072=1),1,0)</f>
        <v/>
      </c>
      <c r="AA1072" s="3">
        <f>IF(OR(M1072=1),1,0)</f>
        <v/>
      </c>
    </row>
    <row r="1073">
      <c r="A1073" s="22" t="inlineStr">
        <is>
          <t>a885d43137852fd2f25a8bc0ac67eecddbb0d1b3</t>
        </is>
      </c>
      <c r="B1073" s="22" t="inlineStr">
        <is>
          <t>2026-10</t>
        </is>
      </c>
      <c r="C1073" s="22" t="inlineStr">
        <is>
          <t>X</t>
        </is>
      </c>
      <c r="D1073" s="22" t="n">
        <v>0</v>
      </c>
      <c r="E1073" s="22" t="inlineStr">
        <is>
          <t>X: @inecnigeria (replies)</t>
        </is>
      </c>
      <c r="F1073" s="22" t="inlineStr">
        <is>
          <t>x:@inecnigeria (replies)</t>
        </is>
      </c>
      <c r="G1073" s="22" t="n">
        <v>-0.719</v>
      </c>
      <c r="H1073" s="22" t="n">
        <v>0</v>
      </c>
      <c r="I1073" s="22" t="n">
        <v>0</v>
      </c>
      <c r="J1073" s="22" t="n">
        <v>0</v>
      </c>
      <c r="K1073" s="22" t="n">
        <v>0</v>
      </c>
      <c r="L1073" s="22" t="n">
        <v>0</v>
      </c>
      <c r="M1073" s="22" t="n">
        <v>1</v>
      </c>
      <c r="N1073" s="22" t="n">
        <v>0</v>
      </c>
      <c r="O1073" s="22" t="n">
        <v>1</v>
      </c>
      <c r="P1073" s="22" t="n">
        <v>0</v>
      </c>
      <c r="Q1073" s="22" t="n">
        <v>0</v>
      </c>
      <c r="R1073" s="22" t="n">
        <v>0</v>
      </c>
      <c r="S1073" s="22" t="n">
        <v>0</v>
      </c>
      <c r="T1073" s="22" t="n">
        <v>0</v>
      </c>
      <c r="U1073" s="3">
        <f>IF(OR(N1073=1,Q1073=1),1,0)</f>
        <v/>
      </c>
      <c r="V1073" s="3">
        <f>IF(OR(T1073=1,P1073=1),1,0)</f>
        <v/>
      </c>
      <c r="W1073" s="3">
        <f>IF(OR(J1073=1),1,0)</f>
        <v/>
      </c>
      <c r="X1073" s="3">
        <f>IF(OR(I1073=1,H1073=1),1,0)</f>
        <v/>
      </c>
      <c r="Y1073" s="3">
        <f>IF(OR(G1073=1),1,0)</f>
        <v/>
      </c>
      <c r="Z1073" s="3">
        <f>IF(OR(F1073=1),1,0)</f>
        <v/>
      </c>
      <c r="AA1073" s="3">
        <f>IF(OR(M1073=1),1,0)</f>
        <v/>
      </c>
    </row>
    <row r="1074">
      <c r="A1074" s="22" t="inlineStr">
        <is>
          <t>394308d25f9fca4cb88763da8851d47cb1dd19cd</t>
        </is>
      </c>
      <c r="B1074" s="22" t="inlineStr">
        <is>
          <t>2026-10</t>
        </is>
      </c>
      <c r="C1074" s="22" t="inlineStr">
        <is>
          <t>X</t>
        </is>
      </c>
      <c r="D1074" s="22" t="n">
        <v>0</v>
      </c>
      <c r="E1074" s="22" t="inlineStr">
        <is>
          <t>X: @inecnigeria (replies)</t>
        </is>
      </c>
      <c r="F1074" s="22" t="inlineStr">
        <is>
          <t>x:@inecnigeria (replies)</t>
        </is>
      </c>
      <c r="G1074" s="22" t="n">
        <v>-0.459</v>
      </c>
      <c r="H1074" s="22" t="n">
        <v>1</v>
      </c>
      <c r="I1074" s="22" t="n">
        <v>1</v>
      </c>
      <c r="J1074" s="22" t="n">
        <v>0</v>
      </c>
      <c r="K1074" s="22" t="n">
        <v>0</v>
      </c>
      <c r="L1074" s="22" t="n">
        <v>0</v>
      </c>
      <c r="M1074" s="22" t="n">
        <v>0</v>
      </c>
      <c r="N1074" s="22" t="n">
        <v>0</v>
      </c>
      <c r="O1074" s="22" t="n">
        <v>0</v>
      </c>
      <c r="P1074" s="22" t="n">
        <v>0</v>
      </c>
      <c r="Q1074" s="22" t="n">
        <v>0</v>
      </c>
      <c r="R1074" s="22" t="n">
        <v>0</v>
      </c>
      <c r="S1074" s="22" t="n">
        <v>0</v>
      </c>
      <c r="T1074" s="22" t="n">
        <v>0</v>
      </c>
      <c r="U1074" s="3">
        <f>IF(OR(N1074=1,Q1074=1),1,0)</f>
        <v/>
      </c>
      <c r="V1074" s="3">
        <f>IF(OR(T1074=1,P1074=1),1,0)</f>
        <v/>
      </c>
      <c r="W1074" s="3">
        <f>IF(OR(J1074=1),1,0)</f>
        <v/>
      </c>
      <c r="X1074" s="3">
        <f>IF(OR(I1074=1,H1074=1),1,0)</f>
        <v/>
      </c>
      <c r="Y1074" s="3">
        <f>IF(OR(G1074=1),1,0)</f>
        <v/>
      </c>
      <c r="Z1074" s="3">
        <f>IF(OR(F1074=1),1,0)</f>
        <v/>
      </c>
      <c r="AA1074" s="3">
        <f>IF(OR(M1074=1),1,0)</f>
        <v/>
      </c>
    </row>
    <row r="1075">
      <c r="A1075" s="22" t="inlineStr">
        <is>
          <t>1d858c9725e448cc53cbcf52572bf043d8328b35</t>
        </is>
      </c>
      <c r="B1075" s="22" t="inlineStr">
        <is>
          <t>2026-10</t>
        </is>
      </c>
      <c r="C1075" s="22" t="inlineStr">
        <is>
          <t>X</t>
        </is>
      </c>
      <c r="D1075" s="22" t="n">
        <v>0</v>
      </c>
      <c r="E1075" s="22" t="inlineStr">
        <is>
          <t>X: @inecnigeria (replies)</t>
        </is>
      </c>
      <c r="F1075" s="22" t="inlineStr">
        <is>
          <t>x:@inecnigeria (replies)</t>
        </is>
      </c>
      <c r="G1075" s="22" t="n">
        <v>0.735</v>
      </c>
      <c r="H1075" s="22" t="n">
        <v>0</v>
      </c>
      <c r="I1075" s="22" t="n">
        <v>0</v>
      </c>
      <c r="J1075" s="22" t="n">
        <v>0</v>
      </c>
      <c r="K1075" s="22" t="n">
        <v>0</v>
      </c>
      <c r="L1075" s="22" t="n">
        <v>0</v>
      </c>
      <c r="M1075" s="22" t="n">
        <v>1</v>
      </c>
      <c r="N1075" s="22" t="n">
        <v>0</v>
      </c>
      <c r="O1075" s="22" t="n">
        <v>0</v>
      </c>
      <c r="P1075" s="22" t="n">
        <v>0</v>
      </c>
      <c r="Q1075" s="22" t="n">
        <v>0</v>
      </c>
      <c r="R1075" s="22" t="n">
        <v>0</v>
      </c>
      <c r="S1075" s="22" t="n">
        <v>0</v>
      </c>
      <c r="T1075" s="22" t="n">
        <v>0</v>
      </c>
      <c r="U1075" s="3">
        <f>IF(OR(N1075=1,Q1075=1),1,0)</f>
        <v/>
      </c>
      <c r="V1075" s="3">
        <f>IF(OR(T1075=1,P1075=1),1,0)</f>
        <v/>
      </c>
      <c r="W1075" s="3">
        <f>IF(OR(J1075=1),1,0)</f>
        <v/>
      </c>
      <c r="X1075" s="3">
        <f>IF(OR(I1075=1,H1075=1),1,0)</f>
        <v/>
      </c>
      <c r="Y1075" s="3">
        <f>IF(OR(G1075=1),1,0)</f>
        <v/>
      </c>
      <c r="Z1075" s="3">
        <f>IF(OR(F1075=1),1,0)</f>
        <v/>
      </c>
      <c r="AA1075" s="3">
        <f>IF(OR(M1075=1),1,0)</f>
        <v/>
      </c>
    </row>
    <row r="1076">
      <c r="A1076" s="22" t="inlineStr">
        <is>
          <t>596095f455e83b756002aaf6e2151e211711d9b1</t>
        </is>
      </c>
      <c r="B1076" s="22" t="inlineStr">
        <is>
          <t>2026-10</t>
        </is>
      </c>
      <c r="C1076" s="22" t="inlineStr">
        <is>
          <t>X</t>
        </is>
      </c>
      <c r="D1076" s="22" t="n">
        <v>0</v>
      </c>
      <c r="E1076" s="22" t="inlineStr">
        <is>
          <t>X: @inecnigeria (replies)</t>
        </is>
      </c>
      <c r="F1076" s="22" t="inlineStr">
        <is>
          <t>x:@inecnigeria (replies)</t>
        </is>
      </c>
      <c r="G1076" s="22" t="n">
        <v>0.318</v>
      </c>
      <c r="H1076" s="22" t="n">
        <v>0</v>
      </c>
      <c r="I1076" s="22" t="n">
        <v>1</v>
      </c>
      <c r="J1076" s="22" t="n">
        <v>0</v>
      </c>
      <c r="K1076" s="22" t="n">
        <v>0</v>
      </c>
      <c r="L1076" s="22" t="n">
        <v>0</v>
      </c>
      <c r="M1076" s="22" t="n">
        <v>0</v>
      </c>
      <c r="N1076" s="22" t="n">
        <v>0</v>
      </c>
      <c r="O1076" s="22" t="n">
        <v>0</v>
      </c>
      <c r="P1076" s="22" t="n">
        <v>0</v>
      </c>
      <c r="Q1076" s="22" t="n">
        <v>0</v>
      </c>
      <c r="R1076" s="22" t="n">
        <v>0</v>
      </c>
      <c r="S1076" s="22" t="n">
        <v>0</v>
      </c>
      <c r="T1076" s="22" t="n">
        <v>0</v>
      </c>
      <c r="U1076" s="3">
        <f>IF(OR(N1076=1,Q1076=1),1,0)</f>
        <v/>
      </c>
      <c r="V1076" s="3">
        <f>IF(OR(T1076=1,P1076=1),1,0)</f>
        <v/>
      </c>
      <c r="W1076" s="3">
        <f>IF(OR(J1076=1),1,0)</f>
        <v/>
      </c>
      <c r="X1076" s="3">
        <f>IF(OR(I1076=1,H1076=1),1,0)</f>
        <v/>
      </c>
      <c r="Y1076" s="3">
        <f>IF(OR(G1076=1),1,0)</f>
        <v/>
      </c>
      <c r="Z1076" s="3">
        <f>IF(OR(F1076=1),1,0)</f>
        <v/>
      </c>
      <c r="AA1076" s="3">
        <f>IF(OR(M1076=1),1,0)</f>
        <v/>
      </c>
    </row>
    <row r="1077">
      <c r="A1077" s="22" t="inlineStr">
        <is>
          <t>eac7b621dc8d8ec11a800cd895a45318726fc312</t>
        </is>
      </c>
      <c r="B1077" s="22" t="inlineStr">
        <is>
          <t>2026-10</t>
        </is>
      </c>
      <c r="C1077" s="22" t="inlineStr">
        <is>
          <t>X</t>
        </is>
      </c>
      <c r="D1077" s="22" t="n">
        <v>0</v>
      </c>
      <c r="E1077" s="22" t="inlineStr">
        <is>
          <t>X: @inecnigeria (replies)</t>
        </is>
      </c>
      <c r="F1077" s="22" t="inlineStr">
        <is>
          <t>x:@inecnigeria (replies)</t>
        </is>
      </c>
      <c r="G1077" s="22" t="n">
        <v>-0.273</v>
      </c>
      <c r="H1077" s="22" t="n">
        <v>0</v>
      </c>
      <c r="I1077" s="22" t="n">
        <v>1</v>
      </c>
      <c r="J1077" s="22" t="n">
        <v>0</v>
      </c>
      <c r="K1077" s="22" t="n">
        <v>0</v>
      </c>
      <c r="L1077" s="22" t="n">
        <v>0</v>
      </c>
      <c r="M1077" s="22" t="n">
        <v>0</v>
      </c>
      <c r="N1077" s="22" t="n">
        <v>0</v>
      </c>
      <c r="O1077" s="22" t="n">
        <v>1</v>
      </c>
      <c r="P1077" s="22" t="n">
        <v>0</v>
      </c>
      <c r="Q1077" s="22" t="n">
        <v>0</v>
      </c>
      <c r="R1077" s="22" t="n">
        <v>0</v>
      </c>
      <c r="S1077" s="22" t="n">
        <v>0</v>
      </c>
      <c r="T1077" s="22" t="n">
        <v>0</v>
      </c>
      <c r="U1077" s="3">
        <f>IF(OR(N1077=1,Q1077=1),1,0)</f>
        <v/>
      </c>
      <c r="V1077" s="3">
        <f>IF(OR(T1077=1,P1077=1),1,0)</f>
        <v/>
      </c>
      <c r="W1077" s="3">
        <f>IF(OR(J1077=1),1,0)</f>
        <v/>
      </c>
      <c r="X1077" s="3">
        <f>IF(OR(I1077=1,H1077=1),1,0)</f>
        <v/>
      </c>
      <c r="Y1077" s="3">
        <f>IF(OR(G1077=1),1,0)</f>
        <v/>
      </c>
      <c r="Z1077" s="3">
        <f>IF(OR(F1077=1),1,0)</f>
        <v/>
      </c>
      <c r="AA1077" s="3">
        <f>IF(OR(M1077=1),1,0)</f>
        <v/>
      </c>
    </row>
    <row r="1078">
      <c r="A1078" s="22" t="inlineStr">
        <is>
          <t>3e9cdb638682cad7e4b532e70850fa309b9d6ba1</t>
        </is>
      </c>
      <c r="B1078" s="22" t="inlineStr">
        <is>
          <t>2026-10</t>
        </is>
      </c>
      <c r="C1078" s="22" t="inlineStr">
        <is>
          <t>X</t>
        </is>
      </c>
      <c r="D1078" s="22" t="n">
        <v>0</v>
      </c>
      <c r="E1078" s="22" t="inlineStr">
        <is>
          <t>X: @inecnigeria (replies)</t>
        </is>
      </c>
      <c r="F1078" s="22" t="inlineStr">
        <is>
          <t>x:@inecnigeria (replies)</t>
        </is>
      </c>
      <c r="G1078" s="22" t="n">
        <v>-0.296</v>
      </c>
      <c r="H1078" s="22" t="n">
        <v>1</v>
      </c>
      <c r="I1078" s="22" t="n">
        <v>0</v>
      </c>
      <c r="J1078" s="22" t="n">
        <v>0</v>
      </c>
      <c r="K1078" s="22" t="n">
        <v>0</v>
      </c>
      <c r="L1078" s="22" t="n">
        <v>0</v>
      </c>
      <c r="M1078" s="22" t="n">
        <v>0</v>
      </c>
      <c r="N1078" s="22" t="n">
        <v>0</v>
      </c>
      <c r="O1078" s="22" t="n">
        <v>0</v>
      </c>
      <c r="P1078" s="22" t="n">
        <v>0</v>
      </c>
      <c r="Q1078" s="22" t="n">
        <v>0</v>
      </c>
      <c r="R1078" s="22" t="n">
        <v>0</v>
      </c>
      <c r="S1078" s="22" t="n">
        <v>0</v>
      </c>
      <c r="T1078" s="22" t="n">
        <v>0</v>
      </c>
      <c r="U1078" s="3">
        <f>IF(OR(N1078=1,Q1078=1),1,0)</f>
        <v/>
      </c>
      <c r="V1078" s="3">
        <f>IF(OR(T1078=1,P1078=1),1,0)</f>
        <v/>
      </c>
      <c r="W1078" s="3">
        <f>IF(OR(J1078=1),1,0)</f>
        <v/>
      </c>
      <c r="X1078" s="3">
        <f>IF(OR(I1078=1,H1078=1),1,0)</f>
        <v/>
      </c>
      <c r="Y1078" s="3">
        <f>IF(OR(G1078=1),1,0)</f>
        <v/>
      </c>
      <c r="Z1078" s="3">
        <f>IF(OR(F1078=1),1,0)</f>
        <v/>
      </c>
      <c r="AA1078" s="3">
        <f>IF(OR(M1078=1),1,0)</f>
        <v/>
      </c>
    </row>
    <row r="1079">
      <c r="A1079" s="22" t="inlineStr">
        <is>
          <t>434f9d8796cc9d3e3085837d4a367cadd5469676</t>
        </is>
      </c>
      <c r="B1079" s="22" t="inlineStr">
        <is>
          <t>2026-10</t>
        </is>
      </c>
      <c r="C1079" s="22" t="inlineStr">
        <is>
          <t>X</t>
        </is>
      </c>
      <c r="D1079" s="22" t="n">
        <v>0</v>
      </c>
      <c r="E1079" s="22" t="inlineStr">
        <is>
          <t>X: @inecnigeria (replies)</t>
        </is>
      </c>
      <c r="F1079" s="22" t="inlineStr">
        <is>
          <t>x:@inecnigeria (replies)</t>
        </is>
      </c>
      <c r="G1079" s="22" t="n">
        <v>0.4</v>
      </c>
      <c r="H1079" s="22" t="n">
        <v>1</v>
      </c>
      <c r="I1079" s="22" t="n">
        <v>0</v>
      </c>
      <c r="J1079" s="22" t="n">
        <v>0</v>
      </c>
      <c r="K1079" s="22" t="n">
        <v>0</v>
      </c>
      <c r="L1079" s="22" t="n">
        <v>0</v>
      </c>
      <c r="M1079" s="22" t="n">
        <v>0</v>
      </c>
      <c r="N1079" s="22" t="n">
        <v>0</v>
      </c>
      <c r="O1079" s="22" t="n">
        <v>0</v>
      </c>
      <c r="P1079" s="22" t="n">
        <v>0</v>
      </c>
      <c r="Q1079" s="22" t="n">
        <v>0</v>
      </c>
      <c r="R1079" s="22" t="n">
        <v>0</v>
      </c>
      <c r="S1079" s="22" t="n">
        <v>0</v>
      </c>
      <c r="T1079" s="22" t="n">
        <v>0</v>
      </c>
      <c r="U1079" s="3">
        <f>IF(OR(N1079=1,Q1079=1),1,0)</f>
        <v/>
      </c>
      <c r="V1079" s="3">
        <f>IF(OR(T1079=1,P1079=1),1,0)</f>
        <v/>
      </c>
      <c r="W1079" s="3">
        <f>IF(OR(J1079=1),1,0)</f>
        <v/>
      </c>
      <c r="X1079" s="3">
        <f>IF(OR(I1079=1,H1079=1),1,0)</f>
        <v/>
      </c>
      <c r="Y1079" s="3">
        <f>IF(OR(G1079=1),1,0)</f>
        <v/>
      </c>
      <c r="Z1079" s="3">
        <f>IF(OR(F1079=1),1,0)</f>
        <v/>
      </c>
      <c r="AA1079" s="3">
        <f>IF(OR(M1079=1),1,0)</f>
        <v/>
      </c>
    </row>
    <row r="1080">
      <c r="A1080" s="22" t="inlineStr">
        <is>
          <t>a23339ae57bd71f8cb0b39475716fd874db2f1ec</t>
        </is>
      </c>
      <c r="B1080" s="22" t="inlineStr">
        <is>
          <t>2026-10</t>
        </is>
      </c>
      <c r="C1080" s="22" t="inlineStr">
        <is>
          <t>X</t>
        </is>
      </c>
      <c r="D1080" s="22" t="n">
        <v>0</v>
      </c>
      <c r="E1080" s="22" t="inlineStr">
        <is>
          <t>X: @inecnigeria (replies)</t>
        </is>
      </c>
      <c r="F1080" s="22" t="inlineStr">
        <is>
          <t>x:@inecnigeria (replies)</t>
        </is>
      </c>
      <c r="G1080" s="22" t="n">
        <v>-0.791</v>
      </c>
      <c r="H1080" s="22" t="n">
        <v>1</v>
      </c>
      <c r="I1080" s="22" t="n">
        <v>1</v>
      </c>
      <c r="J1080" s="22" t="n">
        <v>0</v>
      </c>
      <c r="K1080" s="22" t="n">
        <v>0</v>
      </c>
      <c r="L1080" s="22" t="n">
        <v>0</v>
      </c>
      <c r="M1080" s="22" t="n">
        <v>0</v>
      </c>
      <c r="N1080" s="22" t="n">
        <v>0</v>
      </c>
      <c r="O1080" s="22" t="n">
        <v>0</v>
      </c>
      <c r="P1080" s="22" t="n">
        <v>0</v>
      </c>
      <c r="Q1080" s="22" t="n">
        <v>0</v>
      </c>
      <c r="R1080" s="22" t="n">
        <v>0</v>
      </c>
      <c r="S1080" s="22" t="n">
        <v>0</v>
      </c>
      <c r="T1080" s="22" t="n">
        <v>0</v>
      </c>
      <c r="U1080" s="3">
        <f>IF(OR(N1080=1,Q1080=1),1,0)</f>
        <v/>
      </c>
      <c r="V1080" s="3">
        <f>IF(OR(T1080=1,P1080=1),1,0)</f>
        <v/>
      </c>
      <c r="W1080" s="3">
        <f>IF(OR(J1080=1),1,0)</f>
        <v/>
      </c>
      <c r="X1080" s="3">
        <f>IF(OR(I1080=1,H1080=1),1,0)</f>
        <v/>
      </c>
      <c r="Y1080" s="3">
        <f>IF(OR(G1080=1),1,0)</f>
        <v/>
      </c>
      <c r="Z1080" s="3">
        <f>IF(OR(F1080=1),1,0)</f>
        <v/>
      </c>
      <c r="AA1080" s="3">
        <f>IF(OR(M1080=1),1,0)</f>
        <v/>
      </c>
    </row>
    <row r="1081">
      <c r="A1081" s="22" t="inlineStr">
        <is>
          <t>90ce0bafdb8ab0f69b063fe94ca8366acb6067dc</t>
        </is>
      </c>
      <c r="B1081" s="22" t="inlineStr">
        <is>
          <t>2026-10</t>
        </is>
      </c>
      <c r="C1081" s="22" t="inlineStr">
        <is>
          <t>X</t>
        </is>
      </c>
      <c r="D1081" s="22" t="n">
        <v>0</v>
      </c>
      <c r="E1081" s="22" t="inlineStr">
        <is>
          <t>X: @inecnigeria (replies)</t>
        </is>
      </c>
      <c r="F1081" s="22" t="inlineStr">
        <is>
          <t>x:@inecnigeria (replies)</t>
        </is>
      </c>
      <c r="G1081" s="22" t="n">
        <v>-0.661</v>
      </c>
      <c r="H1081" s="22" t="n">
        <v>0</v>
      </c>
      <c r="I1081" s="22" t="n">
        <v>1</v>
      </c>
      <c r="J1081" s="22" t="n">
        <v>0</v>
      </c>
      <c r="K1081" s="22" t="n">
        <v>0</v>
      </c>
      <c r="L1081" s="22" t="n">
        <v>0</v>
      </c>
      <c r="M1081" s="22" t="n">
        <v>0</v>
      </c>
      <c r="N1081" s="22" t="n">
        <v>0</v>
      </c>
      <c r="O1081" s="22" t="n">
        <v>0</v>
      </c>
      <c r="P1081" s="22" t="n">
        <v>0</v>
      </c>
      <c r="Q1081" s="22" t="n">
        <v>0</v>
      </c>
      <c r="R1081" s="22" t="n">
        <v>0</v>
      </c>
      <c r="S1081" s="22" t="n">
        <v>0</v>
      </c>
      <c r="T1081" s="22" t="n">
        <v>0</v>
      </c>
      <c r="U1081" s="3">
        <f>IF(OR(N1081=1,Q1081=1),1,0)</f>
        <v/>
      </c>
      <c r="V1081" s="3">
        <f>IF(OR(T1081=1,P1081=1),1,0)</f>
        <v/>
      </c>
      <c r="W1081" s="3">
        <f>IF(OR(J1081=1),1,0)</f>
        <v/>
      </c>
      <c r="X1081" s="3">
        <f>IF(OR(I1081=1,H1081=1),1,0)</f>
        <v/>
      </c>
      <c r="Y1081" s="3">
        <f>IF(OR(G1081=1),1,0)</f>
        <v/>
      </c>
      <c r="Z1081" s="3">
        <f>IF(OR(F1081=1),1,0)</f>
        <v/>
      </c>
      <c r="AA1081" s="3">
        <f>IF(OR(M1081=1),1,0)</f>
        <v/>
      </c>
    </row>
    <row r="1082">
      <c r="A1082" s="22" t="inlineStr">
        <is>
          <t>40d0c4feb63c88a8f7b99a9cc614a88671389465</t>
        </is>
      </c>
      <c r="B1082" s="22" t="inlineStr">
        <is>
          <t>2026-10</t>
        </is>
      </c>
      <c r="C1082" s="22" t="inlineStr">
        <is>
          <t>X</t>
        </is>
      </c>
      <c r="D1082" s="22" t="n">
        <v>0</v>
      </c>
      <c r="E1082" s="22" t="inlineStr">
        <is>
          <t>X: @inecnigeria (replies)</t>
        </is>
      </c>
      <c r="F1082" s="22" t="inlineStr">
        <is>
          <t>x:@inecnigeria (replies)</t>
        </is>
      </c>
      <c r="G1082" s="22" t="n">
        <v>0.361</v>
      </c>
      <c r="H1082" s="22" t="n">
        <v>1</v>
      </c>
      <c r="I1082" s="22" t="n">
        <v>0</v>
      </c>
      <c r="J1082" s="22" t="n">
        <v>0</v>
      </c>
      <c r="K1082" s="22" t="n">
        <v>0</v>
      </c>
      <c r="L1082" s="22" t="n">
        <v>0</v>
      </c>
      <c r="M1082" s="22" t="n">
        <v>0</v>
      </c>
      <c r="N1082" s="22" t="n">
        <v>0</v>
      </c>
      <c r="O1082" s="22" t="n">
        <v>0</v>
      </c>
      <c r="P1082" s="22" t="n">
        <v>0</v>
      </c>
      <c r="Q1082" s="22" t="n">
        <v>0</v>
      </c>
      <c r="R1082" s="22" t="n">
        <v>0</v>
      </c>
      <c r="S1082" s="22" t="n">
        <v>0</v>
      </c>
      <c r="T1082" s="22" t="n">
        <v>0</v>
      </c>
      <c r="U1082" s="3">
        <f>IF(OR(N1082=1,Q1082=1),1,0)</f>
        <v/>
      </c>
      <c r="V1082" s="3">
        <f>IF(OR(T1082=1,P1082=1),1,0)</f>
        <v/>
      </c>
      <c r="W1082" s="3">
        <f>IF(OR(J1082=1),1,0)</f>
        <v/>
      </c>
      <c r="X1082" s="3">
        <f>IF(OR(I1082=1,H1082=1),1,0)</f>
        <v/>
      </c>
      <c r="Y1082" s="3">
        <f>IF(OR(G1082=1),1,0)</f>
        <v/>
      </c>
      <c r="Z1082" s="3">
        <f>IF(OR(F1082=1),1,0)</f>
        <v/>
      </c>
      <c r="AA1082" s="3">
        <f>IF(OR(M1082=1),1,0)</f>
        <v/>
      </c>
    </row>
    <row r="1083">
      <c r="A1083" s="22" t="inlineStr">
        <is>
          <t>c23bdb7ca0a2ce67040f3e7d1601be1d86f0a666</t>
        </is>
      </c>
      <c r="B1083" s="22" t="inlineStr">
        <is>
          <t>2026-10</t>
        </is>
      </c>
      <c r="C1083" s="22" t="inlineStr">
        <is>
          <t>Facebook</t>
        </is>
      </c>
      <c r="D1083" s="22" t="n">
        <v>0</v>
      </c>
      <c r="E1083" s="22" t="inlineStr">
        <is>
          <t>Facebook: INEC Nigeria</t>
        </is>
      </c>
      <c r="F1083" s="22" t="inlineStr">
        <is>
          <t>facebook:INEC Nigeria</t>
        </is>
      </c>
      <c r="G1083" s="22" t="n">
        <v>0.965</v>
      </c>
      <c r="H1083" s="22" t="n">
        <v>1</v>
      </c>
      <c r="I1083" s="22" t="n">
        <v>0</v>
      </c>
      <c r="J1083" s="22" t="n">
        <v>0</v>
      </c>
      <c r="K1083" s="22" t="n">
        <v>0</v>
      </c>
      <c r="L1083" s="22" t="n">
        <v>0</v>
      </c>
      <c r="M1083" s="22" t="n">
        <v>0</v>
      </c>
      <c r="N1083" s="22" t="n">
        <v>0</v>
      </c>
      <c r="O1083" s="22" t="n">
        <v>0</v>
      </c>
      <c r="P1083" s="22" t="n">
        <v>0</v>
      </c>
      <c r="Q1083" s="22" t="n">
        <v>0</v>
      </c>
      <c r="R1083" s="22" t="n">
        <v>0</v>
      </c>
      <c r="S1083" s="22" t="n">
        <v>0</v>
      </c>
      <c r="T1083" s="22" t="n">
        <v>0</v>
      </c>
      <c r="U1083" s="3">
        <f>IF(OR(N1083=1,Q1083=1),1,0)</f>
        <v/>
      </c>
      <c r="V1083" s="3">
        <f>IF(OR(T1083=1,P1083=1),1,0)</f>
        <v/>
      </c>
      <c r="W1083" s="3">
        <f>IF(OR(J1083=1),1,0)</f>
        <v/>
      </c>
      <c r="X1083" s="3">
        <f>IF(OR(I1083=1,H1083=1),1,0)</f>
        <v/>
      </c>
      <c r="Y1083" s="3">
        <f>IF(OR(G1083=1),1,0)</f>
        <v/>
      </c>
      <c r="Z1083" s="3">
        <f>IF(OR(F1083=1),1,0)</f>
        <v/>
      </c>
      <c r="AA1083" s="3">
        <f>IF(OR(M1083=1),1,0)</f>
        <v/>
      </c>
    </row>
    <row r="1084">
      <c r="A1084" s="22" t="inlineStr">
        <is>
          <t>41743fc6267e6aaad056a668231d00cc59eba270</t>
        </is>
      </c>
      <c r="B1084" s="22" t="inlineStr">
        <is>
          <t>2026-10</t>
        </is>
      </c>
      <c r="C1084" s="22" t="inlineStr">
        <is>
          <t>Facebook</t>
        </is>
      </c>
      <c r="D1084" s="22" t="n">
        <v>0</v>
      </c>
      <c r="E1084" s="22" t="inlineStr">
        <is>
          <t>Facebook: INEC Nigeria</t>
        </is>
      </c>
      <c r="F1084" s="22" t="inlineStr">
        <is>
          <t>facebook:INEC Nigeria</t>
        </is>
      </c>
      <c r="G1084" s="22" t="n">
        <v>-0.716</v>
      </c>
      <c r="H1084" s="22" t="n">
        <v>0</v>
      </c>
      <c r="I1084" s="22" t="n">
        <v>0</v>
      </c>
      <c r="J1084" s="22" t="n">
        <v>0</v>
      </c>
      <c r="K1084" s="22" t="n">
        <v>0</v>
      </c>
      <c r="L1084" s="22" t="n">
        <v>0</v>
      </c>
      <c r="M1084" s="22" t="n">
        <v>1</v>
      </c>
      <c r="N1084" s="22" t="n">
        <v>0</v>
      </c>
      <c r="O1084" s="22" t="n">
        <v>0</v>
      </c>
      <c r="P1084" s="22" t="n">
        <v>0</v>
      </c>
      <c r="Q1084" s="22" t="n">
        <v>0</v>
      </c>
      <c r="R1084" s="22" t="n">
        <v>0</v>
      </c>
      <c r="S1084" s="22" t="n">
        <v>0</v>
      </c>
      <c r="T1084" s="22" t="n">
        <v>0</v>
      </c>
      <c r="U1084" s="3">
        <f>IF(OR(N1084=1,Q1084=1),1,0)</f>
        <v/>
      </c>
      <c r="V1084" s="3">
        <f>IF(OR(T1084=1,P1084=1),1,0)</f>
        <v/>
      </c>
      <c r="W1084" s="3">
        <f>IF(OR(J1084=1),1,0)</f>
        <v/>
      </c>
      <c r="X1084" s="3">
        <f>IF(OR(I1084=1,H1084=1),1,0)</f>
        <v/>
      </c>
      <c r="Y1084" s="3">
        <f>IF(OR(G1084=1),1,0)</f>
        <v/>
      </c>
      <c r="Z1084" s="3">
        <f>IF(OR(F1084=1),1,0)</f>
        <v/>
      </c>
      <c r="AA1084" s="3">
        <f>IF(OR(M1084=1),1,0)</f>
        <v/>
      </c>
    </row>
    <row r="1085">
      <c r="A1085" s="22" t="inlineStr">
        <is>
          <t>00e93113f00963c91272a72c756072317b2e9548</t>
        </is>
      </c>
      <c r="B1085" s="22" t="inlineStr">
        <is>
          <t>2026-10</t>
        </is>
      </c>
      <c r="C1085" s="22" t="inlineStr">
        <is>
          <t>Facebook</t>
        </is>
      </c>
      <c r="D1085" s="22" t="n">
        <v>0</v>
      </c>
      <c r="E1085" s="22" t="inlineStr">
        <is>
          <t>Facebook: INEC Nigeria</t>
        </is>
      </c>
      <c r="F1085" s="22" t="inlineStr">
        <is>
          <t>facebook:INEC Nigeria</t>
        </is>
      </c>
      <c r="G1085" s="22" t="n">
        <v>-0.89</v>
      </c>
      <c r="H1085" s="22" t="n">
        <v>1</v>
      </c>
      <c r="I1085" s="22" t="n">
        <v>0</v>
      </c>
      <c r="J1085" s="22" t="n">
        <v>0</v>
      </c>
      <c r="K1085" s="22" t="n">
        <v>0</v>
      </c>
      <c r="L1085" s="22" t="n">
        <v>0</v>
      </c>
      <c r="M1085" s="22" t="n">
        <v>1</v>
      </c>
      <c r="N1085" s="22" t="n">
        <v>0</v>
      </c>
      <c r="O1085" s="22" t="n">
        <v>0</v>
      </c>
      <c r="P1085" s="22" t="n">
        <v>0</v>
      </c>
      <c r="Q1085" s="22" t="n">
        <v>0</v>
      </c>
      <c r="R1085" s="22" t="n">
        <v>0</v>
      </c>
      <c r="S1085" s="22" t="n">
        <v>0</v>
      </c>
      <c r="T1085" s="22" t="n">
        <v>0</v>
      </c>
      <c r="U1085" s="3">
        <f>IF(OR(N1085=1,Q1085=1),1,0)</f>
        <v/>
      </c>
      <c r="V1085" s="3">
        <f>IF(OR(T1085=1,P1085=1),1,0)</f>
        <v/>
      </c>
      <c r="W1085" s="3">
        <f>IF(OR(J1085=1),1,0)</f>
        <v/>
      </c>
      <c r="X1085" s="3">
        <f>IF(OR(I1085=1,H1085=1),1,0)</f>
        <v/>
      </c>
      <c r="Y1085" s="3">
        <f>IF(OR(G1085=1),1,0)</f>
        <v/>
      </c>
      <c r="Z1085" s="3">
        <f>IF(OR(F1085=1),1,0)</f>
        <v/>
      </c>
      <c r="AA1085" s="3">
        <f>IF(OR(M1085=1),1,0)</f>
        <v/>
      </c>
    </row>
    <row r="1086">
      <c r="A1086" s="22" t="inlineStr">
        <is>
          <t>9e80979fcc5817151311dccd9e4751137198ffde</t>
        </is>
      </c>
      <c r="B1086" s="22" t="inlineStr">
        <is>
          <t>2026-10</t>
        </is>
      </c>
      <c r="C1086" s="22" t="inlineStr">
        <is>
          <t>Facebook</t>
        </is>
      </c>
      <c r="D1086" s="22" t="n">
        <v>0</v>
      </c>
      <c r="E1086" s="22" t="inlineStr">
        <is>
          <t>Facebook: INEC Nigeria</t>
        </is>
      </c>
      <c r="F1086" s="22" t="inlineStr">
        <is>
          <t>facebook:INEC Nigeria</t>
        </is>
      </c>
      <c r="G1086" s="22" t="n">
        <v>-0.58</v>
      </c>
      <c r="H1086" s="22" t="n">
        <v>0</v>
      </c>
      <c r="I1086" s="22" t="n">
        <v>0</v>
      </c>
      <c r="J1086" s="22" t="n">
        <v>0</v>
      </c>
      <c r="K1086" s="22" t="n">
        <v>0</v>
      </c>
      <c r="L1086" s="22" t="n">
        <v>0</v>
      </c>
      <c r="M1086" s="22" t="n">
        <v>1</v>
      </c>
      <c r="N1086" s="22" t="n">
        <v>0</v>
      </c>
      <c r="O1086" s="22" t="n">
        <v>0</v>
      </c>
      <c r="P1086" s="22" t="n">
        <v>0</v>
      </c>
      <c r="Q1086" s="22" t="n">
        <v>0</v>
      </c>
      <c r="R1086" s="22" t="n">
        <v>0</v>
      </c>
      <c r="S1086" s="22" t="n">
        <v>0</v>
      </c>
      <c r="T1086" s="22" t="n">
        <v>0</v>
      </c>
      <c r="U1086" s="3">
        <f>IF(OR(N1086=1,Q1086=1),1,0)</f>
        <v/>
      </c>
      <c r="V1086" s="3">
        <f>IF(OR(T1086=1,P1086=1),1,0)</f>
        <v/>
      </c>
      <c r="W1086" s="3">
        <f>IF(OR(J1086=1),1,0)</f>
        <v/>
      </c>
      <c r="X1086" s="3">
        <f>IF(OR(I1086=1,H1086=1),1,0)</f>
        <v/>
      </c>
      <c r="Y1086" s="3">
        <f>IF(OR(G1086=1),1,0)</f>
        <v/>
      </c>
      <c r="Z1086" s="3">
        <f>IF(OR(F1086=1),1,0)</f>
        <v/>
      </c>
      <c r="AA1086" s="3">
        <f>IF(OR(M1086=1),1,0)</f>
        <v/>
      </c>
    </row>
    <row r="1087">
      <c r="A1087" s="22" t="inlineStr">
        <is>
          <t>5f550dd9a6a795207ee2e9d7964c12870a1220e1</t>
        </is>
      </c>
      <c r="B1087" s="22" t="inlineStr">
        <is>
          <t>2026-10</t>
        </is>
      </c>
      <c r="C1087" s="22" t="inlineStr">
        <is>
          <t>Facebook</t>
        </is>
      </c>
      <c r="D1087" s="22" t="n">
        <v>0</v>
      </c>
      <c r="E1087" s="22" t="inlineStr">
        <is>
          <t>Facebook: INEC Nigeria</t>
        </is>
      </c>
      <c r="F1087" s="22" t="inlineStr">
        <is>
          <t>facebook:INEC Nigeria</t>
        </is>
      </c>
      <c r="G1087" s="22" t="n">
        <v>-0.477</v>
      </c>
      <c r="H1087" s="22" t="n">
        <v>0</v>
      </c>
      <c r="I1087" s="22" t="n">
        <v>0</v>
      </c>
      <c r="J1087" s="22" t="n">
        <v>0</v>
      </c>
      <c r="K1087" s="22" t="n">
        <v>0</v>
      </c>
      <c r="L1087" s="22" t="n">
        <v>0</v>
      </c>
      <c r="M1087" s="22" t="n">
        <v>1</v>
      </c>
      <c r="N1087" s="22" t="n">
        <v>0</v>
      </c>
      <c r="O1087" s="22" t="n">
        <v>0</v>
      </c>
      <c r="P1087" s="22" t="n">
        <v>1</v>
      </c>
      <c r="Q1087" s="22" t="n">
        <v>0</v>
      </c>
      <c r="R1087" s="22" t="n">
        <v>0</v>
      </c>
      <c r="S1087" s="22" t="n">
        <v>0</v>
      </c>
      <c r="T1087" s="22" t="n">
        <v>0</v>
      </c>
      <c r="U1087" s="3">
        <f>IF(OR(N1087=1,Q1087=1),1,0)</f>
        <v/>
      </c>
      <c r="V1087" s="3">
        <f>IF(OR(T1087=1,P1087=1),1,0)</f>
        <v/>
      </c>
      <c r="W1087" s="3">
        <f>IF(OR(J1087=1),1,0)</f>
        <v/>
      </c>
      <c r="X1087" s="3">
        <f>IF(OR(I1087=1,H1087=1),1,0)</f>
        <v/>
      </c>
      <c r="Y1087" s="3">
        <f>IF(OR(G1087=1),1,0)</f>
        <v/>
      </c>
      <c r="Z1087" s="3">
        <f>IF(OR(F1087=1),1,0)</f>
        <v/>
      </c>
      <c r="AA1087" s="3">
        <f>IF(OR(M1087=1),1,0)</f>
        <v/>
      </c>
    </row>
    <row r="1088">
      <c r="A1088" s="22" t="inlineStr">
        <is>
          <t>2b175c73f0f47b90566e4cda74b8134ed1919641</t>
        </is>
      </c>
      <c r="B1088" s="22" t="inlineStr">
        <is>
          <t>2026-10</t>
        </is>
      </c>
      <c r="C1088" s="22" t="inlineStr">
        <is>
          <t>Facebook</t>
        </is>
      </c>
      <c r="D1088" s="22" t="n">
        <v>0</v>
      </c>
      <c r="E1088" s="22" t="inlineStr">
        <is>
          <t>Facebook: INEC Nigeria</t>
        </is>
      </c>
      <c r="F1088" s="22" t="inlineStr">
        <is>
          <t>facebook:INEC Nigeria</t>
        </is>
      </c>
      <c r="G1088" s="22" t="n">
        <v>-0.527</v>
      </c>
      <c r="H1088" s="22" t="n">
        <v>1</v>
      </c>
      <c r="I1088" s="22" t="n">
        <v>1</v>
      </c>
      <c r="J1088" s="22" t="n">
        <v>0</v>
      </c>
      <c r="K1088" s="22" t="n">
        <v>0</v>
      </c>
      <c r="L1088" s="22" t="n">
        <v>0</v>
      </c>
      <c r="M1088" s="22" t="n">
        <v>0</v>
      </c>
      <c r="N1088" s="22" t="n">
        <v>0</v>
      </c>
      <c r="O1088" s="22" t="n">
        <v>0</v>
      </c>
      <c r="P1088" s="22" t="n">
        <v>0</v>
      </c>
      <c r="Q1088" s="22" t="n">
        <v>0</v>
      </c>
      <c r="R1088" s="22" t="n">
        <v>0</v>
      </c>
      <c r="S1088" s="22" t="n">
        <v>0</v>
      </c>
      <c r="T1088" s="22" t="n">
        <v>0</v>
      </c>
      <c r="U1088" s="3">
        <f>IF(OR(N1088=1,Q1088=1),1,0)</f>
        <v/>
      </c>
      <c r="V1088" s="3">
        <f>IF(OR(T1088=1,P1088=1),1,0)</f>
        <v/>
      </c>
      <c r="W1088" s="3">
        <f>IF(OR(J1088=1),1,0)</f>
        <v/>
      </c>
      <c r="X1088" s="3">
        <f>IF(OR(I1088=1,H1088=1),1,0)</f>
        <v/>
      </c>
      <c r="Y1088" s="3">
        <f>IF(OR(G1088=1),1,0)</f>
        <v/>
      </c>
      <c r="Z1088" s="3">
        <f>IF(OR(F1088=1),1,0)</f>
        <v/>
      </c>
      <c r="AA1088" s="3">
        <f>IF(OR(M1088=1),1,0)</f>
        <v/>
      </c>
    </row>
    <row r="1089">
      <c r="A1089" s="22" t="inlineStr">
        <is>
          <t>ef65cea8bae1b4c2767b0f901e45561cffd616b3</t>
        </is>
      </c>
      <c r="B1089" s="22" t="inlineStr">
        <is>
          <t>2026-10</t>
        </is>
      </c>
      <c r="C1089" s="22" t="inlineStr">
        <is>
          <t>Facebook</t>
        </is>
      </c>
      <c r="D1089" s="22" t="n">
        <v>0</v>
      </c>
      <c r="E1089" s="22" t="inlineStr">
        <is>
          <t>Facebook: INEC Nigeria</t>
        </is>
      </c>
      <c r="F1089" s="22" t="inlineStr">
        <is>
          <t>facebook:INEC Nigeria</t>
        </is>
      </c>
      <c r="G1089" s="22" t="n">
        <v>-0.388</v>
      </c>
      <c r="H1089" s="22" t="n">
        <v>0</v>
      </c>
      <c r="I1089" s="22" t="n">
        <v>0</v>
      </c>
      <c r="J1089" s="22" t="n">
        <v>0</v>
      </c>
      <c r="K1089" s="22" t="n">
        <v>0</v>
      </c>
      <c r="L1089" s="22" t="n">
        <v>0</v>
      </c>
      <c r="M1089" s="22" t="n">
        <v>1</v>
      </c>
      <c r="N1089" s="22" t="n">
        <v>0</v>
      </c>
      <c r="O1089" s="22" t="n">
        <v>0</v>
      </c>
      <c r="P1089" s="22" t="n">
        <v>0</v>
      </c>
      <c r="Q1089" s="22" t="n">
        <v>0</v>
      </c>
      <c r="R1089" s="22" t="n">
        <v>0</v>
      </c>
      <c r="S1089" s="22" t="n">
        <v>0</v>
      </c>
      <c r="T1089" s="22" t="n">
        <v>0</v>
      </c>
      <c r="U1089" s="3">
        <f>IF(OR(N1089=1,Q1089=1),1,0)</f>
        <v/>
      </c>
      <c r="V1089" s="3">
        <f>IF(OR(T1089=1,P1089=1),1,0)</f>
        <v/>
      </c>
      <c r="W1089" s="3">
        <f>IF(OR(J1089=1),1,0)</f>
        <v/>
      </c>
      <c r="X1089" s="3">
        <f>IF(OR(I1089=1,H1089=1),1,0)</f>
        <v/>
      </c>
      <c r="Y1089" s="3">
        <f>IF(OR(G1089=1),1,0)</f>
        <v/>
      </c>
      <c r="Z1089" s="3">
        <f>IF(OR(F1089=1),1,0)</f>
        <v/>
      </c>
      <c r="AA1089" s="3">
        <f>IF(OR(M1089=1),1,0)</f>
        <v/>
      </c>
    </row>
    <row r="1090">
      <c r="A1090" s="22" t="inlineStr">
        <is>
          <t>16633dbdd5fc29b189209c0cdb4905ae1eaf13bc</t>
        </is>
      </c>
      <c r="B1090" s="22" t="inlineStr">
        <is>
          <t>2026-10</t>
        </is>
      </c>
      <c r="C1090" s="22" t="inlineStr">
        <is>
          <t>Facebook</t>
        </is>
      </c>
      <c r="D1090" s="22" t="n">
        <v>0</v>
      </c>
      <c r="E1090" s="22" t="inlineStr">
        <is>
          <t>Facebook: INEC Nigeria</t>
        </is>
      </c>
      <c r="F1090" s="22" t="inlineStr">
        <is>
          <t>facebook:INEC Nigeria</t>
        </is>
      </c>
      <c r="G1090" s="22" t="n">
        <v>0</v>
      </c>
      <c r="H1090" s="22" t="n">
        <v>0</v>
      </c>
      <c r="I1090" s="22" t="n">
        <v>1</v>
      </c>
      <c r="J1090" s="22" t="n">
        <v>0</v>
      </c>
      <c r="K1090" s="22" t="n">
        <v>0</v>
      </c>
      <c r="L1090" s="22" t="n">
        <v>0</v>
      </c>
      <c r="M1090" s="22" t="n">
        <v>0</v>
      </c>
      <c r="N1090" s="22" t="n">
        <v>0</v>
      </c>
      <c r="O1090" s="22" t="n">
        <v>0</v>
      </c>
      <c r="P1090" s="22" t="n">
        <v>0</v>
      </c>
      <c r="Q1090" s="22" t="n">
        <v>0</v>
      </c>
      <c r="R1090" s="22" t="n">
        <v>0</v>
      </c>
      <c r="S1090" s="22" t="n">
        <v>0</v>
      </c>
      <c r="T1090" s="22" t="n">
        <v>0</v>
      </c>
      <c r="U1090" s="3">
        <f>IF(OR(N1090=1,Q1090=1),1,0)</f>
        <v/>
      </c>
      <c r="V1090" s="3">
        <f>IF(OR(T1090=1,P1090=1),1,0)</f>
        <v/>
      </c>
      <c r="W1090" s="3">
        <f>IF(OR(J1090=1),1,0)</f>
        <v/>
      </c>
      <c r="X1090" s="3">
        <f>IF(OR(I1090=1,H1090=1),1,0)</f>
        <v/>
      </c>
      <c r="Y1090" s="3">
        <f>IF(OR(G1090=1),1,0)</f>
        <v/>
      </c>
      <c r="Z1090" s="3">
        <f>IF(OR(F1090=1),1,0)</f>
        <v/>
      </c>
      <c r="AA1090" s="3">
        <f>IF(OR(M1090=1),1,0)</f>
        <v/>
      </c>
    </row>
    <row r="1091">
      <c r="A1091" s="22" t="inlineStr">
        <is>
          <t>3b5045d74497f254107e7b36892bf1c0f70be221</t>
        </is>
      </c>
      <c r="B1091" s="22" t="inlineStr">
        <is>
          <t>2026-10</t>
        </is>
      </c>
      <c r="C1091" s="22" t="inlineStr">
        <is>
          <t>Facebook</t>
        </is>
      </c>
      <c r="D1091" s="22" t="n">
        <v>0</v>
      </c>
      <c r="E1091" s="22" t="inlineStr">
        <is>
          <t>Facebook: INEC Nigeria</t>
        </is>
      </c>
      <c r="F1091" s="22" t="inlineStr">
        <is>
          <t>facebook:INEC Nigeria</t>
        </is>
      </c>
      <c r="G1091" s="22" t="n">
        <v>0.049</v>
      </c>
      <c r="H1091" s="22" t="n">
        <v>0</v>
      </c>
      <c r="I1091" s="22" t="n">
        <v>0</v>
      </c>
      <c r="J1091" s="22" t="n">
        <v>0</v>
      </c>
      <c r="K1091" s="22" t="n">
        <v>0</v>
      </c>
      <c r="L1091" s="22" t="n">
        <v>0</v>
      </c>
      <c r="M1091" s="22" t="n">
        <v>0</v>
      </c>
      <c r="N1091" s="22" t="n">
        <v>0</v>
      </c>
      <c r="O1091" s="22" t="n">
        <v>0</v>
      </c>
      <c r="P1091" s="22" t="n">
        <v>1</v>
      </c>
      <c r="Q1091" s="22" t="n">
        <v>0</v>
      </c>
      <c r="R1091" s="22" t="n">
        <v>0</v>
      </c>
      <c r="S1091" s="22" t="n">
        <v>0</v>
      </c>
      <c r="T1091" s="22" t="n">
        <v>0</v>
      </c>
      <c r="U1091" s="3">
        <f>IF(OR(N1091=1,Q1091=1),1,0)</f>
        <v/>
      </c>
      <c r="V1091" s="3">
        <f>IF(OR(T1091=1,P1091=1),1,0)</f>
        <v/>
      </c>
      <c r="W1091" s="3">
        <f>IF(OR(J1091=1),1,0)</f>
        <v/>
      </c>
      <c r="X1091" s="3">
        <f>IF(OR(I1091=1,H1091=1),1,0)</f>
        <v/>
      </c>
      <c r="Y1091" s="3">
        <f>IF(OR(G1091=1),1,0)</f>
        <v/>
      </c>
      <c r="Z1091" s="3">
        <f>IF(OR(F1091=1),1,0)</f>
        <v/>
      </c>
      <c r="AA1091" s="3">
        <f>IF(OR(M1091=1),1,0)</f>
        <v/>
      </c>
    </row>
    <row r="1092">
      <c r="A1092" s="22" t="inlineStr">
        <is>
          <t>539d8d04dcea20326a2db07431dcdbe8a758cdf7</t>
        </is>
      </c>
      <c r="B1092" s="22" t="inlineStr">
        <is>
          <t>2026-10</t>
        </is>
      </c>
      <c r="C1092" s="22" t="inlineStr">
        <is>
          <t>Facebook</t>
        </is>
      </c>
      <c r="D1092" s="22" t="n">
        <v>0</v>
      </c>
      <c r="E1092" s="22" t="inlineStr">
        <is>
          <t>Facebook: INEC Nigeria</t>
        </is>
      </c>
      <c r="F1092" s="22" t="inlineStr">
        <is>
          <t>facebook:INEC Nigeria</t>
        </is>
      </c>
      <c r="G1092" s="22" t="n">
        <v>0.264</v>
      </c>
      <c r="H1092" s="22" t="n">
        <v>0</v>
      </c>
      <c r="I1092" s="22" t="n">
        <v>1</v>
      </c>
      <c r="J1092" s="22" t="n">
        <v>0</v>
      </c>
      <c r="K1092" s="22" t="n">
        <v>0</v>
      </c>
      <c r="L1092" s="22" t="n">
        <v>0</v>
      </c>
      <c r="M1092" s="22" t="n">
        <v>0</v>
      </c>
      <c r="N1092" s="22" t="n">
        <v>0</v>
      </c>
      <c r="O1092" s="22" t="n">
        <v>0</v>
      </c>
      <c r="P1092" s="22" t="n">
        <v>0</v>
      </c>
      <c r="Q1092" s="22" t="n">
        <v>0</v>
      </c>
      <c r="R1092" s="22" t="n">
        <v>0</v>
      </c>
      <c r="S1092" s="22" t="n">
        <v>0</v>
      </c>
      <c r="T1092" s="22" t="n">
        <v>0</v>
      </c>
      <c r="U1092" s="3">
        <f>IF(OR(N1092=1,Q1092=1),1,0)</f>
        <v/>
      </c>
      <c r="V1092" s="3">
        <f>IF(OR(T1092=1,P1092=1),1,0)</f>
        <v/>
      </c>
      <c r="W1092" s="3">
        <f>IF(OR(J1092=1),1,0)</f>
        <v/>
      </c>
      <c r="X1092" s="3">
        <f>IF(OR(I1092=1,H1092=1),1,0)</f>
        <v/>
      </c>
      <c r="Y1092" s="3">
        <f>IF(OR(G1092=1),1,0)</f>
        <v/>
      </c>
      <c r="Z1092" s="3">
        <f>IF(OR(F1092=1),1,0)</f>
        <v/>
      </c>
      <c r="AA1092" s="3">
        <f>IF(OR(M1092=1),1,0)</f>
        <v/>
      </c>
    </row>
    <row r="1093">
      <c r="A1093" s="22" t="inlineStr">
        <is>
          <t>cbb04fb63bc40b7fce6322fff6b7f9bc2714682a</t>
        </is>
      </c>
      <c r="B1093" s="22" t="inlineStr">
        <is>
          <t>2026-10</t>
        </is>
      </c>
      <c r="C1093" s="22" t="inlineStr">
        <is>
          <t>Facebook</t>
        </is>
      </c>
      <c r="D1093" s="22" t="n">
        <v>0</v>
      </c>
      <c r="E1093" s="22" t="inlineStr">
        <is>
          <t>Facebook: INEC Nigeria</t>
        </is>
      </c>
      <c r="F1093" s="22" t="inlineStr">
        <is>
          <t>facebook:INEC Nigeria</t>
        </is>
      </c>
      <c r="G1093" s="22" t="n">
        <v>-0.494</v>
      </c>
      <c r="H1093" s="22" t="n">
        <v>0</v>
      </c>
      <c r="I1093" s="22" t="n">
        <v>0</v>
      </c>
      <c r="J1093" s="22" t="n">
        <v>0</v>
      </c>
      <c r="K1093" s="22" t="n">
        <v>0</v>
      </c>
      <c r="L1093" s="22" t="n">
        <v>0</v>
      </c>
      <c r="M1093" s="22" t="n">
        <v>1</v>
      </c>
      <c r="N1093" s="22" t="n">
        <v>0</v>
      </c>
      <c r="O1093" s="22" t="n">
        <v>0</v>
      </c>
      <c r="P1093" s="22" t="n">
        <v>0</v>
      </c>
      <c r="Q1093" s="22" t="n">
        <v>0</v>
      </c>
      <c r="R1093" s="22" t="n">
        <v>0</v>
      </c>
      <c r="S1093" s="22" t="n">
        <v>0</v>
      </c>
      <c r="T1093" s="22" t="n">
        <v>0</v>
      </c>
      <c r="U1093" s="3">
        <f>IF(OR(N1093=1,Q1093=1),1,0)</f>
        <v/>
      </c>
      <c r="V1093" s="3">
        <f>IF(OR(T1093=1,P1093=1),1,0)</f>
        <v/>
      </c>
      <c r="W1093" s="3">
        <f>IF(OR(J1093=1),1,0)</f>
        <v/>
      </c>
      <c r="X1093" s="3">
        <f>IF(OR(I1093=1,H1093=1),1,0)</f>
        <v/>
      </c>
      <c r="Y1093" s="3">
        <f>IF(OR(G1093=1),1,0)</f>
        <v/>
      </c>
      <c r="Z1093" s="3">
        <f>IF(OR(F1093=1),1,0)</f>
        <v/>
      </c>
      <c r="AA1093" s="3">
        <f>IF(OR(M1093=1),1,0)</f>
        <v/>
      </c>
    </row>
    <row r="1094">
      <c r="A1094" s="22" t="inlineStr">
        <is>
          <t>b99e93707cd569bbd52071de21cacf9325a992d6</t>
        </is>
      </c>
      <c r="B1094" s="22" t="inlineStr">
        <is>
          <t>2026-10</t>
        </is>
      </c>
      <c r="C1094" s="22" t="inlineStr">
        <is>
          <t>Facebook</t>
        </is>
      </c>
      <c r="D1094" s="22" t="n">
        <v>0</v>
      </c>
      <c r="E1094" s="22" t="inlineStr">
        <is>
          <t>Facebook: INEC Nigeria</t>
        </is>
      </c>
      <c r="F1094" s="22" t="inlineStr">
        <is>
          <t>facebook:INEC Nigeria</t>
        </is>
      </c>
      <c r="G1094" s="22" t="n">
        <v>0</v>
      </c>
      <c r="H1094" s="22" t="n">
        <v>0</v>
      </c>
      <c r="I1094" s="22" t="n">
        <v>0</v>
      </c>
      <c r="J1094" s="22" t="n">
        <v>0</v>
      </c>
      <c r="K1094" s="22" t="n">
        <v>0</v>
      </c>
      <c r="L1094" s="22" t="n">
        <v>0</v>
      </c>
      <c r="M1094" s="22" t="n">
        <v>0</v>
      </c>
      <c r="N1094" s="22" t="n">
        <v>0</v>
      </c>
      <c r="O1094" s="22" t="n">
        <v>0</v>
      </c>
      <c r="P1094" s="22" t="n">
        <v>1</v>
      </c>
      <c r="Q1094" s="22" t="n">
        <v>0</v>
      </c>
      <c r="R1094" s="22" t="n">
        <v>0</v>
      </c>
      <c r="S1094" s="22" t="n">
        <v>0</v>
      </c>
      <c r="T1094" s="22" t="n">
        <v>0</v>
      </c>
      <c r="U1094" s="3">
        <f>IF(OR(N1094=1,Q1094=1),1,0)</f>
        <v/>
      </c>
      <c r="V1094" s="3">
        <f>IF(OR(T1094=1,P1094=1),1,0)</f>
        <v/>
      </c>
      <c r="W1094" s="3">
        <f>IF(OR(J1094=1),1,0)</f>
        <v/>
      </c>
      <c r="X1094" s="3">
        <f>IF(OR(I1094=1,H1094=1),1,0)</f>
        <v/>
      </c>
      <c r="Y1094" s="3">
        <f>IF(OR(G1094=1),1,0)</f>
        <v/>
      </c>
      <c r="Z1094" s="3">
        <f>IF(OR(F1094=1),1,0)</f>
        <v/>
      </c>
      <c r="AA1094" s="3">
        <f>IF(OR(M1094=1),1,0)</f>
        <v/>
      </c>
    </row>
    <row r="1095">
      <c r="A1095" s="22" t="inlineStr">
        <is>
          <t>78f255daee7fcbc50da9bec2b35e815e98d2f4b7</t>
        </is>
      </c>
      <c r="B1095" s="22" t="inlineStr">
        <is>
          <t>2026-10</t>
        </is>
      </c>
      <c r="C1095" s="22" t="inlineStr">
        <is>
          <t>Facebook</t>
        </is>
      </c>
      <c r="D1095" s="22" t="n">
        <v>0</v>
      </c>
      <c r="E1095" s="22" t="inlineStr">
        <is>
          <t>Facebook: INEC Nigeria</t>
        </is>
      </c>
      <c r="F1095" s="22" t="inlineStr">
        <is>
          <t>facebook:INEC Nigeria</t>
        </is>
      </c>
      <c r="G1095" s="22" t="n">
        <v>0.226</v>
      </c>
      <c r="H1095" s="22" t="n">
        <v>0</v>
      </c>
      <c r="I1095" s="22" t="n">
        <v>0</v>
      </c>
      <c r="J1095" s="22" t="n">
        <v>0</v>
      </c>
      <c r="K1095" s="22" t="n">
        <v>0</v>
      </c>
      <c r="L1095" s="22" t="n">
        <v>0</v>
      </c>
      <c r="M1095" s="22" t="n">
        <v>0</v>
      </c>
      <c r="N1095" s="22" t="n">
        <v>0</v>
      </c>
      <c r="O1095" s="22" t="n">
        <v>1</v>
      </c>
      <c r="P1095" s="22" t="n">
        <v>0</v>
      </c>
      <c r="Q1095" s="22" t="n">
        <v>0</v>
      </c>
      <c r="R1095" s="22" t="n">
        <v>0</v>
      </c>
      <c r="S1095" s="22" t="n">
        <v>0</v>
      </c>
      <c r="T1095" s="22" t="n">
        <v>0</v>
      </c>
      <c r="U1095" s="3">
        <f>IF(OR(N1095=1,Q1095=1),1,0)</f>
        <v/>
      </c>
      <c r="V1095" s="3">
        <f>IF(OR(T1095=1,P1095=1),1,0)</f>
        <v/>
      </c>
      <c r="W1095" s="3">
        <f>IF(OR(J1095=1),1,0)</f>
        <v/>
      </c>
      <c r="X1095" s="3">
        <f>IF(OR(I1095=1,H1095=1),1,0)</f>
        <v/>
      </c>
      <c r="Y1095" s="3">
        <f>IF(OR(G1095=1),1,0)</f>
        <v/>
      </c>
      <c r="Z1095" s="3">
        <f>IF(OR(F1095=1),1,0)</f>
        <v/>
      </c>
      <c r="AA1095" s="3">
        <f>IF(OR(M1095=1),1,0)</f>
        <v/>
      </c>
    </row>
    <row r="1096">
      <c r="A1096" s="22" t="inlineStr">
        <is>
          <t>86b3065fa86c1a1bf7b8f1a7d34638ae9a0b87db</t>
        </is>
      </c>
      <c r="B1096" s="22" t="inlineStr">
        <is>
          <t>2026-10</t>
        </is>
      </c>
      <c r="C1096" s="22" t="inlineStr">
        <is>
          <t>Facebook</t>
        </is>
      </c>
      <c r="D1096" s="22" t="n">
        <v>0</v>
      </c>
      <c r="E1096" s="22" t="inlineStr">
        <is>
          <t>Facebook: INEC Nigeria</t>
        </is>
      </c>
      <c r="F1096" s="22" t="inlineStr">
        <is>
          <t>facebook:INEC Nigeria</t>
        </is>
      </c>
      <c r="G1096" s="22" t="n">
        <v>0.25</v>
      </c>
      <c r="H1096" s="22" t="n">
        <v>0</v>
      </c>
      <c r="I1096" s="22" t="n">
        <v>0</v>
      </c>
      <c r="J1096" s="22" t="n">
        <v>0</v>
      </c>
      <c r="K1096" s="22" t="n">
        <v>0</v>
      </c>
      <c r="L1096" s="22" t="n">
        <v>0</v>
      </c>
      <c r="M1096" s="22" t="n">
        <v>0</v>
      </c>
      <c r="N1096" s="22" t="n">
        <v>0</v>
      </c>
      <c r="O1096" s="22" t="n">
        <v>1</v>
      </c>
      <c r="P1096" s="22" t="n">
        <v>0</v>
      </c>
      <c r="Q1096" s="22" t="n">
        <v>0</v>
      </c>
      <c r="R1096" s="22" t="n">
        <v>0</v>
      </c>
      <c r="S1096" s="22" t="n">
        <v>0</v>
      </c>
      <c r="T1096" s="22" t="n">
        <v>0</v>
      </c>
      <c r="U1096" s="3">
        <f>IF(OR(N1096=1,Q1096=1),1,0)</f>
        <v/>
      </c>
      <c r="V1096" s="3">
        <f>IF(OR(T1096=1,P1096=1),1,0)</f>
        <v/>
      </c>
      <c r="W1096" s="3">
        <f>IF(OR(J1096=1),1,0)</f>
        <v/>
      </c>
      <c r="X1096" s="3">
        <f>IF(OR(I1096=1,H1096=1),1,0)</f>
        <v/>
      </c>
      <c r="Y1096" s="3">
        <f>IF(OR(G1096=1),1,0)</f>
        <v/>
      </c>
      <c r="Z1096" s="3">
        <f>IF(OR(F1096=1),1,0)</f>
        <v/>
      </c>
      <c r="AA1096" s="3">
        <f>IF(OR(M1096=1),1,0)</f>
        <v/>
      </c>
    </row>
    <row r="1097">
      <c r="A1097" s="22" t="inlineStr">
        <is>
          <t>f4339b28cde7b961d4a37ff18379e5471cef8750</t>
        </is>
      </c>
      <c r="B1097" s="22" t="inlineStr">
        <is>
          <t>2026-10</t>
        </is>
      </c>
      <c r="C1097" s="22" t="inlineStr">
        <is>
          <t>Facebook</t>
        </is>
      </c>
      <c r="D1097" s="22" t="n">
        <v>0</v>
      </c>
      <c r="E1097" s="22" t="inlineStr">
        <is>
          <t>Facebook: INEC Nigeria</t>
        </is>
      </c>
      <c r="F1097" s="22" t="inlineStr">
        <is>
          <t>facebook:INEC Nigeria</t>
        </is>
      </c>
      <c r="G1097" s="22" t="n">
        <v>0.361</v>
      </c>
      <c r="H1097" s="22" t="n">
        <v>0</v>
      </c>
      <c r="I1097" s="22" t="n">
        <v>0</v>
      </c>
      <c r="J1097" s="22" t="n">
        <v>0</v>
      </c>
      <c r="K1097" s="22" t="n">
        <v>0</v>
      </c>
      <c r="L1097" s="22" t="n">
        <v>0</v>
      </c>
      <c r="M1097" s="22" t="n">
        <v>0</v>
      </c>
      <c r="N1097" s="22" t="n">
        <v>0</v>
      </c>
      <c r="O1097" s="22" t="n">
        <v>0</v>
      </c>
      <c r="P1097" s="22" t="n">
        <v>1</v>
      </c>
      <c r="Q1097" s="22" t="n">
        <v>0</v>
      </c>
      <c r="R1097" s="22" t="n">
        <v>0</v>
      </c>
      <c r="S1097" s="22" t="n">
        <v>0</v>
      </c>
      <c r="T1097" s="22" t="n">
        <v>0</v>
      </c>
      <c r="U1097" s="3">
        <f>IF(OR(N1097=1,Q1097=1),1,0)</f>
        <v/>
      </c>
      <c r="V1097" s="3">
        <f>IF(OR(T1097=1,P1097=1),1,0)</f>
        <v/>
      </c>
      <c r="W1097" s="3">
        <f>IF(OR(J1097=1),1,0)</f>
        <v/>
      </c>
      <c r="X1097" s="3">
        <f>IF(OR(I1097=1,H1097=1),1,0)</f>
        <v/>
      </c>
      <c r="Y1097" s="3">
        <f>IF(OR(G1097=1),1,0)</f>
        <v/>
      </c>
      <c r="Z1097" s="3">
        <f>IF(OR(F1097=1),1,0)</f>
        <v/>
      </c>
      <c r="AA1097" s="3">
        <f>IF(OR(M1097=1),1,0)</f>
        <v/>
      </c>
    </row>
    <row r="1098">
      <c r="A1098" s="22" t="inlineStr">
        <is>
          <t>f91a33a9e63609e646eb27720807fc701905e223</t>
        </is>
      </c>
      <c r="B1098" s="22" t="inlineStr">
        <is>
          <t>2026-10</t>
        </is>
      </c>
      <c r="C1098" s="22" t="inlineStr">
        <is>
          <t>X</t>
        </is>
      </c>
      <c r="D1098" s="22" t="n">
        <v>0</v>
      </c>
      <c r="E1098" s="22" t="inlineStr">
        <is>
          <t>X: @inecnigeria (replies)</t>
        </is>
      </c>
      <c r="F1098" s="22" t="inlineStr">
        <is>
          <t>x:@inecnigeria (replies)</t>
        </is>
      </c>
      <c r="G1098" s="22" t="n">
        <v>0.188</v>
      </c>
      <c r="H1098" s="22" t="n">
        <v>0</v>
      </c>
      <c r="I1098" s="22" t="n">
        <v>0</v>
      </c>
      <c r="J1098" s="22" t="n">
        <v>0</v>
      </c>
      <c r="K1098" s="22" t="n">
        <v>0</v>
      </c>
      <c r="L1098" s="22" t="n">
        <v>0</v>
      </c>
      <c r="M1098" s="22" t="n">
        <v>0</v>
      </c>
      <c r="N1098" s="22" t="n">
        <v>0</v>
      </c>
      <c r="O1098" s="22" t="n">
        <v>1</v>
      </c>
      <c r="P1098" s="22" t="n">
        <v>0</v>
      </c>
      <c r="Q1098" s="22" t="n">
        <v>0</v>
      </c>
      <c r="R1098" s="22" t="n">
        <v>0</v>
      </c>
      <c r="S1098" s="22" t="n">
        <v>0</v>
      </c>
      <c r="T1098" s="22" t="n">
        <v>0</v>
      </c>
      <c r="U1098" s="3">
        <f>IF(OR(N1098=1,Q1098=1),1,0)</f>
        <v/>
      </c>
      <c r="V1098" s="3">
        <f>IF(OR(T1098=1,P1098=1),1,0)</f>
        <v/>
      </c>
      <c r="W1098" s="3">
        <f>IF(OR(J1098=1),1,0)</f>
        <v/>
      </c>
      <c r="X1098" s="3">
        <f>IF(OR(I1098=1,H1098=1),1,0)</f>
        <v/>
      </c>
      <c r="Y1098" s="3">
        <f>IF(OR(G1098=1),1,0)</f>
        <v/>
      </c>
      <c r="Z1098" s="3">
        <f>IF(OR(F1098=1),1,0)</f>
        <v/>
      </c>
      <c r="AA1098" s="3">
        <f>IF(OR(M1098=1),1,0)</f>
        <v/>
      </c>
    </row>
    <row r="1099">
      <c r="A1099" s="22" t="inlineStr">
        <is>
          <t>d11b4a578604614049879971e8f2e2ea4cc588e5</t>
        </is>
      </c>
      <c r="B1099" s="22" t="inlineStr">
        <is>
          <t>2026-10</t>
        </is>
      </c>
      <c r="C1099" s="22" t="inlineStr">
        <is>
          <t>X</t>
        </is>
      </c>
      <c r="D1099" s="22" t="n">
        <v>0</v>
      </c>
      <c r="E1099" s="22" t="inlineStr">
        <is>
          <t>X: @inecnigeria (replies)</t>
        </is>
      </c>
      <c r="F1099" s="22" t="inlineStr">
        <is>
          <t>x:@inecnigeria (replies)</t>
        </is>
      </c>
      <c r="G1099" s="22" t="n">
        <v>-0.506</v>
      </c>
      <c r="H1099" s="22" t="n">
        <v>0</v>
      </c>
      <c r="I1099" s="22" t="n">
        <v>0</v>
      </c>
      <c r="J1099" s="22" t="n">
        <v>0</v>
      </c>
      <c r="K1099" s="22" t="n">
        <v>0</v>
      </c>
      <c r="L1099" s="22" t="n">
        <v>0</v>
      </c>
      <c r="M1099" s="22" t="n">
        <v>1</v>
      </c>
      <c r="N1099" s="22" t="n">
        <v>0</v>
      </c>
      <c r="O1099" s="22" t="n">
        <v>0</v>
      </c>
      <c r="P1099" s="22" t="n">
        <v>0</v>
      </c>
      <c r="Q1099" s="22" t="n">
        <v>0</v>
      </c>
      <c r="R1099" s="22" t="n">
        <v>0</v>
      </c>
      <c r="S1099" s="22" t="n">
        <v>0</v>
      </c>
      <c r="T1099" s="22" t="n">
        <v>0</v>
      </c>
      <c r="U1099" s="3">
        <f>IF(OR(N1099=1,Q1099=1),1,0)</f>
        <v/>
      </c>
      <c r="V1099" s="3">
        <f>IF(OR(T1099=1,P1099=1),1,0)</f>
        <v/>
      </c>
      <c r="W1099" s="3">
        <f>IF(OR(J1099=1),1,0)</f>
        <v/>
      </c>
      <c r="X1099" s="3">
        <f>IF(OR(I1099=1,H1099=1),1,0)</f>
        <v/>
      </c>
      <c r="Y1099" s="3">
        <f>IF(OR(G1099=1),1,0)</f>
        <v/>
      </c>
      <c r="Z1099" s="3">
        <f>IF(OR(F1099=1),1,0)</f>
        <v/>
      </c>
      <c r="AA1099" s="3">
        <f>IF(OR(M1099=1),1,0)</f>
        <v/>
      </c>
    </row>
    <row r="1100">
      <c r="A1100" s="22" t="inlineStr">
        <is>
          <t>c13dc7cb18a01bda81af3117cec517dc8c460248</t>
        </is>
      </c>
      <c r="B1100" s="22" t="inlineStr">
        <is>
          <t>2026-10</t>
        </is>
      </c>
      <c r="C1100" s="22" t="inlineStr">
        <is>
          <t>X</t>
        </is>
      </c>
      <c r="D1100" s="22" t="n">
        <v>0</v>
      </c>
      <c r="E1100" s="22" t="inlineStr">
        <is>
          <t>X: @inecnigeria (replies)</t>
        </is>
      </c>
      <c r="F1100" s="22" t="inlineStr">
        <is>
          <t>x:@inecnigeria (replies)</t>
        </is>
      </c>
      <c r="G1100" s="22" t="n">
        <v>-0.751</v>
      </c>
      <c r="H1100" s="22" t="n">
        <v>1</v>
      </c>
      <c r="I1100" s="22" t="n">
        <v>0</v>
      </c>
      <c r="J1100" s="22" t="n">
        <v>0</v>
      </c>
      <c r="K1100" s="22" t="n">
        <v>0</v>
      </c>
      <c r="L1100" s="22" t="n">
        <v>0</v>
      </c>
      <c r="M1100" s="22" t="n">
        <v>0</v>
      </c>
      <c r="N1100" s="22" t="n">
        <v>0</v>
      </c>
      <c r="O1100" s="22" t="n">
        <v>0</v>
      </c>
      <c r="P1100" s="22" t="n">
        <v>0</v>
      </c>
      <c r="Q1100" s="22" t="n">
        <v>0</v>
      </c>
      <c r="R1100" s="22" t="n">
        <v>0</v>
      </c>
      <c r="S1100" s="22" t="n">
        <v>0</v>
      </c>
      <c r="T1100" s="22" t="n">
        <v>0</v>
      </c>
      <c r="U1100" s="3">
        <f>IF(OR(N1100=1,Q1100=1),1,0)</f>
        <v/>
      </c>
      <c r="V1100" s="3">
        <f>IF(OR(T1100=1,P1100=1),1,0)</f>
        <v/>
      </c>
      <c r="W1100" s="3">
        <f>IF(OR(J1100=1),1,0)</f>
        <v/>
      </c>
      <c r="X1100" s="3">
        <f>IF(OR(I1100=1,H1100=1),1,0)</f>
        <v/>
      </c>
      <c r="Y1100" s="3">
        <f>IF(OR(G1100=1),1,0)</f>
        <v/>
      </c>
      <c r="Z1100" s="3">
        <f>IF(OR(F1100=1),1,0)</f>
        <v/>
      </c>
      <c r="AA1100" s="3">
        <f>IF(OR(M1100=1),1,0)</f>
        <v/>
      </c>
    </row>
    <row r="1101">
      <c r="A1101" s="22" t="inlineStr">
        <is>
          <t>b3bbc29bed981f0792e46274efffe1d62f8cf70a</t>
        </is>
      </c>
      <c r="B1101" s="22" t="inlineStr">
        <is>
          <t>2026-10</t>
        </is>
      </c>
      <c r="C1101" s="22" t="inlineStr">
        <is>
          <t>X</t>
        </is>
      </c>
      <c r="D1101" s="22" t="n">
        <v>0</v>
      </c>
      <c r="E1101" s="22" t="inlineStr">
        <is>
          <t>X: @inecnigeria (replies)</t>
        </is>
      </c>
      <c r="F1101" s="22" t="inlineStr">
        <is>
          <t>x:@inecnigeria (replies)</t>
        </is>
      </c>
      <c r="G1101" s="22" t="n">
        <v>0.709</v>
      </c>
      <c r="H1101" s="22" t="n">
        <v>0</v>
      </c>
      <c r="I1101" s="22" t="n">
        <v>0</v>
      </c>
      <c r="J1101" s="22" t="n">
        <v>0</v>
      </c>
      <c r="K1101" s="22" t="n">
        <v>0</v>
      </c>
      <c r="L1101" s="22" t="n">
        <v>0</v>
      </c>
      <c r="M1101" s="22" t="n">
        <v>0</v>
      </c>
      <c r="N1101" s="22" t="n">
        <v>0</v>
      </c>
      <c r="O1101" s="22" t="n">
        <v>1</v>
      </c>
      <c r="P1101" s="22" t="n">
        <v>0</v>
      </c>
      <c r="Q1101" s="22" t="n">
        <v>0</v>
      </c>
      <c r="R1101" s="22" t="n">
        <v>0</v>
      </c>
      <c r="S1101" s="22" t="n">
        <v>0</v>
      </c>
      <c r="T1101" s="22" t="n">
        <v>0</v>
      </c>
      <c r="U1101" s="3">
        <f>IF(OR(N1101=1,Q1101=1),1,0)</f>
        <v/>
      </c>
      <c r="V1101" s="3">
        <f>IF(OR(T1101=1,P1101=1),1,0)</f>
        <v/>
      </c>
      <c r="W1101" s="3">
        <f>IF(OR(J1101=1),1,0)</f>
        <v/>
      </c>
      <c r="X1101" s="3">
        <f>IF(OR(I1101=1,H1101=1),1,0)</f>
        <v/>
      </c>
      <c r="Y1101" s="3">
        <f>IF(OR(G1101=1),1,0)</f>
        <v/>
      </c>
      <c r="Z1101" s="3">
        <f>IF(OR(F1101=1),1,0)</f>
        <v/>
      </c>
      <c r="AA1101" s="3">
        <f>IF(OR(M1101=1),1,0)</f>
        <v/>
      </c>
    </row>
    <row r="1102">
      <c r="A1102" s="22" t="inlineStr">
        <is>
          <t>c4f2b53fdec178546afa4bfce60e68db5e2359ef</t>
        </is>
      </c>
      <c r="B1102" s="22" t="inlineStr">
        <is>
          <t>2026-10</t>
        </is>
      </c>
      <c r="C1102" s="22" t="inlineStr">
        <is>
          <t>X</t>
        </is>
      </c>
      <c r="D1102" s="22" t="n">
        <v>0</v>
      </c>
      <c r="E1102" s="22" t="inlineStr">
        <is>
          <t>X: @inecnigeria (replies)</t>
        </is>
      </c>
      <c r="F1102" s="22" t="inlineStr">
        <is>
          <t>x:@inecnigeria (replies)</t>
        </is>
      </c>
      <c r="G1102" s="22" t="n">
        <v>-0.6909999999999999</v>
      </c>
      <c r="H1102" s="22" t="n">
        <v>1</v>
      </c>
      <c r="I1102" s="22" t="n">
        <v>0</v>
      </c>
      <c r="J1102" s="22" t="n">
        <v>0</v>
      </c>
      <c r="K1102" s="22" t="n">
        <v>0</v>
      </c>
      <c r="L1102" s="22" t="n">
        <v>0</v>
      </c>
      <c r="M1102" s="22" t="n">
        <v>0</v>
      </c>
      <c r="N1102" s="22" t="n">
        <v>0</v>
      </c>
      <c r="O1102" s="22" t="n">
        <v>0</v>
      </c>
      <c r="P1102" s="22" t="n">
        <v>0</v>
      </c>
      <c r="Q1102" s="22" t="n">
        <v>0</v>
      </c>
      <c r="R1102" s="22" t="n">
        <v>0</v>
      </c>
      <c r="S1102" s="22" t="n">
        <v>0</v>
      </c>
      <c r="T1102" s="22" t="n">
        <v>0</v>
      </c>
      <c r="U1102" s="3">
        <f>IF(OR(N1102=1,Q1102=1),1,0)</f>
        <v/>
      </c>
      <c r="V1102" s="3">
        <f>IF(OR(T1102=1,P1102=1),1,0)</f>
        <v/>
      </c>
      <c r="W1102" s="3">
        <f>IF(OR(J1102=1),1,0)</f>
        <v/>
      </c>
      <c r="X1102" s="3">
        <f>IF(OR(I1102=1,H1102=1),1,0)</f>
        <v/>
      </c>
      <c r="Y1102" s="3">
        <f>IF(OR(G1102=1),1,0)</f>
        <v/>
      </c>
      <c r="Z1102" s="3">
        <f>IF(OR(F1102=1),1,0)</f>
        <v/>
      </c>
      <c r="AA1102" s="3">
        <f>IF(OR(M1102=1),1,0)</f>
        <v/>
      </c>
    </row>
    <row r="1103">
      <c r="A1103" s="22" t="inlineStr">
        <is>
          <t>1e0105c5ea1a2845903cc3b90f30729b22616d3b</t>
        </is>
      </c>
      <c r="B1103" s="22" t="inlineStr">
        <is>
          <t>2026-10</t>
        </is>
      </c>
      <c r="C1103" s="22" t="inlineStr">
        <is>
          <t>X</t>
        </is>
      </c>
      <c r="D1103" s="22" t="n">
        <v>0</v>
      </c>
      <c r="E1103" s="22" t="inlineStr">
        <is>
          <t>X: @inecnigeria (replies)</t>
        </is>
      </c>
      <c r="F1103" s="22" t="inlineStr">
        <is>
          <t>x:@inecnigeria (replies)</t>
        </is>
      </c>
      <c r="G1103" s="22" t="n">
        <v>-0.802</v>
      </c>
      <c r="H1103" s="22" t="n">
        <v>1</v>
      </c>
      <c r="I1103" s="22" t="n">
        <v>0</v>
      </c>
      <c r="J1103" s="22" t="n">
        <v>0</v>
      </c>
      <c r="K1103" s="22" t="n">
        <v>0</v>
      </c>
      <c r="L1103" s="22" t="n">
        <v>0</v>
      </c>
      <c r="M1103" s="22" t="n">
        <v>1</v>
      </c>
      <c r="N1103" s="22" t="n">
        <v>0</v>
      </c>
      <c r="O1103" s="22" t="n">
        <v>0</v>
      </c>
      <c r="P1103" s="22" t="n">
        <v>0</v>
      </c>
      <c r="Q1103" s="22" t="n">
        <v>0</v>
      </c>
      <c r="R1103" s="22" t="n">
        <v>0</v>
      </c>
      <c r="S1103" s="22" t="n">
        <v>0</v>
      </c>
      <c r="T1103" s="22" t="n">
        <v>0</v>
      </c>
      <c r="U1103" s="3">
        <f>IF(OR(N1103=1,Q1103=1),1,0)</f>
        <v/>
      </c>
      <c r="V1103" s="3">
        <f>IF(OR(T1103=1,P1103=1),1,0)</f>
        <v/>
      </c>
      <c r="W1103" s="3">
        <f>IF(OR(J1103=1),1,0)</f>
        <v/>
      </c>
      <c r="X1103" s="3">
        <f>IF(OR(I1103=1,H1103=1),1,0)</f>
        <v/>
      </c>
      <c r="Y1103" s="3">
        <f>IF(OR(G1103=1),1,0)</f>
        <v/>
      </c>
      <c r="Z1103" s="3">
        <f>IF(OR(F1103=1),1,0)</f>
        <v/>
      </c>
      <c r="AA1103" s="3">
        <f>IF(OR(M1103=1),1,0)</f>
        <v/>
      </c>
    </row>
    <row r="1104">
      <c r="A1104" s="22" t="inlineStr">
        <is>
          <t>9cc11a275c68e43144ae9fc79ab4ed1ee2c24455</t>
        </is>
      </c>
      <c r="B1104" s="22" t="inlineStr">
        <is>
          <t>2026-10</t>
        </is>
      </c>
      <c r="C1104" s="22" t="inlineStr">
        <is>
          <t>X</t>
        </is>
      </c>
      <c r="D1104" s="22" t="n">
        <v>0</v>
      </c>
      <c r="E1104" s="22" t="inlineStr">
        <is>
          <t>X: @inecnigeria (replies)</t>
        </is>
      </c>
      <c r="F1104" s="22" t="inlineStr">
        <is>
          <t>x:@inecnigeria (replies)</t>
        </is>
      </c>
      <c r="G1104" s="22" t="n">
        <v>0.63</v>
      </c>
      <c r="H1104" s="22" t="n">
        <v>0</v>
      </c>
      <c r="I1104" s="22" t="n">
        <v>0</v>
      </c>
      <c r="J1104" s="22" t="n">
        <v>0</v>
      </c>
      <c r="K1104" s="22" t="n">
        <v>0</v>
      </c>
      <c r="L1104" s="22" t="n">
        <v>0</v>
      </c>
      <c r="M1104" s="22" t="n">
        <v>0</v>
      </c>
      <c r="N1104" s="22" t="n">
        <v>0</v>
      </c>
      <c r="O1104" s="22" t="n">
        <v>1</v>
      </c>
      <c r="P1104" s="22" t="n">
        <v>0</v>
      </c>
      <c r="Q1104" s="22" t="n">
        <v>0</v>
      </c>
      <c r="R1104" s="22" t="n">
        <v>1</v>
      </c>
      <c r="S1104" s="22" t="n">
        <v>0</v>
      </c>
      <c r="T1104" s="22" t="n">
        <v>0</v>
      </c>
      <c r="U1104" s="3">
        <f>IF(OR(N1104=1,Q1104=1),1,0)</f>
        <v/>
      </c>
      <c r="V1104" s="3">
        <f>IF(OR(T1104=1,P1104=1),1,0)</f>
        <v/>
      </c>
      <c r="W1104" s="3">
        <f>IF(OR(J1104=1),1,0)</f>
        <v/>
      </c>
      <c r="X1104" s="3">
        <f>IF(OR(I1104=1,H1104=1),1,0)</f>
        <v/>
      </c>
      <c r="Y1104" s="3">
        <f>IF(OR(G1104=1),1,0)</f>
        <v/>
      </c>
      <c r="Z1104" s="3">
        <f>IF(OR(F1104=1),1,0)</f>
        <v/>
      </c>
      <c r="AA1104" s="3">
        <f>IF(OR(M1104=1),1,0)</f>
        <v/>
      </c>
    </row>
    <row r="1105">
      <c r="A1105" s="22" t="inlineStr">
        <is>
          <t>fe5acf5c9f6e0e9c4053368e57f4f7d5aac225fa</t>
        </is>
      </c>
      <c r="B1105" s="22" t="inlineStr">
        <is>
          <t>2026-10</t>
        </is>
      </c>
      <c r="C1105" s="22" t="inlineStr">
        <is>
          <t>X</t>
        </is>
      </c>
      <c r="D1105" s="22" t="n">
        <v>0</v>
      </c>
      <c r="E1105" s="22" t="inlineStr">
        <is>
          <t>X: @inecnigeria (replies)</t>
        </is>
      </c>
      <c r="F1105" s="22" t="inlineStr">
        <is>
          <t>x:@inecnigeria (replies)</t>
        </is>
      </c>
      <c r="G1105" s="22" t="n">
        <v>-0.542</v>
      </c>
      <c r="H1105" s="22" t="n">
        <v>1</v>
      </c>
      <c r="I1105" s="22" t="n">
        <v>0</v>
      </c>
      <c r="J1105" s="22" t="n">
        <v>0</v>
      </c>
      <c r="K1105" s="22" t="n">
        <v>0</v>
      </c>
      <c r="L1105" s="22" t="n">
        <v>0</v>
      </c>
      <c r="M1105" s="22" t="n">
        <v>1</v>
      </c>
      <c r="N1105" s="22" t="n">
        <v>0</v>
      </c>
      <c r="O1105" s="22" t="n">
        <v>0</v>
      </c>
      <c r="P1105" s="22" t="n">
        <v>0</v>
      </c>
      <c r="Q1105" s="22" t="n">
        <v>0</v>
      </c>
      <c r="R1105" s="22" t="n">
        <v>0</v>
      </c>
      <c r="S1105" s="22" t="n">
        <v>0</v>
      </c>
      <c r="T1105" s="22" t="n">
        <v>0</v>
      </c>
      <c r="U1105" s="3">
        <f>IF(OR(N1105=1,Q1105=1),1,0)</f>
        <v/>
      </c>
      <c r="V1105" s="3">
        <f>IF(OR(T1105=1,P1105=1),1,0)</f>
        <v/>
      </c>
      <c r="W1105" s="3">
        <f>IF(OR(J1105=1),1,0)</f>
        <v/>
      </c>
      <c r="X1105" s="3">
        <f>IF(OR(I1105=1,H1105=1),1,0)</f>
        <v/>
      </c>
      <c r="Y1105" s="3">
        <f>IF(OR(G1105=1),1,0)</f>
        <v/>
      </c>
      <c r="Z1105" s="3">
        <f>IF(OR(F1105=1),1,0)</f>
        <v/>
      </c>
      <c r="AA1105" s="3">
        <f>IF(OR(M1105=1),1,0)</f>
        <v/>
      </c>
    </row>
    <row r="1106">
      <c r="A1106" s="22" t="inlineStr">
        <is>
          <t>849163b2e99e78a6bf5d0c4e2217d571c13032b4</t>
        </is>
      </c>
      <c r="B1106" s="22" t="inlineStr">
        <is>
          <t>2026-10</t>
        </is>
      </c>
      <c r="C1106" s="22" t="inlineStr">
        <is>
          <t>X</t>
        </is>
      </c>
      <c r="D1106" s="22" t="n">
        <v>0</v>
      </c>
      <c r="E1106" s="22" t="inlineStr">
        <is>
          <t>X: @inecnigeria (replies)</t>
        </is>
      </c>
      <c r="F1106" s="22" t="inlineStr">
        <is>
          <t>x:@inecnigeria (replies)</t>
        </is>
      </c>
      <c r="G1106" s="22" t="n">
        <v>0.714</v>
      </c>
      <c r="H1106" s="22" t="n">
        <v>0</v>
      </c>
      <c r="I1106" s="22" t="n">
        <v>0</v>
      </c>
      <c r="J1106" s="22" t="n">
        <v>0</v>
      </c>
      <c r="K1106" s="22" t="n">
        <v>0</v>
      </c>
      <c r="L1106" s="22" t="n">
        <v>0</v>
      </c>
      <c r="M1106" s="22" t="n">
        <v>0</v>
      </c>
      <c r="N1106" s="22" t="n">
        <v>0</v>
      </c>
      <c r="O1106" s="22" t="n">
        <v>1</v>
      </c>
      <c r="P1106" s="22" t="n">
        <v>0</v>
      </c>
      <c r="Q1106" s="22" t="n">
        <v>0</v>
      </c>
      <c r="R1106" s="22" t="n">
        <v>0</v>
      </c>
      <c r="S1106" s="22" t="n">
        <v>0</v>
      </c>
      <c r="T1106" s="22" t="n">
        <v>0</v>
      </c>
      <c r="U1106" s="3">
        <f>IF(OR(N1106=1,Q1106=1),1,0)</f>
        <v/>
      </c>
      <c r="V1106" s="3">
        <f>IF(OR(T1106=1,P1106=1),1,0)</f>
        <v/>
      </c>
      <c r="W1106" s="3">
        <f>IF(OR(J1106=1),1,0)</f>
        <v/>
      </c>
      <c r="X1106" s="3">
        <f>IF(OR(I1106=1,H1106=1),1,0)</f>
        <v/>
      </c>
      <c r="Y1106" s="3">
        <f>IF(OR(G1106=1),1,0)</f>
        <v/>
      </c>
      <c r="Z1106" s="3">
        <f>IF(OR(F1106=1),1,0)</f>
        <v/>
      </c>
      <c r="AA1106" s="3">
        <f>IF(OR(M1106=1),1,0)</f>
        <v/>
      </c>
    </row>
    <row r="1107">
      <c r="A1107" s="22" t="inlineStr">
        <is>
          <t>2d2821957de3b52b606b198a923467116af435ef</t>
        </is>
      </c>
      <c r="B1107" s="22" t="inlineStr">
        <is>
          <t>2026-10</t>
        </is>
      </c>
      <c r="C1107" s="22" t="inlineStr">
        <is>
          <t>X</t>
        </is>
      </c>
      <c r="D1107" s="22" t="n">
        <v>0</v>
      </c>
      <c r="E1107" s="22" t="inlineStr">
        <is>
          <t>X: @inecnigeria (replies)</t>
        </is>
      </c>
      <c r="F1107" s="22" t="inlineStr">
        <is>
          <t>x:@inecnigeria (replies)</t>
        </is>
      </c>
      <c r="G1107" s="22" t="n">
        <v>0.413</v>
      </c>
      <c r="H1107" s="22" t="n">
        <v>0</v>
      </c>
      <c r="I1107" s="22" t="n">
        <v>0</v>
      </c>
      <c r="J1107" s="22" t="n">
        <v>0</v>
      </c>
      <c r="K1107" s="22" t="n">
        <v>0</v>
      </c>
      <c r="L1107" s="22" t="n">
        <v>0</v>
      </c>
      <c r="M1107" s="22" t="n">
        <v>1</v>
      </c>
      <c r="N1107" s="22" t="n">
        <v>0</v>
      </c>
      <c r="O1107" s="22" t="n">
        <v>0</v>
      </c>
      <c r="P1107" s="22" t="n">
        <v>0</v>
      </c>
      <c r="Q1107" s="22" t="n">
        <v>0</v>
      </c>
      <c r="R1107" s="22" t="n">
        <v>0</v>
      </c>
      <c r="S1107" s="22" t="n">
        <v>0</v>
      </c>
      <c r="T1107" s="22" t="n">
        <v>0</v>
      </c>
      <c r="U1107" s="3">
        <f>IF(OR(N1107=1,Q1107=1),1,0)</f>
        <v/>
      </c>
      <c r="V1107" s="3">
        <f>IF(OR(T1107=1,P1107=1),1,0)</f>
        <v/>
      </c>
      <c r="W1107" s="3">
        <f>IF(OR(J1107=1),1,0)</f>
        <v/>
      </c>
      <c r="X1107" s="3">
        <f>IF(OR(I1107=1,H1107=1),1,0)</f>
        <v/>
      </c>
      <c r="Y1107" s="3">
        <f>IF(OR(G1107=1),1,0)</f>
        <v/>
      </c>
      <c r="Z1107" s="3">
        <f>IF(OR(F1107=1),1,0)</f>
        <v/>
      </c>
      <c r="AA1107" s="3">
        <f>IF(OR(M1107=1),1,0)</f>
        <v/>
      </c>
    </row>
    <row r="1108">
      <c r="A1108" s="22" t="inlineStr">
        <is>
          <t>d13118365b26003fab94826ab98fd628985bb20c</t>
        </is>
      </c>
      <c r="B1108" s="22" t="inlineStr">
        <is>
          <t>2026-10</t>
        </is>
      </c>
      <c r="C1108" s="22" t="inlineStr">
        <is>
          <t>X</t>
        </is>
      </c>
      <c r="D1108" s="22" t="n">
        <v>0</v>
      </c>
      <c r="E1108" s="22" t="inlineStr">
        <is>
          <t>X: @inecnigeria (replies)</t>
        </is>
      </c>
      <c r="F1108" s="22" t="inlineStr">
        <is>
          <t>x:@inecnigeria (replies)</t>
        </is>
      </c>
      <c r="G1108" s="22" t="n">
        <v>-0.71</v>
      </c>
      <c r="H1108" s="22" t="n">
        <v>0</v>
      </c>
      <c r="I1108" s="22" t="n">
        <v>0</v>
      </c>
      <c r="J1108" s="22" t="n">
        <v>0</v>
      </c>
      <c r="K1108" s="22" t="n">
        <v>0</v>
      </c>
      <c r="L1108" s="22" t="n">
        <v>0</v>
      </c>
      <c r="M1108" s="22" t="n">
        <v>1</v>
      </c>
      <c r="N1108" s="22" t="n">
        <v>0</v>
      </c>
      <c r="O1108" s="22" t="n">
        <v>0</v>
      </c>
      <c r="P1108" s="22" t="n">
        <v>0</v>
      </c>
      <c r="Q1108" s="22" t="n">
        <v>0</v>
      </c>
      <c r="R1108" s="22" t="n">
        <v>0</v>
      </c>
      <c r="S1108" s="22" t="n">
        <v>0</v>
      </c>
      <c r="T1108" s="22" t="n">
        <v>0</v>
      </c>
      <c r="U1108" s="3">
        <f>IF(OR(N1108=1,Q1108=1),1,0)</f>
        <v/>
      </c>
      <c r="V1108" s="3">
        <f>IF(OR(T1108=1,P1108=1),1,0)</f>
        <v/>
      </c>
      <c r="W1108" s="3">
        <f>IF(OR(J1108=1),1,0)</f>
        <v/>
      </c>
      <c r="X1108" s="3">
        <f>IF(OR(I1108=1,H1108=1),1,0)</f>
        <v/>
      </c>
      <c r="Y1108" s="3">
        <f>IF(OR(G1108=1),1,0)</f>
        <v/>
      </c>
      <c r="Z1108" s="3">
        <f>IF(OR(F1108=1),1,0)</f>
        <v/>
      </c>
      <c r="AA1108" s="3">
        <f>IF(OR(M1108=1),1,0)</f>
        <v/>
      </c>
    </row>
    <row r="1109">
      <c r="A1109" s="22" t="inlineStr">
        <is>
          <t>a0a6bf6f18df58de947b90a1d683dc8131d1f318</t>
        </is>
      </c>
      <c r="B1109" s="22" t="inlineStr">
        <is>
          <t>2026-10</t>
        </is>
      </c>
      <c r="C1109" s="22" t="inlineStr">
        <is>
          <t>X</t>
        </is>
      </c>
      <c r="D1109" s="22" t="n">
        <v>0</v>
      </c>
      <c r="E1109" s="22" t="inlineStr">
        <is>
          <t>X: @inecnigeria (replies)</t>
        </is>
      </c>
      <c r="F1109" s="22" t="inlineStr">
        <is>
          <t>x:@inecnigeria (replies)</t>
        </is>
      </c>
      <c r="G1109" s="22" t="n">
        <v>-0.586</v>
      </c>
      <c r="H1109" s="22" t="n">
        <v>0</v>
      </c>
      <c r="I1109" s="22" t="n">
        <v>0</v>
      </c>
      <c r="J1109" s="22" t="n">
        <v>0</v>
      </c>
      <c r="K1109" s="22" t="n">
        <v>0</v>
      </c>
      <c r="L1109" s="22" t="n">
        <v>0</v>
      </c>
      <c r="M1109" s="22" t="n">
        <v>1</v>
      </c>
      <c r="N1109" s="22" t="n">
        <v>0</v>
      </c>
      <c r="O1109" s="22" t="n">
        <v>0</v>
      </c>
      <c r="P1109" s="22" t="n">
        <v>0</v>
      </c>
      <c r="Q1109" s="22" t="n">
        <v>0</v>
      </c>
      <c r="R1109" s="22" t="n">
        <v>0</v>
      </c>
      <c r="S1109" s="22" t="n">
        <v>0</v>
      </c>
      <c r="T1109" s="22" t="n">
        <v>0</v>
      </c>
      <c r="U1109" s="3">
        <f>IF(OR(N1109=1,Q1109=1),1,0)</f>
        <v/>
      </c>
      <c r="V1109" s="3">
        <f>IF(OR(T1109=1,P1109=1),1,0)</f>
        <v/>
      </c>
      <c r="W1109" s="3">
        <f>IF(OR(J1109=1),1,0)</f>
        <v/>
      </c>
      <c r="X1109" s="3">
        <f>IF(OR(I1109=1,H1109=1),1,0)</f>
        <v/>
      </c>
      <c r="Y1109" s="3">
        <f>IF(OR(G1109=1),1,0)</f>
        <v/>
      </c>
      <c r="Z1109" s="3">
        <f>IF(OR(F1109=1),1,0)</f>
        <v/>
      </c>
      <c r="AA1109" s="3">
        <f>IF(OR(M1109=1),1,0)</f>
        <v/>
      </c>
    </row>
    <row r="1110">
      <c r="A1110" s="22" t="inlineStr">
        <is>
          <t>9c233b20db14f847a777b5bb9d06875f8c4e5991</t>
        </is>
      </c>
      <c r="B1110" s="22" t="inlineStr">
        <is>
          <t>2026-10</t>
        </is>
      </c>
      <c r="C1110" s="22" t="inlineStr">
        <is>
          <t>X</t>
        </is>
      </c>
      <c r="D1110" s="22" t="n">
        <v>0</v>
      </c>
      <c r="E1110" s="22" t="inlineStr">
        <is>
          <t>X: @inecnigeria (replies)</t>
        </is>
      </c>
      <c r="F1110" s="22" t="inlineStr">
        <is>
          <t>x:@inecnigeria (replies)</t>
        </is>
      </c>
      <c r="G1110" s="22" t="n">
        <v>-0.885</v>
      </c>
      <c r="H1110" s="22" t="n">
        <v>0</v>
      </c>
      <c r="I1110" s="22" t="n">
        <v>0</v>
      </c>
      <c r="J1110" s="22" t="n">
        <v>0</v>
      </c>
      <c r="K1110" s="22" t="n">
        <v>0</v>
      </c>
      <c r="L1110" s="22" t="n">
        <v>0</v>
      </c>
      <c r="M1110" s="22" t="n">
        <v>1</v>
      </c>
      <c r="N1110" s="22" t="n">
        <v>0</v>
      </c>
      <c r="O1110" s="22" t="n">
        <v>0</v>
      </c>
      <c r="P1110" s="22" t="n">
        <v>0</v>
      </c>
      <c r="Q1110" s="22" t="n">
        <v>0</v>
      </c>
      <c r="R1110" s="22" t="n">
        <v>0</v>
      </c>
      <c r="S1110" s="22" t="n">
        <v>0</v>
      </c>
      <c r="T1110" s="22" t="n">
        <v>0</v>
      </c>
      <c r="U1110" s="3">
        <f>IF(OR(N1110=1,Q1110=1),1,0)</f>
        <v/>
      </c>
      <c r="V1110" s="3">
        <f>IF(OR(T1110=1,P1110=1),1,0)</f>
        <v/>
      </c>
      <c r="W1110" s="3">
        <f>IF(OR(J1110=1),1,0)</f>
        <v/>
      </c>
      <c r="X1110" s="3">
        <f>IF(OR(I1110=1,H1110=1),1,0)</f>
        <v/>
      </c>
      <c r="Y1110" s="3">
        <f>IF(OR(G1110=1),1,0)</f>
        <v/>
      </c>
      <c r="Z1110" s="3">
        <f>IF(OR(F1110=1),1,0)</f>
        <v/>
      </c>
      <c r="AA1110" s="3">
        <f>IF(OR(M1110=1),1,0)</f>
        <v/>
      </c>
    </row>
    <row r="1111">
      <c r="A1111" s="22" t="inlineStr">
        <is>
          <t>01935fdac39db8d3a89a7a458b4005f01e10ceac</t>
        </is>
      </c>
      <c r="B1111" s="22" t="inlineStr">
        <is>
          <t>2026-10</t>
        </is>
      </c>
      <c r="C1111" s="22" t="inlineStr">
        <is>
          <t>X</t>
        </is>
      </c>
      <c r="D1111" s="22" t="n">
        <v>0</v>
      </c>
      <c r="E1111" s="22" t="inlineStr">
        <is>
          <t>X: @inecnigeria (replies)</t>
        </is>
      </c>
      <c r="F1111" s="22" t="inlineStr">
        <is>
          <t>x:@inecnigeria (replies)</t>
        </is>
      </c>
      <c r="G1111" s="22" t="n">
        <v>-0.34</v>
      </c>
      <c r="H1111" s="22" t="n">
        <v>0</v>
      </c>
      <c r="I1111" s="22" t="n">
        <v>0</v>
      </c>
      <c r="J1111" s="22" t="n">
        <v>0</v>
      </c>
      <c r="K1111" s="22" t="n">
        <v>0</v>
      </c>
      <c r="L1111" s="22" t="n">
        <v>0</v>
      </c>
      <c r="M1111" s="22" t="n">
        <v>1</v>
      </c>
      <c r="N1111" s="22" t="n">
        <v>0</v>
      </c>
      <c r="O1111" s="22" t="n">
        <v>0</v>
      </c>
      <c r="P1111" s="22" t="n">
        <v>0</v>
      </c>
      <c r="Q1111" s="22" t="n">
        <v>0</v>
      </c>
      <c r="R1111" s="22" t="n">
        <v>0</v>
      </c>
      <c r="S1111" s="22" t="n">
        <v>0</v>
      </c>
      <c r="T1111" s="22" t="n">
        <v>0</v>
      </c>
      <c r="U1111" s="3">
        <f>IF(OR(N1111=1,Q1111=1),1,0)</f>
        <v/>
      </c>
      <c r="V1111" s="3">
        <f>IF(OR(T1111=1,P1111=1),1,0)</f>
        <v/>
      </c>
      <c r="W1111" s="3">
        <f>IF(OR(J1111=1),1,0)</f>
        <v/>
      </c>
      <c r="X1111" s="3">
        <f>IF(OR(I1111=1,H1111=1),1,0)</f>
        <v/>
      </c>
      <c r="Y1111" s="3">
        <f>IF(OR(G1111=1),1,0)</f>
        <v/>
      </c>
      <c r="Z1111" s="3">
        <f>IF(OR(F1111=1),1,0)</f>
        <v/>
      </c>
      <c r="AA1111" s="3">
        <f>IF(OR(M1111=1),1,0)</f>
        <v/>
      </c>
    </row>
    <row r="1112">
      <c r="A1112" s="22" t="inlineStr">
        <is>
          <t>d75e0951166bb9cea46394de304310b4b7d4a3e8</t>
        </is>
      </c>
      <c r="B1112" s="22" t="inlineStr">
        <is>
          <t>2026-10</t>
        </is>
      </c>
      <c r="C1112" s="22" t="inlineStr">
        <is>
          <t>X</t>
        </is>
      </c>
      <c r="D1112" s="22" t="n">
        <v>0</v>
      </c>
      <c r="E1112" s="22" t="inlineStr">
        <is>
          <t>X: @inecnigeria (replies)</t>
        </is>
      </c>
      <c r="F1112" s="22" t="inlineStr">
        <is>
          <t>x:@inecnigeria (replies)</t>
        </is>
      </c>
      <c r="G1112" s="22" t="n">
        <v>0.164</v>
      </c>
      <c r="H1112" s="22" t="n">
        <v>0</v>
      </c>
      <c r="I1112" s="22" t="n">
        <v>0</v>
      </c>
      <c r="J1112" s="22" t="n">
        <v>0</v>
      </c>
      <c r="K1112" s="22" t="n">
        <v>0</v>
      </c>
      <c r="L1112" s="22" t="n">
        <v>0</v>
      </c>
      <c r="M1112" s="22" t="n">
        <v>0</v>
      </c>
      <c r="N1112" s="22" t="n">
        <v>0</v>
      </c>
      <c r="O1112" s="22" t="n">
        <v>1</v>
      </c>
      <c r="P1112" s="22" t="n">
        <v>0</v>
      </c>
      <c r="Q1112" s="22" t="n">
        <v>0</v>
      </c>
      <c r="R1112" s="22" t="n">
        <v>0</v>
      </c>
      <c r="S1112" s="22" t="n">
        <v>0</v>
      </c>
      <c r="T1112" s="22" t="n">
        <v>0</v>
      </c>
      <c r="U1112" s="3">
        <f>IF(OR(N1112=1,Q1112=1),1,0)</f>
        <v/>
      </c>
      <c r="V1112" s="3">
        <f>IF(OR(T1112=1,P1112=1),1,0)</f>
        <v/>
      </c>
      <c r="W1112" s="3">
        <f>IF(OR(J1112=1),1,0)</f>
        <v/>
      </c>
      <c r="X1112" s="3">
        <f>IF(OR(I1112=1,H1112=1),1,0)</f>
        <v/>
      </c>
      <c r="Y1112" s="3">
        <f>IF(OR(G1112=1),1,0)</f>
        <v/>
      </c>
      <c r="Z1112" s="3">
        <f>IF(OR(F1112=1),1,0)</f>
        <v/>
      </c>
      <c r="AA1112" s="3">
        <f>IF(OR(M1112=1),1,0)</f>
        <v/>
      </c>
    </row>
    <row r="1113">
      <c r="A1113" s="22" t="inlineStr">
        <is>
          <t>eed728c47e7af919e6e4fe39febd65c4dc90bb27</t>
        </is>
      </c>
      <c r="B1113" s="22" t="inlineStr">
        <is>
          <t>2026-10</t>
        </is>
      </c>
      <c r="C1113" s="22" t="inlineStr">
        <is>
          <t>X</t>
        </is>
      </c>
      <c r="D1113" s="22" t="n">
        <v>0</v>
      </c>
      <c r="E1113" s="22" t="inlineStr">
        <is>
          <t>X: @inecnigeria (replies)</t>
        </is>
      </c>
      <c r="F1113" s="22" t="inlineStr">
        <is>
          <t>x:@inecnigeria (replies)</t>
        </is>
      </c>
      <c r="G1113" s="22" t="n">
        <v>-0.487</v>
      </c>
      <c r="H1113" s="22" t="n">
        <v>0</v>
      </c>
      <c r="I1113" s="22" t="n">
        <v>0</v>
      </c>
      <c r="J1113" s="22" t="n">
        <v>0</v>
      </c>
      <c r="K1113" s="22" t="n">
        <v>0</v>
      </c>
      <c r="L1113" s="22" t="n">
        <v>0</v>
      </c>
      <c r="M1113" s="22" t="n">
        <v>1</v>
      </c>
      <c r="N1113" s="22" t="n">
        <v>0</v>
      </c>
      <c r="O1113" s="22" t="n">
        <v>0</v>
      </c>
      <c r="P1113" s="22" t="n">
        <v>0</v>
      </c>
      <c r="Q1113" s="22" t="n">
        <v>0</v>
      </c>
      <c r="R1113" s="22" t="n">
        <v>0</v>
      </c>
      <c r="S1113" s="22" t="n">
        <v>0</v>
      </c>
      <c r="T1113" s="22" t="n">
        <v>0</v>
      </c>
      <c r="U1113" s="3">
        <f>IF(OR(N1113=1,Q1113=1),1,0)</f>
        <v/>
      </c>
      <c r="V1113" s="3">
        <f>IF(OR(T1113=1,P1113=1),1,0)</f>
        <v/>
      </c>
      <c r="W1113" s="3">
        <f>IF(OR(J1113=1),1,0)</f>
        <v/>
      </c>
      <c r="X1113" s="3">
        <f>IF(OR(I1113=1,H1113=1),1,0)</f>
        <v/>
      </c>
      <c r="Y1113" s="3">
        <f>IF(OR(G1113=1),1,0)</f>
        <v/>
      </c>
      <c r="Z1113" s="3">
        <f>IF(OR(F1113=1),1,0)</f>
        <v/>
      </c>
      <c r="AA1113" s="3">
        <f>IF(OR(M1113=1),1,0)</f>
        <v/>
      </c>
    </row>
    <row r="1114">
      <c r="A1114" s="22" t="inlineStr">
        <is>
          <t>b1009d6bf6f6994b54b6c4feb39baaa5dc65da4a</t>
        </is>
      </c>
      <c r="B1114" s="22" t="inlineStr">
        <is>
          <t>2026-10</t>
        </is>
      </c>
      <c r="C1114" s="22" t="inlineStr">
        <is>
          <t>X</t>
        </is>
      </c>
      <c r="D1114" s="22" t="n">
        <v>0</v>
      </c>
      <c r="E1114" s="22" t="inlineStr">
        <is>
          <t>X: @inecnigeria (replies)</t>
        </is>
      </c>
      <c r="F1114" s="22" t="inlineStr">
        <is>
          <t>x:@inecnigeria (replies)</t>
        </is>
      </c>
      <c r="G1114" s="22" t="n">
        <v>0.026</v>
      </c>
      <c r="H1114" s="22" t="n">
        <v>0</v>
      </c>
      <c r="I1114" s="22" t="n">
        <v>0</v>
      </c>
      <c r="J1114" s="22" t="n">
        <v>0</v>
      </c>
      <c r="K1114" s="22" t="n">
        <v>0</v>
      </c>
      <c r="L1114" s="22" t="n">
        <v>0</v>
      </c>
      <c r="M1114" s="22" t="n">
        <v>0</v>
      </c>
      <c r="N1114" s="22" t="n">
        <v>0</v>
      </c>
      <c r="O1114" s="22" t="n">
        <v>1</v>
      </c>
      <c r="P1114" s="22" t="n">
        <v>0</v>
      </c>
      <c r="Q1114" s="22" t="n">
        <v>0</v>
      </c>
      <c r="R1114" s="22" t="n">
        <v>0</v>
      </c>
      <c r="S1114" s="22" t="n">
        <v>0</v>
      </c>
      <c r="T1114" s="22" t="n">
        <v>0</v>
      </c>
      <c r="U1114" s="3">
        <f>IF(OR(N1114=1,Q1114=1),1,0)</f>
        <v/>
      </c>
      <c r="V1114" s="3">
        <f>IF(OR(T1114=1,P1114=1),1,0)</f>
        <v/>
      </c>
      <c r="W1114" s="3">
        <f>IF(OR(J1114=1),1,0)</f>
        <v/>
      </c>
      <c r="X1114" s="3">
        <f>IF(OR(I1114=1,H1114=1),1,0)</f>
        <v/>
      </c>
      <c r="Y1114" s="3">
        <f>IF(OR(G1114=1),1,0)</f>
        <v/>
      </c>
      <c r="Z1114" s="3">
        <f>IF(OR(F1114=1),1,0)</f>
        <v/>
      </c>
      <c r="AA1114" s="3">
        <f>IF(OR(M1114=1),1,0)</f>
        <v/>
      </c>
    </row>
    <row r="1115">
      <c r="A1115" s="22" t="inlineStr">
        <is>
          <t>baad8eaf79ad31bb07a0335155d0d9ec8d2106ad</t>
        </is>
      </c>
      <c r="B1115" s="22" t="inlineStr">
        <is>
          <t>2026-10</t>
        </is>
      </c>
      <c r="C1115" s="22" t="inlineStr">
        <is>
          <t>X</t>
        </is>
      </c>
      <c r="D1115" s="22" t="n">
        <v>0</v>
      </c>
      <c r="E1115" s="22" t="inlineStr">
        <is>
          <t>X: @inecnigeria (replies)</t>
        </is>
      </c>
      <c r="F1115" s="22" t="inlineStr">
        <is>
          <t>x:@inecnigeria (replies)</t>
        </is>
      </c>
      <c r="G1115" s="22" t="n">
        <v>0.801</v>
      </c>
      <c r="H1115" s="22" t="n">
        <v>0</v>
      </c>
      <c r="I1115" s="22" t="n">
        <v>0</v>
      </c>
      <c r="J1115" s="22" t="n">
        <v>0</v>
      </c>
      <c r="K1115" s="22" t="n">
        <v>0</v>
      </c>
      <c r="L1115" s="22" t="n">
        <v>0</v>
      </c>
      <c r="M1115" s="22" t="n">
        <v>0</v>
      </c>
      <c r="N1115" s="22" t="n">
        <v>0</v>
      </c>
      <c r="O1115" s="22" t="n">
        <v>1</v>
      </c>
      <c r="P1115" s="22" t="n">
        <v>0</v>
      </c>
      <c r="Q1115" s="22" t="n">
        <v>0</v>
      </c>
      <c r="R1115" s="22" t="n">
        <v>0</v>
      </c>
      <c r="S1115" s="22" t="n">
        <v>0</v>
      </c>
      <c r="T1115" s="22" t="n">
        <v>0</v>
      </c>
      <c r="U1115" s="3">
        <f>IF(OR(N1115=1,Q1115=1),1,0)</f>
        <v/>
      </c>
      <c r="V1115" s="3">
        <f>IF(OR(T1115=1,P1115=1),1,0)</f>
        <v/>
      </c>
      <c r="W1115" s="3">
        <f>IF(OR(J1115=1),1,0)</f>
        <v/>
      </c>
      <c r="X1115" s="3">
        <f>IF(OR(I1115=1,H1115=1),1,0)</f>
        <v/>
      </c>
      <c r="Y1115" s="3">
        <f>IF(OR(G1115=1),1,0)</f>
        <v/>
      </c>
      <c r="Z1115" s="3">
        <f>IF(OR(F1115=1),1,0)</f>
        <v/>
      </c>
      <c r="AA1115" s="3">
        <f>IF(OR(M1115=1),1,0)</f>
        <v/>
      </c>
    </row>
    <row r="1116">
      <c r="A1116" s="22" t="inlineStr">
        <is>
          <t>ff2a8768224e80bc9624427406cd55721ccc6212</t>
        </is>
      </c>
      <c r="B1116" s="22" t="inlineStr">
        <is>
          <t>2026-10</t>
        </is>
      </c>
      <c r="C1116" s="22" t="inlineStr">
        <is>
          <t>X</t>
        </is>
      </c>
      <c r="D1116" s="22" t="n">
        <v>0</v>
      </c>
      <c r="E1116" s="22" t="inlineStr">
        <is>
          <t>X: @inecnigeria (replies)</t>
        </is>
      </c>
      <c r="F1116" s="22" t="inlineStr">
        <is>
          <t>x:@inecnigeria (replies)</t>
        </is>
      </c>
      <c r="G1116" s="22" t="n">
        <v>0.214</v>
      </c>
      <c r="H1116" s="22" t="n">
        <v>0</v>
      </c>
      <c r="I1116" s="22" t="n">
        <v>0</v>
      </c>
      <c r="J1116" s="22" t="n">
        <v>0</v>
      </c>
      <c r="K1116" s="22" t="n">
        <v>0</v>
      </c>
      <c r="L1116" s="22" t="n">
        <v>0</v>
      </c>
      <c r="M1116" s="22" t="n">
        <v>0</v>
      </c>
      <c r="N1116" s="22" t="n">
        <v>0</v>
      </c>
      <c r="O1116" s="22" t="n">
        <v>0</v>
      </c>
      <c r="P1116" s="22" t="n">
        <v>1</v>
      </c>
      <c r="Q1116" s="22" t="n">
        <v>0</v>
      </c>
      <c r="R1116" s="22" t="n">
        <v>0</v>
      </c>
      <c r="S1116" s="22" t="n">
        <v>0</v>
      </c>
      <c r="T1116" s="22" t="n">
        <v>0</v>
      </c>
      <c r="U1116" s="3">
        <f>IF(OR(N1116=1,Q1116=1),1,0)</f>
        <v/>
      </c>
      <c r="V1116" s="3">
        <f>IF(OR(T1116=1,P1116=1),1,0)</f>
        <v/>
      </c>
      <c r="W1116" s="3">
        <f>IF(OR(J1116=1),1,0)</f>
        <v/>
      </c>
      <c r="X1116" s="3">
        <f>IF(OR(I1116=1,H1116=1),1,0)</f>
        <v/>
      </c>
      <c r="Y1116" s="3">
        <f>IF(OR(G1116=1),1,0)</f>
        <v/>
      </c>
      <c r="Z1116" s="3">
        <f>IF(OR(F1116=1),1,0)</f>
        <v/>
      </c>
      <c r="AA1116" s="3">
        <f>IF(OR(M1116=1),1,0)</f>
        <v/>
      </c>
    </row>
    <row r="1117">
      <c r="A1117" s="22" t="inlineStr">
        <is>
          <t>5affd2abc2dd49a8e084a34dc0eebeec461783dd</t>
        </is>
      </c>
      <c r="B1117" s="22" t="inlineStr">
        <is>
          <t>2026-09</t>
        </is>
      </c>
      <c r="C1117" s="22" t="inlineStr">
        <is>
          <t>Nairaland</t>
        </is>
      </c>
      <c r="D1117" s="22" t="n">
        <v>0</v>
      </c>
      <c r="E1117" s="22" t="inlineStr">
        <is>
          <t>Nairaland: Nairaland</t>
        </is>
      </c>
      <c r="F1117" s="22" t="inlineStr">
        <is>
          <t>nairaland:Nairaland</t>
        </is>
      </c>
      <c r="G1117" s="22" t="n">
        <v>0.34</v>
      </c>
      <c r="H1117" s="22" t="n">
        <v>1</v>
      </c>
      <c r="I1117" s="22" t="n">
        <v>0</v>
      </c>
      <c r="J1117" s="22" t="n">
        <v>0</v>
      </c>
      <c r="K1117" s="22" t="n">
        <v>0</v>
      </c>
      <c r="L1117" s="22" t="n">
        <v>0</v>
      </c>
      <c r="M1117" s="22" t="n">
        <v>0</v>
      </c>
      <c r="N1117" s="22" t="n">
        <v>0</v>
      </c>
      <c r="O1117" s="22" t="n">
        <v>0</v>
      </c>
      <c r="P1117" s="22" t="n">
        <v>0</v>
      </c>
      <c r="Q1117" s="22" t="n">
        <v>0</v>
      </c>
      <c r="R1117" s="22" t="n">
        <v>0</v>
      </c>
      <c r="S1117" s="22" t="n">
        <v>0</v>
      </c>
      <c r="T1117" s="22" t="n">
        <v>0</v>
      </c>
      <c r="U1117" s="3">
        <f>IF(OR(N1117=1,Q1117=1),1,0)</f>
        <v/>
      </c>
      <c r="V1117" s="3">
        <f>IF(OR(T1117=1,P1117=1),1,0)</f>
        <v/>
      </c>
      <c r="W1117" s="3">
        <f>IF(OR(J1117=1),1,0)</f>
        <v/>
      </c>
      <c r="X1117" s="3">
        <f>IF(OR(I1117=1,H1117=1),1,0)</f>
        <v/>
      </c>
      <c r="Y1117" s="3">
        <f>IF(OR(G1117=1),1,0)</f>
        <v/>
      </c>
      <c r="Z1117" s="3">
        <f>IF(OR(F1117=1),1,0)</f>
        <v/>
      </c>
      <c r="AA1117" s="3">
        <f>IF(OR(M1117=1),1,0)</f>
        <v/>
      </c>
    </row>
    <row r="1118">
      <c r="A1118" s="22" t="inlineStr">
        <is>
          <t>613b7dde11b1be01718c7cf29f7f5b3c69a2925b</t>
        </is>
      </c>
      <c r="B1118" s="22" t="inlineStr">
        <is>
          <t>2026-09</t>
        </is>
      </c>
      <c r="C1118" s="22" t="inlineStr">
        <is>
          <t>Nairaland</t>
        </is>
      </c>
      <c r="D1118" s="22" t="n">
        <v>0</v>
      </c>
      <c r="E1118" s="22" t="inlineStr">
        <is>
          <t>Nairaland: Nairaland</t>
        </is>
      </c>
      <c r="F1118" s="22" t="inlineStr">
        <is>
          <t>nairaland:Nairaland</t>
        </is>
      </c>
      <c r="G1118" s="22" t="n">
        <v>0.39</v>
      </c>
      <c r="H1118" s="22" t="n">
        <v>1</v>
      </c>
      <c r="I1118" s="22" t="n">
        <v>0</v>
      </c>
      <c r="J1118" s="22" t="n">
        <v>0</v>
      </c>
      <c r="K1118" s="22" t="n">
        <v>0</v>
      </c>
      <c r="L1118" s="22" t="n">
        <v>0</v>
      </c>
      <c r="M1118" s="22" t="n">
        <v>0</v>
      </c>
      <c r="N1118" s="22" t="n">
        <v>0</v>
      </c>
      <c r="O1118" s="22" t="n">
        <v>0</v>
      </c>
      <c r="P1118" s="22" t="n">
        <v>0</v>
      </c>
      <c r="Q1118" s="22" t="n">
        <v>0</v>
      </c>
      <c r="R1118" s="22" t="n">
        <v>0</v>
      </c>
      <c r="S1118" s="22" t="n">
        <v>0</v>
      </c>
      <c r="T1118" s="22" t="n">
        <v>0</v>
      </c>
      <c r="U1118" s="3">
        <f>IF(OR(N1118=1,Q1118=1),1,0)</f>
        <v/>
      </c>
      <c r="V1118" s="3">
        <f>IF(OR(T1118=1,P1118=1),1,0)</f>
        <v/>
      </c>
      <c r="W1118" s="3">
        <f>IF(OR(J1118=1),1,0)</f>
        <v/>
      </c>
      <c r="X1118" s="3">
        <f>IF(OR(I1118=1,H1118=1),1,0)</f>
        <v/>
      </c>
      <c r="Y1118" s="3">
        <f>IF(OR(G1118=1),1,0)</f>
        <v/>
      </c>
      <c r="Z1118" s="3">
        <f>IF(OR(F1118=1),1,0)</f>
        <v/>
      </c>
      <c r="AA1118" s="3">
        <f>IF(OR(M1118=1),1,0)</f>
        <v/>
      </c>
    </row>
    <row r="1119">
      <c r="A1119" s="22" t="inlineStr">
        <is>
          <t>25f146c654be5e1c76ddda4535ce7cfd5ef2eb51</t>
        </is>
      </c>
      <c r="B1119" s="22" t="inlineStr">
        <is>
          <t>2026-09</t>
        </is>
      </c>
      <c r="C1119" s="22" t="inlineStr">
        <is>
          <t>Nairaland</t>
        </is>
      </c>
      <c r="D1119" s="22" t="n">
        <v>0</v>
      </c>
      <c r="E1119" s="22" t="inlineStr">
        <is>
          <t>Nairaland: Nairaland</t>
        </is>
      </c>
      <c r="F1119" s="22" t="inlineStr">
        <is>
          <t>nairaland:Nairaland</t>
        </is>
      </c>
      <c r="G1119" s="22" t="n">
        <v>0.44</v>
      </c>
      <c r="H1119" s="22" t="n">
        <v>0</v>
      </c>
      <c r="I1119" s="22" t="n">
        <v>0</v>
      </c>
      <c r="J1119" s="22" t="n">
        <v>0</v>
      </c>
      <c r="K1119" s="22" t="n">
        <v>0</v>
      </c>
      <c r="L1119" s="22" t="n">
        <v>0</v>
      </c>
      <c r="M1119" s="22" t="n">
        <v>0</v>
      </c>
      <c r="N1119" s="22" t="n">
        <v>0</v>
      </c>
      <c r="O1119" s="22" t="n">
        <v>1</v>
      </c>
      <c r="P1119" s="22" t="n">
        <v>0</v>
      </c>
      <c r="Q1119" s="22" t="n">
        <v>0</v>
      </c>
      <c r="R1119" s="22" t="n">
        <v>0</v>
      </c>
      <c r="S1119" s="22" t="n">
        <v>0</v>
      </c>
      <c r="T1119" s="22" t="n">
        <v>0</v>
      </c>
      <c r="U1119" s="3">
        <f>IF(OR(N1119=1,Q1119=1),1,0)</f>
        <v/>
      </c>
      <c r="V1119" s="3">
        <f>IF(OR(T1119=1,P1119=1),1,0)</f>
        <v/>
      </c>
      <c r="W1119" s="3">
        <f>IF(OR(J1119=1),1,0)</f>
        <v/>
      </c>
      <c r="X1119" s="3">
        <f>IF(OR(I1119=1,H1119=1),1,0)</f>
        <v/>
      </c>
      <c r="Y1119" s="3">
        <f>IF(OR(G1119=1),1,0)</f>
        <v/>
      </c>
      <c r="Z1119" s="3">
        <f>IF(OR(F1119=1),1,0)</f>
        <v/>
      </c>
      <c r="AA1119" s="3">
        <f>IF(OR(M1119=1),1,0)</f>
        <v/>
      </c>
    </row>
    <row r="1120">
      <c r="A1120" s="22" t="inlineStr">
        <is>
          <t>5cfeee2d75c7dba2b852e5f198280f632b0a1603</t>
        </is>
      </c>
      <c r="B1120" s="22" t="inlineStr">
        <is>
          <t>2026-10</t>
        </is>
      </c>
      <c r="C1120" s="22" t="inlineStr">
        <is>
          <t>Nairaland</t>
        </is>
      </c>
      <c r="D1120" s="22" t="n">
        <v>0</v>
      </c>
      <c r="E1120" s="22" t="inlineStr">
        <is>
          <t>Nairaland: Nairaland</t>
        </is>
      </c>
      <c r="F1120" s="22" t="inlineStr">
        <is>
          <t>nairaland:Nairaland</t>
        </is>
      </c>
      <c r="G1120" s="22" t="n">
        <v>-0.718</v>
      </c>
      <c r="H1120" s="22" t="n">
        <v>1</v>
      </c>
      <c r="I1120" s="22" t="n">
        <v>0</v>
      </c>
      <c r="J1120" s="22" t="n">
        <v>0</v>
      </c>
      <c r="K1120" s="22" t="n">
        <v>0</v>
      </c>
      <c r="L1120" s="22" t="n">
        <v>0</v>
      </c>
      <c r="M1120" s="22" t="n">
        <v>0</v>
      </c>
      <c r="N1120" s="22" t="n">
        <v>0</v>
      </c>
      <c r="O1120" s="22" t="n">
        <v>0</v>
      </c>
      <c r="P1120" s="22" t="n">
        <v>0</v>
      </c>
      <c r="Q1120" s="22" t="n">
        <v>0</v>
      </c>
      <c r="R1120" s="22" t="n">
        <v>0</v>
      </c>
      <c r="S1120" s="22" t="n">
        <v>0</v>
      </c>
      <c r="T1120" s="22" t="n">
        <v>0</v>
      </c>
      <c r="U1120" s="3">
        <f>IF(OR(N1120=1,Q1120=1),1,0)</f>
        <v/>
      </c>
      <c r="V1120" s="3">
        <f>IF(OR(T1120=1,P1120=1),1,0)</f>
        <v/>
      </c>
      <c r="W1120" s="3">
        <f>IF(OR(J1120=1),1,0)</f>
        <v/>
      </c>
      <c r="X1120" s="3">
        <f>IF(OR(I1120=1,H1120=1),1,0)</f>
        <v/>
      </c>
      <c r="Y1120" s="3">
        <f>IF(OR(G1120=1),1,0)</f>
        <v/>
      </c>
      <c r="Z1120" s="3">
        <f>IF(OR(F1120=1),1,0)</f>
        <v/>
      </c>
      <c r="AA1120" s="3">
        <f>IF(OR(M1120=1),1,0)</f>
        <v/>
      </c>
    </row>
    <row r="1121">
      <c r="A1121" s="22" t="inlineStr">
        <is>
          <t>60a8113d741a1ffdbaf26d4514cd3ca5888826ce</t>
        </is>
      </c>
      <c r="B1121" s="22" t="inlineStr">
        <is>
          <t>2026-09</t>
        </is>
      </c>
      <c r="C1121" s="22" t="inlineStr">
        <is>
          <t>Nairaland</t>
        </is>
      </c>
      <c r="D1121" s="22" t="n">
        <v>0</v>
      </c>
      <c r="E1121" s="22" t="inlineStr">
        <is>
          <t>Nairaland: Nairaland</t>
        </is>
      </c>
      <c r="F1121" s="22" t="inlineStr">
        <is>
          <t>nairaland:Nairaland</t>
        </is>
      </c>
      <c r="G1121" s="22" t="n">
        <v>0.765</v>
      </c>
      <c r="H1121" s="22" t="n">
        <v>0</v>
      </c>
      <c r="I1121" s="22" t="n">
        <v>1</v>
      </c>
      <c r="J1121" s="22" t="n">
        <v>0</v>
      </c>
      <c r="K1121" s="22" t="n">
        <v>0</v>
      </c>
      <c r="L1121" s="22" t="n">
        <v>0</v>
      </c>
      <c r="M1121" s="22" t="n">
        <v>0</v>
      </c>
      <c r="N1121" s="22" t="n">
        <v>0</v>
      </c>
      <c r="O1121" s="22" t="n">
        <v>0</v>
      </c>
      <c r="P1121" s="22" t="n">
        <v>0</v>
      </c>
      <c r="Q1121" s="22" t="n">
        <v>0</v>
      </c>
      <c r="R1121" s="22" t="n">
        <v>0</v>
      </c>
      <c r="S1121" s="22" t="n">
        <v>0</v>
      </c>
      <c r="T1121" s="22" t="n">
        <v>0</v>
      </c>
      <c r="U1121" s="3">
        <f>IF(OR(N1121=1,Q1121=1),1,0)</f>
        <v/>
      </c>
      <c r="V1121" s="3">
        <f>IF(OR(T1121=1,P1121=1),1,0)</f>
        <v/>
      </c>
      <c r="W1121" s="3">
        <f>IF(OR(J1121=1),1,0)</f>
        <v/>
      </c>
      <c r="X1121" s="3">
        <f>IF(OR(I1121=1,H1121=1),1,0)</f>
        <v/>
      </c>
      <c r="Y1121" s="3">
        <f>IF(OR(G1121=1),1,0)</f>
        <v/>
      </c>
      <c r="Z1121" s="3">
        <f>IF(OR(F1121=1),1,0)</f>
        <v/>
      </c>
      <c r="AA1121" s="3">
        <f>IF(OR(M1121=1),1,0)</f>
        <v/>
      </c>
    </row>
    <row r="1122">
      <c r="A1122" s="22" t="inlineStr">
        <is>
          <t>6217b5fa6417dbadff692cefe3b946a96946df7b</t>
        </is>
      </c>
      <c r="B1122" s="22" t="inlineStr">
        <is>
          <t>2026-09</t>
        </is>
      </c>
      <c r="C1122" s="22" t="inlineStr">
        <is>
          <t>Nairaland</t>
        </is>
      </c>
      <c r="D1122" s="22" t="n">
        <v>0</v>
      </c>
      <c r="E1122" s="22" t="inlineStr">
        <is>
          <t>Nairaland: Nairaland</t>
        </is>
      </c>
      <c r="F1122" s="22" t="inlineStr">
        <is>
          <t>nairaland:Nairaland</t>
        </is>
      </c>
      <c r="G1122" s="22" t="n">
        <v>-0.34</v>
      </c>
      <c r="H1122" s="22" t="n">
        <v>0</v>
      </c>
      <c r="I1122" s="22" t="n">
        <v>1</v>
      </c>
      <c r="J1122" s="22" t="n">
        <v>0</v>
      </c>
      <c r="K1122" s="22" t="n">
        <v>0</v>
      </c>
      <c r="L1122" s="22" t="n">
        <v>0</v>
      </c>
      <c r="M1122" s="22" t="n">
        <v>1</v>
      </c>
      <c r="N1122" s="22" t="n">
        <v>0</v>
      </c>
      <c r="O1122" s="22" t="n">
        <v>0</v>
      </c>
      <c r="P1122" s="22" t="n">
        <v>0</v>
      </c>
      <c r="Q1122" s="22" t="n">
        <v>0</v>
      </c>
      <c r="R1122" s="22" t="n">
        <v>0</v>
      </c>
      <c r="S1122" s="22" t="n">
        <v>0</v>
      </c>
      <c r="T1122" s="22" t="n">
        <v>0</v>
      </c>
      <c r="U1122" s="3">
        <f>IF(OR(N1122=1,Q1122=1),1,0)</f>
        <v/>
      </c>
      <c r="V1122" s="3">
        <f>IF(OR(T1122=1,P1122=1),1,0)</f>
        <v/>
      </c>
      <c r="W1122" s="3">
        <f>IF(OR(J1122=1),1,0)</f>
        <v/>
      </c>
      <c r="X1122" s="3">
        <f>IF(OR(I1122=1,H1122=1),1,0)</f>
        <v/>
      </c>
      <c r="Y1122" s="3">
        <f>IF(OR(G1122=1),1,0)</f>
        <v/>
      </c>
      <c r="Z1122" s="3">
        <f>IF(OR(F1122=1),1,0)</f>
        <v/>
      </c>
      <c r="AA1122" s="3">
        <f>IF(OR(M1122=1),1,0)</f>
        <v/>
      </c>
    </row>
    <row r="1123">
      <c r="A1123" s="22" t="inlineStr">
        <is>
          <t>d2df9f771995d4884c04948457b8a30097d684f4</t>
        </is>
      </c>
      <c r="B1123" s="22" t="inlineStr">
        <is>
          <t>2026-08</t>
        </is>
      </c>
      <c r="C1123" s="22" t="inlineStr">
        <is>
          <t>Nairaland</t>
        </is>
      </c>
      <c r="D1123" s="22" t="n">
        <v>0</v>
      </c>
      <c r="E1123" s="22" t="inlineStr">
        <is>
          <t>Nairaland: Nairaland</t>
        </is>
      </c>
      <c r="F1123" s="22" t="inlineStr">
        <is>
          <t>nairaland:Nairaland</t>
        </is>
      </c>
      <c r="G1123" s="22" t="n">
        <v>0.852</v>
      </c>
      <c r="H1123" s="22" t="n">
        <v>0</v>
      </c>
      <c r="I1123" s="22" t="n">
        <v>0</v>
      </c>
      <c r="J1123" s="22" t="n">
        <v>0</v>
      </c>
      <c r="K1123" s="22" t="n">
        <v>0</v>
      </c>
      <c r="L1123" s="22" t="n">
        <v>0</v>
      </c>
      <c r="M1123" s="22" t="n">
        <v>0</v>
      </c>
      <c r="N1123" s="22" t="n">
        <v>0</v>
      </c>
      <c r="O1123" s="22" t="n">
        <v>1</v>
      </c>
      <c r="P1123" s="22" t="n">
        <v>0</v>
      </c>
      <c r="Q1123" s="22" t="n">
        <v>0</v>
      </c>
      <c r="R1123" s="22" t="n">
        <v>0</v>
      </c>
      <c r="S1123" s="22" t="n">
        <v>0</v>
      </c>
      <c r="T1123" s="22" t="n">
        <v>0</v>
      </c>
      <c r="U1123" s="3">
        <f>IF(OR(N1123=1,Q1123=1),1,0)</f>
        <v/>
      </c>
      <c r="V1123" s="3">
        <f>IF(OR(T1123=1,P1123=1),1,0)</f>
        <v/>
      </c>
      <c r="W1123" s="3">
        <f>IF(OR(J1123=1),1,0)</f>
        <v/>
      </c>
      <c r="X1123" s="3">
        <f>IF(OR(I1123=1,H1123=1),1,0)</f>
        <v/>
      </c>
      <c r="Y1123" s="3">
        <f>IF(OR(G1123=1),1,0)</f>
        <v/>
      </c>
      <c r="Z1123" s="3">
        <f>IF(OR(F1123=1),1,0)</f>
        <v/>
      </c>
      <c r="AA1123" s="3">
        <f>IF(OR(M1123=1),1,0)</f>
        <v/>
      </c>
    </row>
    <row r="1124">
      <c r="A1124" s="22" t="inlineStr">
        <is>
          <t>48d24421af841c9aafd0a94e2159400d56d023e9</t>
        </is>
      </c>
      <c r="B1124" s="22" t="inlineStr">
        <is>
          <t>2026-08</t>
        </is>
      </c>
      <c r="C1124" s="22" t="inlineStr">
        <is>
          <t>Nairaland</t>
        </is>
      </c>
      <c r="D1124" s="22" t="n">
        <v>0</v>
      </c>
      <c r="E1124" s="22" t="inlineStr">
        <is>
          <t>Nairaland: Nairaland</t>
        </is>
      </c>
      <c r="F1124" s="22" t="inlineStr">
        <is>
          <t>nairaland:Nairaland</t>
        </is>
      </c>
      <c r="G1124" s="22" t="n">
        <v>-0.596</v>
      </c>
      <c r="H1124" s="22" t="n">
        <v>1</v>
      </c>
      <c r="I1124" s="22" t="n">
        <v>0</v>
      </c>
      <c r="J1124" s="22" t="n">
        <v>0</v>
      </c>
      <c r="K1124" s="22" t="n">
        <v>0</v>
      </c>
      <c r="L1124" s="22" t="n">
        <v>0</v>
      </c>
      <c r="M1124" s="22" t="n">
        <v>0</v>
      </c>
      <c r="N1124" s="22" t="n">
        <v>0</v>
      </c>
      <c r="O1124" s="22" t="n">
        <v>0</v>
      </c>
      <c r="P1124" s="22" t="n">
        <v>0</v>
      </c>
      <c r="Q1124" s="22" t="n">
        <v>0</v>
      </c>
      <c r="R1124" s="22" t="n">
        <v>0</v>
      </c>
      <c r="S1124" s="22" t="n">
        <v>0</v>
      </c>
      <c r="T1124" s="22" t="n">
        <v>0</v>
      </c>
      <c r="U1124" s="3">
        <f>IF(OR(N1124=1,Q1124=1),1,0)</f>
        <v/>
      </c>
      <c r="V1124" s="3">
        <f>IF(OR(T1124=1,P1124=1),1,0)</f>
        <v/>
      </c>
      <c r="W1124" s="3">
        <f>IF(OR(J1124=1),1,0)</f>
        <v/>
      </c>
      <c r="X1124" s="3">
        <f>IF(OR(I1124=1,H1124=1),1,0)</f>
        <v/>
      </c>
      <c r="Y1124" s="3">
        <f>IF(OR(G1124=1),1,0)</f>
        <v/>
      </c>
      <c r="Z1124" s="3">
        <f>IF(OR(F1124=1),1,0)</f>
        <v/>
      </c>
      <c r="AA1124" s="3">
        <f>IF(OR(M1124=1),1,0)</f>
        <v/>
      </c>
    </row>
    <row r="1125">
      <c r="A1125" s="22" t="inlineStr">
        <is>
          <t>042ac30a2857e43f1b21a9f33d263231a528dea5</t>
        </is>
      </c>
      <c r="B1125" s="22" t="inlineStr">
        <is>
          <t>2026-08</t>
        </is>
      </c>
      <c r="C1125" s="22" t="inlineStr">
        <is>
          <t>Nairaland</t>
        </is>
      </c>
      <c r="D1125" s="22" t="n">
        <v>0</v>
      </c>
      <c r="E1125" s="22" t="inlineStr">
        <is>
          <t>Nairaland: Nairaland</t>
        </is>
      </c>
      <c r="F1125" s="22" t="inlineStr">
        <is>
          <t>nairaland:Nairaland</t>
        </is>
      </c>
      <c r="G1125" s="22" t="n">
        <v>0.712</v>
      </c>
      <c r="H1125" s="22" t="n">
        <v>1</v>
      </c>
      <c r="I1125" s="22" t="n">
        <v>0</v>
      </c>
      <c r="J1125" s="22" t="n">
        <v>0</v>
      </c>
      <c r="K1125" s="22" t="n">
        <v>0</v>
      </c>
      <c r="L1125" s="22" t="n">
        <v>0</v>
      </c>
      <c r="M1125" s="22" t="n">
        <v>0</v>
      </c>
      <c r="N1125" s="22" t="n">
        <v>0</v>
      </c>
      <c r="O1125" s="22" t="n">
        <v>0</v>
      </c>
      <c r="P1125" s="22" t="n">
        <v>0</v>
      </c>
      <c r="Q1125" s="22" t="n">
        <v>0</v>
      </c>
      <c r="R1125" s="22" t="n">
        <v>0</v>
      </c>
      <c r="S1125" s="22" t="n">
        <v>0</v>
      </c>
      <c r="T1125" s="22" t="n">
        <v>0</v>
      </c>
      <c r="U1125" s="3">
        <f>IF(OR(N1125=1,Q1125=1),1,0)</f>
        <v/>
      </c>
      <c r="V1125" s="3">
        <f>IF(OR(T1125=1,P1125=1),1,0)</f>
        <v/>
      </c>
      <c r="W1125" s="3">
        <f>IF(OR(J1125=1),1,0)</f>
        <v/>
      </c>
      <c r="X1125" s="3">
        <f>IF(OR(I1125=1,H1125=1),1,0)</f>
        <v/>
      </c>
      <c r="Y1125" s="3">
        <f>IF(OR(G1125=1),1,0)</f>
        <v/>
      </c>
      <c r="Z1125" s="3">
        <f>IF(OR(F1125=1),1,0)</f>
        <v/>
      </c>
      <c r="AA1125" s="3">
        <f>IF(OR(M1125=1),1,0)</f>
        <v/>
      </c>
    </row>
    <row r="1126">
      <c r="A1126" s="22" t="inlineStr">
        <is>
          <t>9315cb50759e27f8af10b0358ebd9bdd10a4157b</t>
        </is>
      </c>
      <c r="B1126" s="22" t="inlineStr">
        <is>
          <t>2026-08</t>
        </is>
      </c>
      <c r="C1126" s="22" t="inlineStr">
        <is>
          <t>Nairaland</t>
        </is>
      </c>
      <c r="D1126" s="22" t="n">
        <v>0</v>
      </c>
      <c r="E1126" s="22" t="inlineStr">
        <is>
          <t>Nairaland: Nairaland</t>
        </is>
      </c>
      <c r="F1126" s="22" t="inlineStr">
        <is>
          <t>nairaland:Nairaland</t>
        </is>
      </c>
      <c r="G1126" s="22" t="n">
        <v>-0.801</v>
      </c>
      <c r="H1126" s="22" t="n">
        <v>1</v>
      </c>
      <c r="I1126" s="22" t="n">
        <v>0</v>
      </c>
      <c r="J1126" s="22" t="n">
        <v>0</v>
      </c>
      <c r="K1126" s="22" t="n">
        <v>0</v>
      </c>
      <c r="L1126" s="22" t="n">
        <v>0</v>
      </c>
      <c r="M1126" s="22" t="n">
        <v>0</v>
      </c>
      <c r="N1126" s="22" t="n">
        <v>0</v>
      </c>
      <c r="O1126" s="22" t="n">
        <v>0</v>
      </c>
      <c r="P1126" s="22" t="n">
        <v>0</v>
      </c>
      <c r="Q1126" s="22" t="n">
        <v>0</v>
      </c>
      <c r="R1126" s="22" t="n">
        <v>0</v>
      </c>
      <c r="S1126" s="22" t="n">
        <v>0</v>
      </c>
      <c r="T1126" s="22" t="n">
        <v>0</v>
      </c>
      <c r="U1126" s="3">
        <f>IF(OR(N1126=1,Q1126=1),1,0)</f>
        <v/>
      </c>
      <c r="V1126" s="3">
        <f>IF(OR(T1126=1,P1126=1),1,0)</f>
        <v/>
      </c>
      <c r="W1126" s="3">
        <f>IF(OR(J1126=1),1,0)</f>
        <v/>
      </c>
      <c r="X1126" s="3">
        <f>IF(OR(I1126=1,H1126=1),1,0)</f>
        <v/>
      </c>
      <c r="Y1126" s="3">
        <f>IF(OR(G1126=1),1,0)</f>
        <v/>
      </c>
      <c r="Z1126" s="3">
        <f>IF(OR(F1126=1),1,0)</f>
        <v/>
      </c>
      <c r="AA1126" s="3">
        <f>IF(OR(M1126=1),1,0)</f>
        <v/>
      </c>
    </row>
    <row r="1127">
      <c r="A1127" s="22" t="inlineStr">
        <is>
          <t>d69fe1caecbac762f5d7f74cb902644e6c0f5dd7</t>
        </is>
      </c>
      <c r="B1127" s="22" t="inlineStr">
        <is>
          <t>2026-09</t>
        </is>
      </c>
      <c r="C1127" s="22" t="inlineStr">
        <is>
          <t>Nairaland</t>
        </is>
      </c>
      <c r="D1127" s="22" t="n">
        <v>0</v>
      </c>
      <c r="E1127" s="22" t="inlineStr">
        <is>
          <t>Nairaland: Nairaland</t>
        </is>
      </c>
      <c r="F1127" s="22" t="inlineStr">
        <is>
          <t>nairaland:Nairaland</t>
        </is>
      </c>
      <c r="G1127" s="22" t="n">
        <v>-0.511</v>
      </c>
      <c r="H1127" s="22" t="n">
        <v>0</v>
      </c>
      <c r="I1127" s="22" t="n">
        <v>0</v>
      </c>
      <c r="J1127" s="22" t="n">
        <v>0</v>
      </c>
      <c r="K1127" s="22" t="n">
        <v>0</v>
      </c>
      <c r="L1127" s="22" t="n">
        <v>0</v>
      </c>
      <c r="M1127" s="22" t="n">
        <v>0</v>
      </c>
      <c r="N1127" s="22" t="n">
        <v>0</v>
      </c>
      <c r="O1127" s="22" t="n">
        <v>0</v>
      </c>
      <c r="P1127" s="22" t="n">
        <v>1</v>
      </c>
      <c r="Q1127" s="22" t="n">
        <v>0</v>
      </c>
      <c r="R1127" s="22" t="n">
        <v>0</v>
      </c>
      <c r="S1127" s="22" t="n">
        <v>0</v>
      </c>
      <c r="T1127" s="22" t="n">
        <v>0</v>
      </c>
      <c r="U1127" s="3">
        <f>IF(OR(N1127=1,Q1127=1),1,0)</f>
        <v/>
      </c>
      <c r="V1127" s="3">
        <f>IF(OR(T1127=1,P1127=1),1,0)</f>
        <v/>
      </c>
      <c r="W1127" s="3">
        <f>IF(OR(J1127=1),1,0)</f>
        <v/>
      </c>
      <c r="X1127" s="3">
        <f>IF(OR(I1127=1,H1127=1),1,0)</f>
        <v/>
      </c>
      <c r="Y1127" s="3">
        <f>IF(OR(G1127=1),1,0)</f>
        <v/>
      </c>
      <c r="Z1127" s="3">
        <f>IF(OR(F1127=1),1,0)</f>
        <v/>
      </c>
      <c r="AA1127" s="3">
        <f>IF(OR(M1127=1),1,0)</f>
        <v/>
      </c>
    </row>
    <row r="1128">
      <c r="A1128" s="22" t="inlineStr">
        <is>
          <t>3e4b2a43e65250335c29efc22d20bf2da932953b</t>
        </is>
      </c>
      <c r="B1128" s="22" t="inlineStr">
        <is>
          <t>2026-08</t>
        </is>
      </c>
      <c r="C1128" s="22" t="inlineStr">
        <is>
          <t>Nairaland</t>
        </is>
      </c>
      <c r="D1128" s="22" t="n">
        <v>0</v>
      </c>
      <c r="E1128" s="22" t="inlineStr">
        <is>
          <t>Nairaland: Nairaland</t>
        </is>
      </c>
      <c r="F1128" s="22" t="inlineStr">
        <is>
          <t>nairaland:Nairaland</t>
        </is>
      </c>
      <c r="G1128" s="22" t="n">
        <v>0.382</v>
      </c>
      <c r="H1128" s="22" t="n">
        <v>0</v>
      </c>
      <c r="I1128" s="22" t="n">
        <v>0</v>
      </c>
      <c r="J1128" s="22" t="n">
        <v>0</v>
      </c>
      <c r="K1128" s="22" t="n">
        <v>0</v>
      </c>
      <c r="L1128" s="22" t="n">
        <v>0</v>
      </c>
      <c r="M1128" s="22" t="n">
        <v>0</v>
      </c>
      <c r="N1128" s="22" t="n">
        <v>0</v>
      </c>
      <c r="O1128" s="22" t="n">
        <v>1</v>
      </c>
      <c r="P1128" s="22" t="n">
        <v>0</v>
      </c>
      <c r="Q1128" s="22" t="n">
        <v>0</v>
      </c>
      <c r="R1128" s="22" t="n">
        <v>0</v>
      </c>
      <c r="S1128" s="22" t="n">
        <v>0</v>
      </c>
      <c r="T1128" s="22" t="n">
        <v>0</v>
      </c>
      <c r="U1128" s="3">
        <f>IF(OR(N1128=1,Q1128=1),1,0)</f>
        <v/>
      </c>
      <c r="V1128" s="3">
        <f>IF(OR(T1128=1,P1128=1),1,0)</f>
        <v/>
      </c>
      <c r="W1128" s="3">
        <f>IF(OR(J1128=1),1,0)</f>
        <v/>
      </c>
      <c r="X1128" s="3">
        <f>IF(OR(I1128=1,H1128=1),1,0)</f>
        <v/>
      </c>
      <c r="Y1128" s="3">
        <f>IF(OR(G1128=1),1,0)</f>
        <v/>
      </c>
      <c r="Z1128" s="3">
        <f>IF(OR(F1128=1),1,0)</f>
        <v/>
      </c>
      <c r="AA1128" s="3">
        <f>IF(OR(M1128=1),1,0)</f>
        <v/>
      </c>
    </row>
    <row r="1129">
      <c r="A1129" s="22" t="inlineStr">
        <is>
          <t>02dc972dba0bf44b5b7d267738cd3171d0873ec9</t>
        </is>
      </c>
      <c r="B1129" s="22" t="inlineStr">
        <is>
          <t>2026-08</t>
        </is>
      </c>
      <c r="C1129" s="22" t="inlineStr">
        <is>
          <t>Nairaland</t>
        </is>
      </c>
      <c r="D1129" s="22" t="n">
        <v>0</v>
      </c>
      <c r="E1129" s="22" t="inlineStr">
        <is>
          <t>Nairaland: Nairaland</t>
        </is>
      </c>
      <c r="F1129" s="22" t="inlineStr">
        <is>
          <t>nairaland:Nairaland</t>
        </is>
      </c>
      <c r="G1129" s="22" t="n">
        <v>-0.273</v>
      </c>
      <c r="H1129" s="22" t="n">
        <v>1</v>
      </c>
      <c r="I1129" s="22" t="n">
        <v>0</v>
      </c>
      <c r="J1129" s="22" t="n">
        <v>0</v>
      </c>
      <c r="K1129" s="22" t="n">
        <v>0</v>
      </c>
      <c r="L1129" s="22" t="n">
        <v>0</v>
      </c>
      <c r="M1129" s="22" t="n">
        <v>0</v>
      </c>
      <c r="N1129" s="22" t="n">
        <v>0</v>
      </c>
      <c r="O1129" s="22" t="n">
        <v>0</v>
      </c>
      <c r="P1129" s="22" t="n">
        <v>0</v>
      </c>
      <c r="Q1129" s="22" t="n">
        <v>0</v>
      </c>
      <c r="R1129" s="22" t="n">
        <v>0</v>
      </c>
      <c r="S1129" s="22" t="n">
        <v>0</v>
      </c>
      <c r="T1129" s="22" t="n">
        <v>0</v>
      </c>
      <c r="U1129" s="3">
        <f>IF(OR(N1129=1,Q1129=1),1,0)</f>
        <v/>
      </c>
      <c r="V1129" s="3">
        <f>IF(OR(T1129=1,P1129=1),1,0)</f>
        <v/>
      </c>
      <c r="W1129" s="3">
        <f>IF(OR(J1129=1),1,0)</f>
        <v/>
      </c>
      <c r="X1129" s="3">
        <f>IF(OR(I1129=1,H1129=1),1,0)</f>
        <v/>
      </c>
      <c r="Y1129" s="3">
        <f>IF(OR(G1129=1),1,0)</f>
        <v/>
      </c>
      <c r="Z1129" s="3">
        <f>IF(OR(F1129=1),1,0)</f>
        <v/>
      </c>
      <c r="AA1129" s="3">
        <f>IF(OR(M1129=1),1,0)</f>
        <v/>
      </c>
    </row>
    <row r="1130">
      <c r="A1130" s="22" t="inlineStr">
        <is>
          <t>fda142eb2eeb7da9877f21ff0bcac1d62c115926</t>
        </is>
      </c>
      <c r="B1130" s="22" t="inlineStr">
        <is>
          <t>2026-08</t>
        </is>
      </c>
      <c r="C1130" s="22" t="inlineStr">
        <is>
          <t>Nairaland</t>
        </is>
      </c>
      <c r="D1130" s="22" t="n">
        <v>0</v>
      </c>
      <c r="E1130" s="22" t="inlineStr">
        <is>
          <t>Nairaland: Nairaland</t>
        </is>
      </c>
      <c r="F1130" s="22" t="inlineStr">
        <is>
          <t>nairaland:Nairaland</t>
        </is>
      </c>
      <c r="G1130" s="22" t="n">
        <v>0.956</v>
      </c>
      <c r="H1130" s="22" t="n">
        <v>1</v>
      </c>
      <c r="I1130" s="22" t="n">
        <v>0</v>
      </c>
      <c r="J1130" s="22" t="n">
        <v>0</v>
      </c>
      <c r="K1130" s="22" t="n">
        <v>0</v>
      </c>
      <c r="L1130" s="22" t="n">
        <v>1</v>
      </c>
      <c r="M1130" s="22" t="n">
        <v>0</v>
      </c>
      <c r="N1130" s="22" t="n">
        <v>0</v>
      </c>
      <c r="O1130" s="22" t="n">
        <v>0</v>
      </c>
      <c r="P1130" s="22" t="n">
        <v>0</v>
      </c>
      <c r="Q1130" s="22" t="n">
        <v>0</v>
      </c>
      <c r="R1130" s="22" t="n">
        <v>0</v>
      </c>
      <c r="S1130" s="22" t="n">
        <v>0</v>
      </c>
      <c r="T1130" s="22" t="n">
        <v>0</v>
      </c>
      <c r="U1130" s="3">
        <f>IF(OR(N1130=1,Q1130=1),1,0)</f>
        <v/>
      </c>
      <c r="V1130" s="3">
        <f>IF(OR(T1130=1,P1130=1),1,0)</f>
        <v/>
      </c>
      <c r="W1130" s="3">
        <f>IF(OR(J1130=1),1,0)</f>
        <v/>
      </c>
      <c r="X1130" s="3">
        <f>IF(OR(I1130=1,H1130=1),1,0)</f>
        <v/>
      </c>
      <c r="Y1130" s="3">
        <f>IF(OR(G1130=1),1,0)</f>
        <v/>
      </c>
      <c r="Z1130" s="3">
        <f>IF(OR(F1130=1),1,0)</f>
        <v/>
      </c>
      <c r="AA1130" s="3">
        <f>IF(OR(M1130=1),1,0)</f>
        <v/>
      </c>
    </row>
    <row r="1131">
      <c r="A1131" s="22" t="inlineStr">
        <is>
          <t>8659bff0e41f9a398b0238fa1a5d563395eb495d</t>
        </is>
      </c>
      <c r="B1131" s="22" t="inlineStr">
        <is>
          <t>2026-08</t>
        </is>
      </c>
      <c r="C1131" s="22" t="inlineStr">
        <is>
          <t>Nairaland</t>
        </is>
      </c>
      <c r="D1131" s="22" t="n">
        <v>0</v>
      </c>
      <c r="E1131" s="22" t="inlineStr">
        <is>
          <t>Nairaland: Nairaland</t>
        </is>
      </c>
      <c r="F1131" s="22" t="inlineStr">
        <is>
          <t>nairaland:Nairaland</t>
        </is>
      </c>
      <c r="G1131" s="22" t="n">
        <v>0.7</v>
      </c>
      <c r="H1131" s="22" t="n">
        <v>1</v>
      </c>
      <c r="I1131" s="22" t="n">
        <v>0</v>
      </c>
      <c r="J1131" s="22" t="n">
        <v>0</v>
      </c>
      <c r="K1131" s="22" t="n">
        <v>0</v>
      </c>
      <c r="L1131" s="22" t="n">
        <v>0</v>
      </c>
      <c r="M1131" s="22" t="n">
        <v>0</v>
      </c>
      <c r="N1131" s="22" t="n">
        <v>0</v>
      </c>
      <c r="O1131" s="22" t="n">
        <v>0</v>
      </c>
      <c r="P1131" s="22" t="n">
        <v>0</v>
      </c>
      <c r="Q1131" s="22" t="n">
        <v>0</v>
      </c>
      <c r="R1131" s="22" t="n">
        <v>0</v>
      </c>
      <c r="S1131" s="22" t="n">
        <v>0</v>
      </c>
      <c r="T1131" s="22" t="n">
        <v>0</v>
      </c>
      <c r="U1131" s="3">
        <f>IF(OR(N1131=1,Q1131=1),1,0)</f>
        <v/>
      </c>
      <c r="V1131" s="3">
        <f>IF(OR(T1131=1,P1131=1),1,0)</f>
        <v/>
      </c>
      <c r="W1131" s="3">
        <f>IF(OR(J1131=1),1,0)</f>
        <v/>
      </c>
      <c r="X1131" s="3">
        <f>IF(OR(I1131=1,H1131=1),1,0)</f>
        <v/>
      </c>
      <c r="Y1131" s="3">
        <f>IF(OR(G1131=1),1,0)</f>
        <v/>
      </c>
      <c r="Z1131" s="3">
        <f>IF(OR(F1131=1),1,0)</f>
        <v/>
      </c>
      <c r="AA1131" s="3">
        <f>IF(OR(M1131=1),1,0)</f>
        <v/>
      </c>
    </row>
    <row r="1132">
      <c r="A1132" s="22" t="inlineStr">
        <is>
          <t>2945cb8741369a064dd0f5eeb7cdd7ae44991206</t>
        </is>
      </c>
      <c r="B1132" s="22" t="inlineStr">
        <is>
          <t>2026-08</t>
        </is>
      </c>
      <c r="C1132" s="22" t="inlineStr">
        <is>
          <t>Nairaland</t>
        </is>
      </c>
      <c r="D1132" s="22" t="n">
        <v>0</v>
      </c>
      <c r="E1132" s="22" t="inlineStr">
        <is>
          <t>Nairaland: Nairaland</t>
        </is>
      </c>
      <c r="F1132" s="22" t="inlineStr">
        <is>
          <t>nairaland:Nairaland</t>
        </is>
      </c>
      <c r="G1132" s="22" t="n">
        <v>-0.021</v>
      </c>
      <c r="H1132" s="22" t="n">
        <v>1</v>
      </c>
      <c r="I1132" s="22" t="n">
        <v>0</v>
      </c>
      <c r="J1132" s="22" t="n">
        <v>0</v>
      </c>
      <c r="K1132" s="22" t="n">
        <v>0</v>
      </c>
      <c r="L1132" s="22" t="n">
        <v>0</v>
      </c>
      <c r="M1132" s="22" t="n">
        <v>0</v>
      </c>
      <c r="N1132" s="22" t="n">
        <v>0</v>
      </c>
      <c r="O1132" s="22" t="n">
        <v>0</v>
      </c>
      <c r="P1132" s="22" t="n">
        <v>0</v>
      </c>
      <c r="Q1132" s="22" t="n">
        <v>0</v>
      </c>
      <c r="R1132" s="22" t="n">
        <v>0</v>
      </c>
      <c r="S1132" s="22" t="n">
        <v>0</v>
      </c>
      <c r="T1132" s="22" t="n">
        <v>0</v>
      </c>
      <c r="U1132" s="3">
        <f>IF(OR(N1132=1,Q1132=1),1,0)</f>
        <v/>
      </c>
      <c r="V1132" s="3">
        <f>IF(OR(T1132=1,P1132=1),1,0)</f>
        <v/>
      </c>
      <c r="W1132" s="3">
        <f>IF(OR(J1132=1),1,0)</f>
        <v/>
      </c>
      <c r="X1132" s="3">
        <f>IF(OR(I1132=1,H1132=1),1,0)</f>
        <v/>
      </c>
      <c r="Y1132" s="3">
        <f>IF(OR(G1132=1),1,0)</f>
        <v/>
      </c>
      <c r="Z1132" s="3">
        <f>IF(OR(F1132=1),1,0)</f>
        <v/>
      </c>
      <c r="AA1132" s="3">
        <f>IF(OR(M1132=1),1,0)</f>
        <v/>
      </c>
    </row>
    <row r="1133">
      <c r="A1133" s="22" t="inlineStr">
        <is>
          <t>ad74ee6cd4da61a6fea709cdcf65c4b2918a8a8c</t>
        </is>
      </c>
      <c r="B1133" s="22" t="inlineStr">
        <is>
          <t>2026-08</t>
        </is>
      </c>
      <c r="C1133" s="22" t="inlineStr">
        <is>
          <t>Nairaland</t>
        </is>
      </c>
      <c r="D1133" s="22" t="n">
        <v>0</v>
      </c>
      <c r="E1133" s="22" t="inlineStr">
        <is>
          <t>Nairaland: Nairaland</t>
        </is>
      </c>
      <c r="F1133" s="22" t="inlineStr">
        <is>
          <t>nairaland:Nairaland</t>
        </is>
      </c>
      <c r="G1133" s="22" t="n">
        <v>-0.296</v>
      </c>
      <c r="H1133" s="22" t="n">
        <v>0</v>
      </c>
      <c r="I1133" s="22" t="n">
        <v>0</v>
      </c>
      <c r="J1133" s="22" t="n">
        <v>0</v>
      </c>
      <c r="K1133" s="22" t="n">
        <v>0</v>
      </c>
      <c r="L1133" s="22" t="n">
        <v>0</v>
      </c>
      <c r="M1133" s="22" t="n">
        <v>0</v>
      </c>
      <c r="N1133" s="22" t="n">
        <v>0</v>
      </c>
      <c r="O1133" s="22" t="n">
        <v>1</v>
      </c>
      <c r="P1133" s="22" t="n">
        <v>0</v>
      </c>
      <c r="Q1133" s="22" t="n">
        <v>0</v>
      </c>
      <c r="R1133" s="22" t="n">
        <v>0</v>
      </c>
      <c r="S1133" s="22" t="n">
        <v>0</v>
      </c>
      <c r="T1133" s="22" t="n">
        <v>0</v>
      </c>
      <c r="U1133" s="3">
        <f>IF(OR(N1133=1,Q1133=1),1,0)</f>
        <v/>
      </c>
      <c r="V1133" s="3">
        <f>IF(OR(T1133=1,P1133=1),1,0)</f>
        <v/>
      </c>
      <c r="W1133" s="3">
        <f>IF(OR(J1133=1),1,0)</f>
        <v/>
      </c>
      <c r="X1133" s="3">
        <f>IF(OR(I1133=1,H1133=1),1,0)</f>
        <v/>
      </c>
      <c r="Y1133" s="3">
        <f>IF(OR(G1133=1),1,0)</f>
        <v/>
      </c>
      <c r="Z1133" s="3">
        <f>IF(OR(F1133=1),1,0)</f>
        <v/>
      </c>
      <c r="AA1133" s="3">
        <f>IF(OR(M1133=1),1,0)</f>
        <v/>
      </c>
    </row>
    <row r="1134">
      <c r="A1134" s="22" t="inlineStr">
        <is>
          <t>f80e1836754e368908f621fbf388808d88c6d122</t>
        </is>
      </c>
      <c r="B1134" s="22" t="inlineStr">
        <is>
          <t>2026-08</t>
        </is>
      </c>
      <c r="C1134" s="22" t="inlineStr">
        <is>
          <t>Nairaland</t>
        </is>
      </c>
      <c r="D1134" s="22" t="n">
        <v>0</v>
      </c>
      <c r="E1134" s="22" t="inlineStr">
        <is>
          <t>Nairaland: Nairaland</t>
        </is>
      </c>
      <c r="F1134" s="22" t="inlineStr">
        <is>
          <t>nairaland:Nairaland</t>
        </is>
      </c>
      <c r="G1134" s="22" t="n">
        <v>-0.402</v>
      </c>
      <c r="H1134" s="22" t="n">
        <v>0</v>
      </c>
      <c r="I1134" s="22" t="n">
        <v>0</v>
      </c>
      <c r="J1134" s="22" t="n">
        <v>0</v>
      </c>
      <c r="K1134" s="22" t="n">
        <v>1</v>
      </c>
      <c r="L1134" s="22" t="n">
        <v>1</v>
      </c>
      <c r="M1134" s="22" t="n">
        <v>0</v>
      </c>
      <c r="N1134" s="22" t="n">
        <v>0</v>
      </c>
      <c r="O1134" s="22" t="n">
        <v>0</v>
      </c>
      <c r="P1134" s="22" t="n">
        <v>0</v>
      </c>
      <c r="Q1134" s="22" t="n">
        <v>0</v>
      </c>
      <c r="R1134" s="22" t="n">
        <v>0</v>
      </c>
      <c r="S1134" s="22" t="n">
        <v>0</v>
      </c>
      <c r="T1134" s="22" t="n">
        <v>0</v>
      </c>
      <c r="U1134" s="3">
        <f>IF(OR(N1134=1,Q1134=1),1,0)</f>
        <v/>
      </c>
      <c r="V1134" s="3">
        <f>IF(OR(T1134=1,P1134=1),1,0)</f>
        <v/>
      </c>
      <c r="W1134" s="3">
        <f>IF(OR(J1134=1),1,0)</f>
        <v/>
      </c>
      <c r="X1134" s="3">
        <f>IF(OR(I1134=1,H1134=1),1,0)</f>
        <v/>
      </c>
      <c r="Y1134" s="3">
        <f>IF(OR(G1134=1),1,0)</f>
        <v/>
      </c>
      <c r="Z1134" s="3">
        <f>IF(OR(F1134=1),1,0)</f>
        <v/>
      </c>
      <c r="AA1134" s="3">
        <f>IF(OR(M1134=1),1,0)</f>
        <v/>
      </c>
    </row>
    <row r="1135">
      <c r="A1135" s="22" t="inlineStr">
        <is>
          <t>b813e5643424e097f89f42c0f5afbc2f51af9242</t>
        </is>
      </c>
      <c r="B1135" s="22" t="inlineStr">
        <is>
          <t>2026-08</t>
        </is>
      </c>
      <c r="C1135" s="22" t="inlineStr">
        <is>
          <t>Nairaland</t>
        </is>
      </c>
      <c r="D1135" s="22" t="n">
        <v>0</v>
      </c>
      <c r="E1135" s="22" t="inlineStr">
        <is>
          <t>Nairaland: Nairaland</t>
        </is>
      </c>
      <c r="F1135" s="22" t="inlineStr">
        <is>
          <t>nairaland:Nairaland</t>
        </is>
      </c>
      <c r="G1135" s="22" t="n">
        <v>0.827</v>
      </c>
      <c r="H1135" s="22" t="n">
        <v>0</v>
      </c>
      <c r="I1135" s="22" t="n">
        <v>0</v>
      </c>
      <c r="J1135" s="22" t="n">
        <v>0</v>
      </c>
      <c r="K1135" s="22" t="n">
        <v>1</v>
      </c>
      <c r="L1135" s="22" t="n">
        <v>0</v>
      </c>
      <c r="M1135" s="22" t="n">
        <v>0</v>
      </c>
      <c r="N1135" s="22" t="n">
        <v>0</v>
      </c>
      <c r="O1135" s="22" t="n">
        <v>0</v>
      </c>
      <c r="P1135" s="22" t="n">
        <v>0</v>
      </c>
      <c r="Q1135" s="22" t="n">
        <v>0</v>
      </c>
      <c r="R1135" s="22" t="n">
        <v>0</v>
      </c>
      <c r="S1135" s="22" t="n">
        <v>0</v>
      </c>
      <c r="T1135" s="22" t="n">
        <v>0</v>
      </c>
      <c r="U1135" s="3">
        <f>IF(OR(N1135=1,Q1135=1),1,0)</f>
        <v/>
      </c>
      <c r="V1135" s="3">
        <f>IF(OR(T1135=1,P1135=1),1,0)</f>
        <v/>
      </c>
      <c r="W1135" s="3">
        <f>IF(OR(J1135=1),1,0)</f>
        <v/>
      </c>
      <c r="X1135" s="3">
        <f>IF(OR(I1135=1,H1135=1),1,0)</f>
        <v/>
      </c>
      <c r="Y1135" s="3">
        <f>IF(OR(G1135=1),1,0)</f>
        <v/>
      </c>
      <c r="Z1135" s="3">
        <f>IF(OR(F1135=1),1,0)</f>
        <v/>
      </c>
      <c r="AA1135" s="3">
        <f>IF(OR(M1135=1),1,0)</f>
        <v/>
      </c>
    </row>
    <row r="1136">
      <c r="A1136" s="22" t="inlineStr">
        <is>
          <t>d5b7a0336178aefbacb1d30bed3301d8a3483e31</t>
        </is>
      </c>
      <c r="B1136" s="22" t="inlineStr">
        <is>
          <t>2026-08</t>
        </is>
      </c>
      <c r="C1136" s="22" t="inlineStr">
        <is>
          <t>Nairaland</t>
        </is>
      </c>
      <c r="D1136" s="22" t="n">
        <v>0</v>
      </c>
      <c r="E1136" s="22" t="inlineStr">
        <is>
          <t>Nairaland: Nairaland</t>
        </is>
      </c>
      <c r="F1136" s="22" t="inlineStr">
        <is>
          <t>nairaland:Nairaland</t>
        </is>
      </c>
      <c r="G1136" s="22" t="n">
        <v>-0.374</v>
      </c>
      <c r="H1136" s="22" t="n">
        <v>0</v>
      </c>
      <c r="I1136" s="22" t="n">
        <v>0</v>
      </c>
      <c r="J1136" s="22" t="n">
        <v>0</v>
      </c>
      <c r="K1136" s="22" t="n">
        <v>0</v>
      </c>
      <c r="L1136" s="22" t="n">
        <v>0</v>
      </c>
      <c r="M1136" s="22" t="n">
        <v>1</v>
      </c>
      <c r="N1136" s="22" t="n">
        <v>0</v>
      </c>
      <c r="O1136" s="22" t="n">
        <v>0</v>
      </c>
      <c r="P1136" s="22" t="n">
        <v>0</v>
      </c>
      <c r="Q1136" s="22" t="n">
        <v>0</v>
      </c>
      <c r="R1136" s="22" t="n">
        <v>0</v>
      </c>
      <c r="S1136" s="22" t="n">
        <v>0</v>
      </c>
      <c r="T1136" s="22" t="n">
        <v>0</v>
      </c>
      <c r="U1136" s="3">
        <f>IF(OR(N1136=1,Q1136=1),1,0)</f>
        <v/>
      </c>
      <c r="V1136" s="3">
        <f>IF(OR(T1136=1,P1136=1),1,0)</f>
        <v/>
      </c>
      <c r="W1136" s="3">
        <f>IF(OR(J1136=1),1,0)</f>
        <v/>
      </c>
      <c r="X1136" s="3">
        <f>IF(OR(I1136=1,H1136=1),1,0)</f>
        <v/>
      </c>
      <c r="Y1136" s="3">
        <f>IF(OR(G1136=1),1,0)</f>
        <v/>
      </c>
      <c r="Z1136" s="3">
        <f>IF(OR(F1136=1),1,0)</f>
        <v/>
      </c>
      <c r="AA1136" s="3">
        <f>IF(OR(M1136=1),1,0)</f>
        <v/>
      </c>
    </row>
    <row r="1137">
      <c r="A1137" s="22" t="inlineStr">
        <is>
          <t>84c52cf4ed83ee9fd6f5ed90ee8bac444502f0c9</t>
        </is>
      </c>
      <c r="B1137" s="22" t="inlineStr">
        <is>
          <t>2026-08</t>
        </is>
      </c>
      <c r="C1137" s="22" t="inlineStr">
        <is>
          <t>Nairaland</t>
        </is>
      </c>
      <c r="D1137" s="22" t="n">
        <v>0</v>
      </c>
      <c r="E1137" s="22" t="inlineStr">
        <is>
          <t>Nairaland: Nairaland</t>
        </is>
      </c>
      <c r="F1137" s="22" t="inlineStr">
        <is>
          <t>nairaland:Nairaland</t>
        </is>
      </c>
      <c r="G1137" s="22" t="n">
        <v>-0.866</v>
      </c>
      <c r="H1137" s="22" t="n">
        <v>1</v>
      </c>
      <c r="I1137" s="22" t="n">
        <v>0</v>
      </c>
      <c r="J1137" s="22" t="n">
        <v>0</v>
      </c>
      <c r="K1137" s="22" t="n">
        <v>0</v>
      </c>
      <c r="L1137" s="22" t="n">
        <v>0</v>
      </c>
      <c r="M1137" s="22" t="n">
        <v>0</v>
      </c>
      <c r="N1137" s="22" t="n">
        <v>0</v>
      </c>
      <c r="O1137" s="22" t="n">
        <v>0</v>
      </c>
      <c r="P1137" s="22" t="n">
        <v>0</v>
      </c>
      <c r="Q1137" s="22" t="n">
        <v>0</v>
      </c>
      <c r="R1137" s="22" t="n">
        <v>0</v>
      </c>
      <c r="S1137" s="22" t="n">
        <v>0</v>
      </c>
      <c r="T1137" s="22" t="n">
        <v>0</v>
      </c>
      <c r="U1137" s="3">
        <f>IF(OR(N1137=1,Q1137=1),1,0)</f>
        <v/>
      </c>
      <c r="V1137" s="3">
        <f>IF(OR(T1137=1,P1137=1),1,0)</f>
        <v/>
      </c>
      <c r="W1137" s="3">
        <f>IF(OR(J1137=1),1,0)</f>
        <v/>
      </c>
      <c r="X1137" s="3">
        <f>IF(OR(I1137=1,H1137=1),1,0)</f>
        <v/>
      </c>
      <c r="Y1137" s="3">
        <f>IF(OR(G1137=1),1,0)</f>
        <v/>
      </c>
      <c r="Z1137" s="3">
        <f>IF(OR(F1137=1),1,0)</f>
        <v/>
      </c>
      <c r="AA1137" s="3">
        <f>IF(OR(M1137=1),1,0)</f>
        <v/>
      </c>
    </row>
    <row r="1138">
      <c r="A1138" s="22" t="inlineStr">
        <is>
          <t>c1a40b622907e3f70de5385f8c21f7740551871d</t>
        </is>
      </c>
      <c r="B1138" s="22" t="inlineStr">
        <is>
          <t>2026-08</t>
        </is>
      </c>
      <c r="C1138" s="22" t="inlineStr">
        <is>
          <t>Nairaland</t>
        </is>
      </c>
      <c r="D1138" s="22" t="n">
        <v>0</v>
      </c>
      <c r="E1138" s="22" t="inlineStr">
        <is>
          <t>Nairaland: Nairaland</t>
        </is>
      </c>
      <c r="F1138" s="22" t="inlineStr">
        <is>
          <t>nairaland:Nairaland</t>
        </is>
      </c>
      <c r="G1138" s="22" t="n">
        <v>0.783</v>
      </c>
      <c r="H1138" s="22" t="n">
        <v>1</v>
      </c>
      <c r="I1138" s="22" t="n">
        <v>0</v>
      </c>
      <c r="J1138" s="22" t="n">
        <v>0</v>
      </c>
      <c r="K1138" s="22" t="n">
        <v>0</v>
      </c>
      <c r="L1138" s="22" t="n">
        <v>0</v>
      </c>
      <c r="M1138" s="22" t="n">
        <v>0</v>
      </c>
      <c r="N1138" s="22" t="n">
        <v>0</v>
      </c>
      <c r="O1138" s="22" t="n">
        <v>0</v>
      </c>
      <c r="P1138" s="22" t="n">
        <v>0</v>
      </c>
      <c r="Q1138" s="22" t="n">
        <v>0</v>
      </c>
      <c r="R1138" s="22" t="n">
        <v>0</v>
      </c>
      <c r="S1138" s="22" t="n">
        <v>0</v>
      </c>
      <c r="T1138" s="22" t="n">
        <v>0</v>
      </c>
      <c r="U1138" s="3">
        <f>IF(OR(N1138=1,Q1138=1),1,0)</f>
        <v/>
      </c>
      <c r="V1138" s="3">
        <f>IF(OR(T1138=1,P1138=1),1,0)</f>
        <v/>
      </c>
      <c r="W1138" s="3">
        <f>IF(OR(J1138=1),1,0)</f>
        <v/>
      </c>
      <c r="X1138" s="3">
        <f>IF(OR(I1138=1,H1138=1),1,0)</f>
        <v/>
      </c>
      <c r="Y1138" s="3">
        <f>IF(OR(G1138=1),1,0)</f>
        <v/>
      </c>
      <c r="Z1138" s="3">
        <f>IF(OR(F1138=1),1,0)</f>
        <v/>
      </c>
      <c r="AA1138" s="3">
        <f>IF(OR(M1138=1),1,0)</f>
        <v/>
      </c>
    </row>
    <row r="1139">
      <c r="A1139" s="22" t="inlineStr">
        <is>
          <t>a55915179095457650dcc7c7e943b712062be06c</t>
        </is>
      </c>
      <c r="B1139" s="22" t="inlineStr">
        <is>
          <t>2026-08</t>
        </is>
      </c>
      <c r="C1139" s="22" t="inlineStr">
        <is>
          <t>Nairaland</t>
        </is>
      </c>
      <c r="D1139" s="22" t="n">
        <v>0</v>
      </c>
      <c r="E1139" s="22" t="inlineStr">
        <is>
          <t>Nairaland: Nairaland</t>
        </is>
      </c>
      <c r="F1139" s="22" t="inlineStr">
        <is>
          <t>nairaland:Nairaland</t>
        </is>
      </c>
      <c r="G1139" s="22" t="n">
        <v>-0.506</v>
      </c>
      <c r="H1139" s="22" t="n">
        <v>1</v>
      </c>
      <c r="I1139" s="22" t="n">
        <v>0</v>
      </c>
      <c r="J1139" s="22" t="n">
        <v>0</v>
      </c>
      <c r="K1139" s="22" t="n">
        <v>0</v>
      </c>
      <c r="L1139" s="22" t="n">
        <v>0</v>
      </c>
      <c r="M1139" s="22" t="n">
        <v>1</v>
      </c>
      <c r="N1139" s="22" t="n">
        <v>0</v>
      </c>
      <c r="O1139" s="22" t="n">
        <v>0</v>
      </c>
      <c r="P1139" s="22" t="n">
        <v>0</v>
      </c>
      <c r="Q1139" s="22" t="n">
        <v>0</v>
      </c>
      <c r="R1139" s="22" t="n">
        <v>0</v>
      </c>
      <c r="S1139" s="22" t="n">
        <v>0</v>
      </c>
      <c r="T1139" s="22" t="n">
        <v>0</v>
      </c>
      <c r="U1139" s="3">
        <f>IF(OR(N1139=1,Q1139=1),1,0)</f>
        <v/>
      </c>
      <c r="V1139" s="3">
        <f>IF(OR(T1139=1,P1139=1),1,0)</f>
        <v/>
      </c>
      <c r="W1139" s="3">
        <f>IF(OR(J1139=1),1,0)</f>
        <v/>
      </c>
      <c r="X1139" s="3">
        <f>IF(OR(I1139=1,H1139=1),1,0)</f>
        <v/>
      </c>
      <c r="Y1139" s="3">
        <f>IF(OR(G1139=1),1,0)</f>
        <v/>
      </c>
      <c r="Z1139" s="3">
        <f>IF(OR(F1139=1),1,0)</f>
        <v/>
      </c>
      <c r="AA1139" s="3">
        <f>IF(OR(M1139=1),1,0)</f>
        <v/>
      </c>
    </row>
    <row r="1140">
      <c r="A1140" s="22" t="inlineStr">
        <is>
          <t>4a2e65c11eebffb6ac50a947b6f73d46b3fc8b70</t>
        </is>
      </c>
      <c r="B1140" s="22" t="inlineStr">
        <is>
          <t>2026-02</t>
        </is>
      </c>
      <c r="C1140" s="22" t="inlineStr">
        <is>
          <t>Instagram</t>
        </is>
      </c>
      <c r="D1140" s="22" t="n">
        <v>0</v>
      </c>
      <c r="E1140" s="22" t="inlineStr">
        <is>
          <t>Instagram: Instagram: mazitundeednut</t>
        </is>
      </c>
      <c r="F1140" s="22" t="inlineStr">
        <is>
          <t>instagram:Instagram: mazitundeednut</t>
        </is>
      </c>
      <c r="G1140" s="22" t="n">
        <v>-0.422</v>
      </c>
      <c r="H1140" s="22" t="n">
        <v>0</v>
      </c>
      <c r="I1140" s="22" t="n">
        <v>0</v>
      </c>
      <c r="J1140" s="22" t="n">
        <v>0</v>
      </c>
      <c r="K1140" s="22" t="n">
        <v>0</v>
      </c>
      <c r="L1140" s="22" t="n">
        <v>0</v>
      </c>
      <c r="M1140" s="22" t="n">
        <v>0</v>
      </c>
      <c r="N1140" s="22" t="n">
        <v>1</v>
      </c>
      <c r="O1140" s="22" t="n">
        <v>0</v>
      </c>
      <c r="P1140" s="22" t="n">
        <v>0</v>
      </c>
      <c r="Q1140" s="22" t="n">
        <v>0</v>
      </c>
      <c r="R1140" s="22" t="n">
        <v>0</v>
      </c>
      <c r="S1140" s="22" t="n">
        <v>0</v>
      </c>
      <c r="T1140" s="22" t="n">
        <v>0</v>
      </c>
      <c r="U1140" s="3">
        <f>IF(OR(N1140=1,Q1140=1),1,0)</f>
        <v/>
      </c>
      <c r="V1140" s="3">
        <f>IF(OR(T1140=1,P1140=1),1,0)</f>
        <v/>
      </c>
      <c r="W1140" s="3">
        <f>IF(OR(J1140=1),1,0)</f>
        <v/>
      </c>
      <c r="X1140" s="3">
        <f>IF(OR(I1140=1,H1140=1),1,0)</f>
        <v/>
      </c>
      <c r="Y1140" s="3">
        <f>IF(OR(G1140=1),1,0)</f>
        <v/>
      </c>
      <c r="Z1140" s="3">
        <f>IF(OR(F1140=1),1,0)</f>
        <v/>
      </c>
      <c r="AA1140" s="3">
        <f>IF(OR(M1140=1),1,0)</f>
        <v/>
      </c>
    </row>
    <row r="1141">
      <c r="A1141" s="22" t="inlineStr">
        <is>
          <t>6179a78136fa6b58b3b28c2d5b84d88acd11a7b5</t>
        </is>
      </c>
      <c r="B1141" s="22" t="inlineStr">
        <is>
          <t>2026-02</t>
        </is>
      </c>
      <c r="C1141" s="22" t="inlineStr">
        <is>
          <t>Instagram</t>
        </is>
      </c>
      <c r="D1141" s="22" t="n">
        <v>0</v>
      </c>
      <c r="E1141" s="22" t="inlineStr">
        <is>
          <t>Instagram: Instagram: mazitundeednut</t>
        </is>
      </c>
      <c r="F1141" s="22" t="inlineStr">
        <is>
          <t>instagram:Instagram: mazitundeednut</t>
        </is>
      </c>
      <c r="G1141" s="22" t="n">
        <v>0.625</v>
      </c>
      <c r="H1141" s="22" t="n">
        <v>0</v>
      </c>
      <c r="I1141" s="22" t="n">
        <v>1</v>
      </c>
      <c r="J1141" s="22" t="n">
        <v>0</v>
      </c>
      <c r="K1141" s="22" t="n">
        <v>0</v>
      </c>
      <c r="L1141" s="22" t="n">
        <v>0</v>
      </c>
      <c r="M1141" s="22" t="n">
        <v>0</v>
      </c>
      <c r="N1141" s="22" t="n">
        <v>0</v>
      </c>
      <c r="O1141" s="22" t="n">
        <v>0</v>
      </c>
      <c r="P1141" s="22" t="n">
        <v>0</v>
      </c>
      <c r="Q1141" s="22" t="n">
        <v>0</v>
      </c>
      <c r="R1141" s="22" t="n">
        <v>0</v>
      </c>
      <c r="S1141" s="22" t="n">
        <v>0</v>
      </c>
      <c r="T1141" s="22" t="n">
        <v>0</v>
      </c>
      <c r="U1141" s="3">
        <f>IF(OR(N1141=1,Q1141=1),1,0)</f>
        <v/>
      </c>
      <c r="V1141" s="3">
        <f>IF(OR(T1141=1,P1141=1),1,0)</f>
        <v/>
      </c>
      <c r="W1141" s="3">
        <f>IF(OR(J1141=1),1,0)</f>
        <v/>
      </c>
      <c r="X1141" s="3">
        <f>IF(OR(I1141=1,H1141=1),1,0)</f>
        <v/>
      </c>
      <c r="Y1141" s="3">
        <f>IF(OR(G1141=1),1,0)</f>
        <v/>
      </c>
      <c r="Z1141" s="3">
        <f>IF(OR(F1141=1),1,0)</f>
        <v/>
      </c>
      <c r="AA1141" s="3">
        <f>IF(OR(M1141=1),1,0)</f>
        <v/>
      </c>
    </row>
    <row r="1142">
      <c r="A1142" s="22" t="inlineStr">
        <is>
          <t>c52d8d8c704ce919ee3f2f76c0935f5740272f66</t>
        </is>
      </c>
      <c r="B1142" s="22" t="inlineStr">
        <is>
          <t>2026-02</t>
        </is>
      </c>
      <c r="C1142" s="22" t="inlineStr">
        <is>
          <t>Instagram</t>
        </is>
      </c>
      <c r="D1142" s="22" t="n">
        <v>0</v>
      </c>
      <c r="E1142" s="22" t="inlineStr">
        <is>
          <t>Instagram: Instagram: mazitundeednut</t>
        </is>
      </c>
      <c r="F1142" s="22" t="inlineStr">
        <is>
          <t>instagram:Instagram: mazitundeednut</t>
        </is>
      </c>
      <c r="G1142" s="22" t="n">
        <v>-0.542</v>
      </c>
      <c r="H1142" s="22" t="n">
        <v>1</v>
      </c>
      <c r="I1142" s="22" t="n">
        <v>0</v>
      </c>
      <c r="J1142" s="22" t="n">
        <v>0</v>
      </c>
      <c r="K1142" s="22" t="n">
        <v>0</v>
      </c>
      <c r="L1142" s="22" t="n">
        <v>0</v>
      </c>
      <c r="M1142" s="22" t="n">
        <v>0</v>
      </c>
      <c r="N1142" s="22" t="n">
        <v>0</v>
      </c>
      <c r="O1142" s="22" t="n">
        <v>0</v>
      </c>
      <c r="P1142" s="22" t="n">
        <v>0</v>
      </c>
      <c r="Q1142" s="22" t="n">
        <v>0</v>
      </c>
      <c r="R1142" s="22" t="n">
        <v>0</v>
      </c>
      <c r="S1142" s="22" t="n">
        <v>0</v>
      </c>
      <c r="T1142" s="22" t="n">
        <v>0</v>
      </c>
      <c r="U1142" s="3">
        <f>IF(OR(N1142=1,Q1142=1),1,0)</f>
        <v/>
      </c>
      <c r="V1142" s="3">
        <f>IF(OR(T1142=1,P1142=1),1,0)</f>
        <v/>
      </c>
      <c r="W1142" s="3">
        <f>IF(OR(J1142=1),1,0)</f>
        <v/>
      </c>
      <c r="X1142" s="3">
        <f>IF(OR(I1142=1,H1142=1),1,0)</f>
        <v/>
      </c>
      <c r="Y1142" s="3">
        <f>IF(OR(G1142=1),1,0)</f>
        <v/>
      </c>
      <c r="Z1142" s="3">
        <f>IF(OR(F1142=1),1,0)</f>
        <v/>
      </c>
      <c r="AA1142" s="3">
        <f>IF(OR(M1142=1),1,0)</f>
        <v/>
      </c>
    </row>
    <row r="1143">
      <c r="A1143" s="22" t="inlineStr">
        <is>
          <t>ed81405b6bbc874821b0aee490a3b7e2fd6874d1</t>
        </is>
      </c>
      <c r="B1143" s="22" t="inlineStr">
        <is>
          <t>2026-02</t>
        </is>
      </c>
      <c r="C1143" s="22" t="inlineStr">
        <is>
          <t>Instagram</t>
        </is>
      </c>
      <c r="D1143" s="22" t="n">
        <v>0</v>
      </c>
      <c r="E1143" s="22" t="inlineStr">
        <is>
          <t>Instagram: Instagram: mazitundeednut</t>
        </is>
      </c>
      <c r="F1143" s="22" t="inlineStr">
        <is>
          <t>instagram:Instagram: mazitundeednut</t>
        </is>
      </c>
      <c r="G1143" s="22" t="n">
        <v>0.412</v>
      </c>
      <c r="H1143" s="22" t="n">
        <v>1</v>
      </c>
      <c r="I1143" s="22" t="n">
        <v>0</v>
      </c>
      <c r="J1143" s="22" t="n">
        <v>0</v>
      </c>
      <c r="K1143" s="22" t="n">
        <v>0</v>
      </c>
      <c r="L1143" s="22" t="n">
        <v>0</v>
      </c>
      <c r="M1143" s="22" t="n">
        <v>0</v>
      </c>
      <c r="N1143" s="22" t="n">
        <v>0</v>
      </c>
      <c r="O1143" s="22" t="n">
        <v>0</v>
      </c>
      <c r="P1143" s="22" t="n">
        <v>0</v>
      </c>
      <c r="Q1143" s="22" t="n">
        <v>0</v>
      </c>
      <c r="R1143" s="22" t="n">
        <v>0</v>
      </c>
      <c r="S1143" s="22" t="n">
        <v>0</v>
      </c>
      <c r="T1143" s="22" t="n">
        <v>0</v>
      </c>
      <c r="U1143" s="3">
        <f>IF(OR(N1143=1,Q1143=1),1,0)</f>
        <v/>
      </c>
      <c r="V1143" s="3">
        <f>IF(OR(T1143=1,P1143=1),1,0)</f>
        <v/>
      </c>
      <c r="W1143" s="3">
        <f>IF(OR(J1143=1),1,0)</f>
        <v/>
      </c>
      <c r="X1143" s="3">
        <f>IF(OR(I1143=1,H1143=1),1,0)</f>
        <v/>
      </c>
      <c r="Y1143" s="3">
        <f>IF(OR(G1143=1),1,0)</f>
        <v/>
      </c>
      <c r="Z1143" s="3">
        <f>IF(OR(F1143=1),1,0)</f>
        <v/>
      </c>
      <c r="AA1143" s="3">
        <f>IF(OR(M1143=1),1,0)</f>
        <v/>
      </c>
    </row>
    <row r="1144">
      <c r="A1144" s="22" t="inlineStr">
        <is>
          <t>e37ab5726e92dc5b0b8777868ea787f97ed68403</t>
        </is>
      </c>
      <c r="B1144" s="22" t="inlineStr">
        <is>
          <t>2026-02</t>
        </is>
      </c>
      <c r="C1144" s="22" t="inlineStr">
        <is>
          <t>Instagram</t>
        </is>
      </c>
      <c r="D1144" s="22" t="n">
        <v>0</v>
      </c>
      <c r="E1144" s="22" t="inlineStr">
        <is>
          <t>Instagram: Instagram: mazitundeednut</t>
        </is>
      </c>
      <c r="F1144" s="22" t="inlineStr">
        <is>
          <t>instagram:Instagram: mazitundeednut</t>
        </is>
      </c>
      <c r="G1144" s="22" t="n">
        <v>-0.296</v>
      </c>
      <c r="H1144" s="22" t="n">
        <v>0</v>
      </c>
      <c r="I1144" s="22" t="n">
        <v>1</v>
      </c>
      <c r="J1144" s="22" t="n">
        <v>0</v>
      </c>
      <c r="K1144" s="22" t="n">
        <v>0</v>
      </c>
      <c r="L1144" s="22" t="n">
        <v>0</v>
      </c>
      <c r="M1144" s="22" t="n">
        <v>0</v>
      </c>
      <c r="N1144" s="22" t="n">
        <v>0</v>
      </c>
      <c r="O1144" s="22" t="n">
        <v>0</v>
      </c>
      <c r="P1144" s="22" t="n">
        <v>0</v>
      </c>
      <c r="Q1144" s="22" t="n">
        <v>0</v>
      </c>
      <c r="R1144" s="22" t="n">
        <v>0</v>
      </c>
      <c r="S1144" s="22" t="n">
        <v>0</v>
      </c>
      <c r="T1144" s="22" t="n">
        <v>0</v>
      </c>
      <c r="U1144" s="3">
        <f>IF(OR(N1144=1,Q1144=1),1,0)</f>
        <v/>
      </c>
      <c r="V1144" s="3">
        <f>IF(OR(T1144=1,P1144=1),1,0)</f>
        <v/>
      </c>
      <c r="W1144" s="3">
        <f>IF(OR(J1144=1),1,0)</f>
        <v/>
      </c>
      <c r="X1144" s="3">
        <f>IF(OR(I1144=1,H1144=1),1,0)</f>
        <v/>
      </c>
      <c r="Y1144" s="3">
        <f>IF(OR(G1144=1),1,0)</f>
        <v/>
      </c>
      <c r="Z1144" s="3">
        <f>IF(OR(F1144=1),1,0)</f>
        <v/>
      </c>
      <c r="AA1144" s="3">
        <f>IF(OR(M1144=1),1,0)</f>
        <v/>
      </c>
    </row>
    <row r="1145">
      <c r="A1145" s="22" t="inlineStr">
        <is>
          <t>5a7a4b29680b3cd25877adedff02c2579da54317</t>
        </is>
      </c>
      <c r="B1145" s="22" t="inlineStr">
        <is>
          <t>2026-02</t>
        </is>
      </c>
      <c r="C1145" s="22" t="inlineStr">
        <is>
          <t>Instagram</t>
        </is>
      </c>
      <c r="D1145" s="22" t="n">
        <v>0</v>
      </c>
      <c r="E1145" s="22" t="inlineStr">
        <is>
          <t>Instagram: Instagram: mazitundeednut</t>
        </is>
      </c>
      <c r="F1145" s="22" t="inlineStr">
        <is>
          <t>instagram:Instagram: mazitundeednut</t>
        </is>
      </c>
      <c r="G1145" s="22" t="n">
        <v>0.453</v>
      </c>
      <c r="H1145" s="22" t="n">
        <v>0</v>
      </c>
      <c r="I1145" s="22" t="n">
        <v>1</v>
      </c>
      <c r="J1145" s="22" t="n">
        <v>0</v>
      </c>
      <c r="K1145" s="22" t="n">
        <v>0</v>
      </c>
      <c r="L1145" s="22" t="n">
        <v>0</v>
      </c>
      <c r="M1145" s="22" t="n">
        <v>0</v>
      </c>
      <c r="N1145" s="22" t="n">
        <v>0</v>
      </c>
      <c r="O1145" s="22" t="n">
        <v>0</v>
      </c>
      <c r="P1145" s="22" t="n">
        <v>0</v>
      </c>
      <c r="Q1145" s="22" t="n">
        <v>0</v>
      </c>
      <c r="R1145" s="22" t="n">
        <v>0</v>
      </c>
      <c r="S1145" s="22" t="n">
        <v>0</v>
      </c>
      <c r="T1145" s="22" t="n">
        <v>0</v>
      </c>
      <c r="U1145" s="3">
        <f>IF(OR(N1145=1,Q1145=1),1,0)</f>
        <v/>
      </c>
      <c r="V1145" s="3">
        <f>IF(OR(T1145=1,P1145=1),1,0)</f>
        <v/>
      </c>
      <c r="W1145" s="3">
        <f>IF(OR(J1145=1),1,0)</f>
        <v/>
      </c>
      <c r="X1145" s="3">
        <f>IF(OR(I1145=1,H1145=1),1,0)</f>
        <v/>
      </c>
      <c r="Y1145" s="3">
        <f>IF(OR(G1145=1),1,0)</f>
        <v/>
      </c>
      <c r="Z1145" s="3">
        <f>IF(OR(F1145=1),1,0)</f>
        <v/>
      </c>
      <c r="AA1145" s="3">
        <f>IF(OR(M1145=1),1,0)</f>
        <v/>
      </c>
    </row>
    <row r="1146">
      <c r="A1146" s="22" t="inlineStr">
        <is>
          <t>e31e00d3db27ad55a616bc21a96de7147b5d7e70</t>
        </is>
      </c>
      <c r="B1146" s="22" t="inlineStr">
        <is>
          <t>2026-02</t>
        </is>
      </c>
      <c r="C1146" s="22" t="inlineStr">
        <is>
          <t>Instagram</t>
        </is>
      </c>
      <c r="D1146" s="22" t="n">
        <v>0</v>
      </c>
      <c r="E1146" s="22" t="inlineStr">
        <is>
          <t>Instagram: Instagram: mazitundeednut</t>
        </is>
      </c>
      <c r="F1146" s="22" t="inlineStr">
        <is>
          <t>instagram:Instagram: mazitundeednut</t>
        </is>
      </c>
      <c r="G1146" s="22" t="n">
        <v>0.586</v>
      </c>
      <c r="H1146" s="22" t="n">
        <v>0</v>
      </c>
      <c r="I1146" s="22" t="n">
        <v>0</v>
      </c>
      <c r="J1146" s="22" t="n">
        <v>0</v>
      </c>
      <c r="K1146" s="22" t="n">
        <v>0</v>
      </c>
      <c r="L1146" s="22" t="n">
        <v>1</v>
      </c>
      <c r="M1146" s="22" t="n">
        <v>0</v>
      </c>
      <c r="N1146" s="22" t="n">
        <v>0</v>
      </c>
      <c r="O1146" s="22" t="n">
        <v>0</v>
      </c>
      <c r="P1146" s="22" t="n">
        <v>0</v>
      </c>
      <c r="Q1146" s="22" t="n">
        <v>0</v>
      </c>
      <c r="R1146" s="22" t="n">
        <v>0</v>
      </c>
      <c r="S1146" s="22" t="n">
        <v>0</v>
      </c>
      <c r="T1146" s="22" t="n">
        <v>0</v>
      </c>
      <c r="U1146" s="3">
        <f>IF(OR(N1146=1,Q1146=1),1,0)</f>
        <v/>
      </c>
      <c r="V1146" s="3">
        <f>IF(OR(T1146=1,P1146=1),1,0)</f>
        <v/>
      </c>
      <c r="W1146" s="3">
        <f>IF(OR(J1146=1),1,0)</f>
        <v/>
      </c>
      <c r="X1146" s="3">
        <f>IF(OR(I1146=1,H1146=1),1,0)</f>
        <v/>
      </c>
      <c r="Y1146" s="3">
        <f>IF(OR(G1146=1),1,0)</f>
        <v/>
      </c>
      <c r="Z1146" s="3">
        <f>IF(OR(F1146=1),1,0)</f>
        <v/>
      </c>
      <c r="AA1146" s="3">
        <f>IF(OR(M1146=1),1,0)</f>
        <v/>
      </c>
    </row>
    <row r="1147">
      <c r="A1147" s="22" t="inlineStr">
        <is>
          <t>25e7f7d24b15f104c15ff9ab6c9b5c408231fb46</t>
        </is>
      </c>
      <c r="B1147" s="22" t="inlineStr">
        <is>
          <t>2026-02</t>
        </is>
      </c>
      <c r="C1147" s="22" t="inlineStr">
        <is>
          <t>Instagram</t>
        </is>
      </c>
      <c r="D1147" s="22" t="n">
        <v>0</v>
      </c>
      <c r="E1147" s="22" t="inlineStr">
        <is>
          <t>Instagram: Instagram: mazitundeednut</t>
        </is>
      </c>
      <c r="F1147" s="22" t="inlineStr">
        <is>
          <t>instagram:Instagram: mazitundeednut</t>
        </is>
      </c>
      <c r="G1147" s="22" t="n">
        <v>0.905</v>
      </c>
      <c r="H1147" s="22" t="n">
        <v>0</v>
      </c>
      <c r="I1147" s="22" t="n">
        <v>0</v>
      </c>
      <c r="J1147" s="22" t="n">
        <v>0</v>
      </c>
      <c r="K1147" s="22" t="n">
        <v>0</v>
      </c>
      <c r="L1147" s="22" t="n">
        <v>0</v>
      </c>
      <c r="M1147" s="22" t="n">
        <v>0</v>
      </c>
      <c r="N1147" s="22" t="n">
        <v>0</v>
      </c>
      <c r="O1147" s="22" t="n">
        <v>0</v>
      </c>
      <c r="P1147" s="22" t="n">
        <v>1</v>
      </c>
      <c r="Q1147" s="22" t="n">
        <v>0</v>
      </c>
      <c r="R1147" s="22" t="n">
        <v>0</v>
      </c>
      <c r="S1147" s="22" t="n">
        <v>0</v>
      </c>
      <c r="T1147" s="22" t="n">
        <v>0</v>
      </c>
      <c r="U1147" s="3">
        <f>IF(OR(N1147=1,Q1147=1),1,0)</f>
        <v/>
      </c>
      <c r="V1147" s="3">
        <f>IF(OR(T1147=1,P1147=1),1,0)</f>
        <v/>
      </c>
      <c r="W1147" s="3">
        <f>IF(OR(J1147=1),1,0)</f>
        <v/>
      </c>
      <c r="X1147" s="3">
        <f>IF(OR(I1147=1,H1147=1),1,0)</f>
        <v/>
      </c>
      <c r="Y1147" s="3">
        <f>IF(OR(G1147=1),1,0)</f>
        <v/>
      </c>
      <c r="Z1147" s="3">
        <f>IF(OR(F1147=1),1,0)</f>
        <v/>
      </c>
      <c r="AA1147" s="3">
        <f>IF(OR(M1147=1),1,0)</f>
        <v/>
      </c>
    </row>
    <row r="1148">
      <c r="A1148" s="22" t="inlineStr">
        <is>
          <t>71caa6a80cb0846feb4df6bd21bc89baa140bb7f</t>
        </is>
      </c>
      <c r="B1148" s="22" t="inlineStr">
        <is>
          <t>2026-02</t>
        </is>
      </c>
      <c r="C1148" s="22" t="inlineStr">
        <is>
          <t>Instagram</t>
        </is>
      </c>
      <c r="D1148" s="22" t="n">
        <v>0</v>
      </c>
      <c r="E1148" s="22" t="inlineStr">
        <is>
          <t>Instagram: Instagram: mazitundeednut</t>
        </is>
      </c>
      <c r="F1148" s="22" t="inlineStr">
        <is>
          <t>instagram:Instagram: mazitundeednut</t>
        </is>
      </c>
      <c r="G1148" s="22" t="n">
        <v>-0.88</v>
      </c>
      <c r="H1148" s="22" t="n">
        <v>0</v>
      </c>
      <c r="I1148" s="22" t="n">
        <v>0</v>
      </c>
      <c r="J1148" s="22" t="n">
        <v>0</v>
      </c>
      <c r="K1148" s="22" t="n">
        <v>0</v>
      </c>
      <c r="L1148" s="22" t="n">
        <v>0</v>
      </c>
      <c r="M1148" s="22" t="n">
        <v>1</v>
      </c>
      <c r="N1148" s="22" t="n">
        <v>0</v>
      </c>
      <c r="O1148" s="22" t="n">
        <v>0</v>
      </c>
      <c r="P1148" s="22" t="n">
        <v>0</v>
      </c>
      <c r="Q1148" s="22" t="n">
        <v>0</v>
      </c>
      <c r="R1148" s="22" t="n">
        <v>0</v>
      </c>
      <c r="S1148" s="22" t="n">
        <v>0</v>
      </c>
      <c r="T1148" s="22" t="n">
        <v>0</v>
      </c>
      <c r="U1148" s="3">
        <f>IF(OR(N1148=1,Q1148=1),1,0)</f>
        <v/>
      </c>
      <c r="V1148" s="3">
        <f>IF(OR(T1148=1,P1148=1),1,0)</f>
        <v/>
      </c>
      <c r="W1148" s="3">
        <f>IF(OR(J1148=1),1,0)</f>
        <v/>
      </c>
      <c r="X1148" s="3">
        <f>IF(OR(I1148=1,H1148=1),1,0)</f>
        <v/>
      </c>
      <c r="Y1148" s="3">
        <f>IF(OR(G1148=1),1,0)</f>
        <v/>
      </c>
      <c r="Z1148" s="3">
        <f>IF(OR(F1148=1),1,0)</f>
        <v/>
      </c>
      <c r="AA1148" s="3">
        <f>IF(OR(M1148=1),1,0)</f>
        <v/>
      </c>
    </row>
    <row r="1149">
      <c r="A1149" s="22" t="inlineStr">
        <is>
          <t>2ea2af94fe51351309de11d455af138934697129</t>
        </is>
      </c>
      <c r="B1149" s="22" t="inlineStr">
        <is>
          <t>2026-02</t>
        </is>
      </c>
      <c r="C1149" s="22" t="inlineStr">
        <is>
          <t>Instagram</t>
        </is>
      </c>
      <c r="D1149" s="22" t="n">
        <v>0</v>
      </c>
      <c r="E1149" s="22" t="inlineStr">
        <is>
          <t>Instagram: Instagram: mazitundeednut</t>
        </is>
      </c>
      <c r="F1149" s="22" t="inlineStr">
        <is>
          <t>instagram:Instagram: mazitundeednut</t>
        </is>
      </c>
      <c r="G1149" s="22" t="n">
        <v>-0.309</v>
      </c>
      <c r="H1149" s="22" t="n">
        <v>0</v>
      </c>
      <c r="I1149" s="22" t="n">
        <v>0</v>
      </c>
      <c r="J1149" s="22" t="n">
        <v>0</v>
      </c>
      <c r="K1149" s="22" t="n">
        <v>0</v>
      </c>
      <c r="L1149" s="22" t="n">
        <v>0</v>
      </c>
      <c r="M1149" s="22" t="n">
        <v>1</v>
      </c>
      <c r="N1149" s="22" t="n">
        <v>0</v>
      </c>
      <c r="O1149" s="22" t="n">
        <v>0</v>
      </c>
      <c r="P1149" s="22" t="n">
        <v>0</v>
      </c>
      <c r="Q1149" s="22" t="n">
        <v>0</v>
      </c>
      <c r="R1149" s="22" t="n">
        <v>0</v>
      </c>
      <c r="S1149" s="22" t="n">
        <v>0</v>
      </c>
      <c r="T1149" s="22" t="n">
        <v>0</v>
      </c>
      <c r="U1149" s="3">
        <f>IF(OR(N1149=1,Q1149=1),1,0)</f>
        <v/>
      </c>
      <c r="V1149" s="3">
        <f>IF(OR(T1149=1,P1149=1),1,0)</f>
        <v/>
      </c>
      <c r="W1149" s="3">
        <f>IF(OR(J1149=1),1,0)</f>
        <v/>
      </c>
      <c r="X1149" s="3">
        <f>IF(OR(I1149=1,H1149=1),1,0)</f>
        <v/>
      </c>
      <c r="Y1149" s="3">
        <f>IF(OR(G1149=1),1,0)</f>
        <v/>
      </c>
      <c r="Z1149" s="3">
        <f>IF(OR(F1149=1),1,0)</f>
        <v/>
      </c>
      <c r="AA1149" s="3">
        <f>IF(OR(M1149=1),1,0)</f>
        <v/>
      </c>
    </row>
    <row r="1150">
      <c r="A1150" s="22" t="inlineStr">
        <is>
          <t>8beafe593a10490caf96909d1d30627182c88c6b</t>
        </is>
      </c>
      <c r="B1150" s="22" t="inlineStr">
        <is>
          <t>2026-02</t>
        </is>
      </c>
      <c r="C1150" s="22" t="inlineStr">
        <is>
          <t>Instagram</t>
        </is>
      </c>
      <c r="D1150" s="22" t="n">
        <v>0</v>
      </c>
      <c r="E1150" s="22" t="inlineStr">
        <is>
          <t>Instagram: Instagram: mazitundeednut</t>
        </is>
      </c>
      <c r="F1150" s="22" t="inlineStr">
        <is>
          <t>instagram:Instagram: mazitundeednut</t>
        </is>
      </c>
      <c r="G1150" s="22" t="n">
        <v>-0.477</v>
      </c>
      <c r="H1150" s="22" t="n">
        <v>0</v>
      </c>
      <c r="I1150" s="22" t="n">
        <v>1</v>
      </c>
      <c r="J1150" s="22" t="n">
        <v>0</v>
      </c>
      <c r="K1150" s="22" t="n">
        <v>0</v>
      </c>
      <c r="L1150" s="22" t="n">
        <v>0</v>
      </c>
      <c r="M1150" s="22" t="n">
        <v>0</v>
      </c>
      <c r="N1150" s="22" t="n">
        <v>0</v>
      </c>
      <c r="O1150" s="22" t="n">
        <v>0</v>
      </c>
      <c r="P1150" s="22" t="n">
        <v>0</v>
      </c>
      <c r="Q1150" s="22" t="n">
        <v>0</v>
      </c>
      <c r="R1150" s="22" t="n">
        <v>0</v>
      </c>
      <c r="S1150" s="22" t="n">
        <v>0</v>
      </c>
      <c r="T1150" s="22" t="n">
        <v>0</v>
      </c>
      <c r="U1150" s="3">
        <f>IF(OR(N1150=1,Q1150=1),1,0)</f>
        <v/>
      </c>
      <c r="V1150" s="3">
        <f>IF(OR(T1150=1,P1150=1),1,0)</f>
        <v/>
      </c>
      <c r="W1150" s="3">
        <f>IF(OR(J1150=1),1,0)</f>
        <v/>
      </c>
      <c r="X1150" s="3">
        <f>IF(OR(I1150=1,H1150=1),1,0)</f>
        <v/>
      </c>
      <c r="Y1150" s="3">
        <f>IF(OR(G1150=1),1,0)</f>
        <v/>
      </c>
      <c r="Z1150" s="3">
        <f>IF(OR(F1150=1),1,0)</f>
        <v/>
      </c>
      <c r="AA1150" s="3">
        <f>IF(OR(M1150=1),1,0)</f>
        <v/>
      </c>
    </row>
    <row r="1151">
      <c r="A1151" s="22" t="inlineStr">
        <is>
          <t>61519623f48528599d1ad25beb647684bbaa31af</t>
        </is>
      </c>
      <c r="B1151" s="22" t="inlineStr">
        <is>
          <t>2026-02</t>
        </is>
      </c>
      <c r="C1151" s="22" t="inlineStr">
        <is>
          <t>Instagram</t>
        </is>
      </c>
      <c r="D1151" s="22" t="n">
        <v>0</v>
      </c>
      <c r="E1151" s="22" t="inlineStr">
        <is>
          <t>Instagram: Instagram: mazitundeednut</t>
        </is>
      </c>
      <c r="F1151" s="22" t="inlineStr">
        <is>
          <t>instagram:Instagram: mazitundeednut</t>
        </is>
      </c>
      <c r="G1151" s="22" t="n">
        <v>-0.592</v>
      </c>
      <c r="H1151" s="22" t="n">
        <v>1</v>
      </c>
      <c r="I1151" s="22" t="n">
        <v>1</v>
      </c>
      <c r="J1151" s="22" t="n">
        <v>0</v>
      </c>
      <c r="K1151" s="22" t="n">
        <v>0</v>
      </c>
      <c r="L1151" s="22" t="n">
        <v>0</v>
      </c>
      <c r="M1151" s="22" t="n">
        <v>0</v>
      </c>
      <c r="N1151" s="22" t="n">
        <v>0</v>
      </c>
      <c r="O1151" s="22" t="n">
        <v>0</v>
      </c>
      <c r="P1151" s="22" t="n">
        <v>0</v>
      </c>
      <c r="Q1151" s="22" t="n">
        <v>0</v>
      </c>
      <c r="R1151" s="22" t="n">
        <v>0</v>
      </c>
      <c r="S1151" s="22" t="n">
        <v>0</v>
      </c>
      <c r="T1151" s="22" t="n">
        <v>0</v>
      </c>
      <c r="U1151" s="3">
        <f>IF(OR(N1151=1,Q1151=1),1,0)</f>
        <v/>
      </c>
      <c r="V1151" s="3">
        <f>IF(OR(T1151=1,P1151=1),1,0)</f>
        <v/>
      </c>
      <c r="W1151" s="3">
        <f>IF(OR(J1151=1),1,0)</f>
        <v/>
      </c>
      <c r="X1151" s="3">
        <f>IF(OR(I1151=1,H1151=1),1,0)</f>
        <v/>
      </c>
      <c r="Y1151" s="3">
        <f>IF(OR(G1151=1),1,0)</f>
        <v/>
      </c>
      <c r="Z1151" s="3">
        <f>IF(OR(F1151=1),1,0)</f>
        <v/>
      </c>
      <c r="AA1151" s="3">
        <f>IF(OR(M1151=1),1,0)</f>
        <v/>
      </c>
    </row>
    <row r="1152">
      <c r="A1152" s="22" t="inlineStr">
        <is>
          <t>5a0385082a0de0e1dc5f5592a3232caf0b1c34ef</t>
        </is>
      </c>
      <c r="B1152" s="22" t="inlineStr">
        <is>
          <t>2026-02</t>
        </is>
      </c>
      <c r="C1152" s="22" t="inlineStr">
        <is>
          <t>Instagram</t>
        </is>
      </c>
      <c r="D1152" s="22" t="n">
        <v>0</v>
      </c>
      <c r="E1152" s="22" t="inlineStr">
        <is>
          <t>Instagram: Instagram: mazitundeednut</t>
        </is>
      </c>
      <c r="F1152" s="22" t="inlineStr">
        <is>
          <t>instagram:Instagram: mazitundeednut</t>
        </is>
      </c>
      <c r="G1152" s="22" t="n">
        <v>-0.422</v>
      </c>
      <c r="H1152" s="22" t="n">
        <v>1</v>
      </c>
      <c r="I1152" s="22" t="n">
        <v>0</v>
      </c>
      <c r="J1152" s="22" t="n">
        <v>0</v>
      </c>
      <c r="K1152" s="22" t="n">
        <v>0</v>
      </c>
      <c r="L1152" s="22" t="n">
        <v>0</v>
      </c>
      <c r="M1152" s="22" t="n">
        <v>0</v>
      </c>
      <c r="N1152" s="22" t="n">
        <v>0</v>
      </c>
      <c r="O1152" s="22" t="n">
        <v>0</v>
      </c>
      <c r="P1152" s="22" t="n">
        <v>0</v>
      </c>
      <c r="Q1152" s="22" t="n">
        <v>0</v>
      </c>
      <c r="R1152" s="22" t="n">
        <v>0</v>
      </c>
      <c r="S1152" s="22" t="n">
        <v>0</v>
      </c>
      <c r="T1152" s="22" t="n">
        <v>0</v>
      </c>
      <c r="U1152" s="3">
        <f>IF(OR(N1152=1,Q1152=1),1,0)</f>
        <v/>
      </c>
      <c r="V1152" s="3">
        <f>IF(OR(T1152=1,P1152=1),1,0)</f>
        <v/>
      </c>
      <c r="W1152" s="3">
        <f>IF(OR(J1152=1),1,0)</f>
        <v/>
      </c>
      <c r="X1152" s="3">
        <f>IF(OR(I1152=1,H1152=1),1,0)</f>
        <v/>
      </c>
      <c r="Y1152" s="3">
        <f>IF(OR(G1152=1),1,0)</f>
        <v/>
      </c>
      <c r="Z1152" s="3">
        <f>IF(OR(F1152=1),1,0)</f>
        <v/>
      </c>
      <c r="AA1152" s="3">
        <f>IF(OR(M1152=1),1,0)</f>
        <v/>
      </c>
    </row>
    <row r="1153">
      <c r="A1153" s="22" t="inlineStr">
        <is>
          <t>9e79ff3f93fd3ee83d5ed4ed8f67f537cdf02690</t>
        </is>
      </c>
      <c r="B1153" s="22" t="inlineStr">
        <is>
          <t>2026-02</t>
        </is>
      </c>
      <c r="C1153" s="22" t="inlineStr">
        <is>
          <t>Instagram</t>
        </is>
      </c>
      <c r="D1153" s="22" t="n">
        <v>0</v>
      </c>
      <c r="E1153" s="22" t="inlineStr">
        <is>
          <t>Instagram: Instagram: mazitundeednut</t>
        </is>
      </c>
      <c r="F1153" s="22" t="inlineStr">
        <is>
          <t>instagram:Instagram: mazitundeednut</t>
        </is>
      </c>
      <c r="G1153" s="22" t="n">
        <v>-0.542</v>
      </c>
      <c r="H1153" s="22" t="n">
        <v>1</v>
      </c>
      <c r="I1153" s="22" t="n">
        <v>0</v>
      </c>
      <c r="J1153" s="22" t="n">
        <v>0</v>
      </c>
      <c r="K1153" s="22" t="n">
        <v>0</v>
      </c>
      <c r="L1153" s="22" t="n">
        <v>0</v>
      </c>
      <c r="M1153" s="22" t="n">
        <v>0</v>
      </c>
      <c r="N1153" s="22" t="n">
        <v>0</v>
      </c>
      <c r="O1153" s="22" t="n">
        <v>0</v>
      </c>
      <c r="P1153" s="22" t="n">
        <v>0</v>
      </c>
      <c r="Q1153" s="22" t="n">
        <v>0</v>
      </c>
      <c r="R1153" s="22" t="n">
        <v>0</v>
      </c>
      <c r="S1153" s="22" t="n">
        <v>0</v>
      </c>
      <c r="T1153" s="22" t="n">
        <v>0</v>
      </c>
      <c r="U1153" s="3">
        <f>IF(OR(N1153=1,Q1153=1),1,0)</f>
        <v/>
      </c>
      <c r="V1153" s="3">
        <f>IF(OR(T1153=1,P1153=1),1,0)</f>
        <v/>
      </c>
      <c r="W1153" s="3">
        <f>IF(OR(J1153=1),1,0)</f>
        <v/>
      </c>
      <c r="X1153" s="3">
        <f>IF(OR(I1153=1,H1153=1),1,0)</f>
        <v/>
      </c>
      <c r="Y1153" s="3">
        <f>IF(OR(G1153=1),1,0)</f>
        <v/>
      </c>
      <c r="Z1153" s="3">
        <f>IF(OR(F1153=1),1,0)</f>
        <v/>
      </c>
      <c r="AA1153" s="3">
        <f>IF(OR(M1153=1),1,0)</f>
        <v/>
      </c>
    </row>
    <row r="1154">
      <c r="A1154" s="22" t="inlineStr">
        <is>
          <t>826d5d7275020575b6d59b67a2e7f1273519d290</t>
        </is>
      </c>
      <c r="B1154" s="22" t="inlineStr">
        <is>
          <t>2026-08</t>
        </is>
      </c>
      <c r="C1154" s="22" t="inlineStr">
        <is>
          <t>Instagram</t>
        </is>
      </c>
      <c r="D1154" s="22" t="n">
        <v>1</v>
      </c>
      <c r="E1154" s="22" t="inlineStr">
        <is>
          <t>Instagram: Instagram search: IReV</t>
        </is>
      </c>
      <c r="F1154" s="22" t="inlineStr">
        <is>
          <t>instagram:Instagram search: IReV</t>
        </is>
      </c>
      <c r="G1154" s="22" t="n">
        <v>0</v>
      </c>
      <c r="H1154" s="22" t="n">
        <v>0</v>
      </c>
      <c r="I1154" s="22" t="n">
        <v>1</v>
      </c>
      <c r="J1154" s="22" t="n">
        <v>0</v>
      </c>
      <c r="K1154" s="22" t="n">
        <v>0</v>
      </c>
      <c r="L1154" s="22" t="n">
        <v>0</v>
      </c>
      <c r="M1154" s="22" t="n">
        <v>0</v>
      </c>
      <c r="N1154" s="22" t="n">
        <v>0</v>
      </c>
      <c r="O1154" s="22" t="n">
        <v>0</v>
      </c>
      <c r="P1154" s="22" t="n">
        <v>0</v>
      </c>
      <c r="Q1154" s="22" t="n">
        <v>0</v>
      </c>
      <c r="R1154" s="22" t="n">
        <v>0</v>
      </c>
      <c r="S1154" s="22" t="n">
        <v>0</v>
      </c>
      <c r="T1154" s="22" t="n">
        <v>0</v>
      </c>
      <c r="U1154" s="3">
        <f>IF(OR(N1154=1,Q1154=1),1,0)</f>
        <v/>
      </c>
      <c r="V1154" s="3">
        <f>IF(OR(T1154=1,P1154=1),1,0)</f>
        <v/>
      </c>
      <c r="W1154" s="3">
        <f>IF(OR(J1154=1),1,0)</f>
        <v/>
      </c>
      <c r="X1154" s="3">
        <f>IF(OR(I1154=1,H1154=1),1,0)</f>
        <v/>
      </c>
      <c r="Y1154" s="3">
        <f>IF(OR(G1154=1),1,0)</f>
        <v/>
      </c>
      <c r="Z1154" s="3">
        <f>IF(OR(F1154=1),1,0)</f>
        <v/>
      </c>
      <c r="AA1154" s="3">
        <f>IF(OR(M1154=1),1,0)</f>
        <v/>
      </c>
    </row>
    <row r="1155">
      <c r="A1155" s="22" t="inlineStr">
        <is>
          <t>9598c50a53bc58ab69c925038b252f8dbc66ca2d</t>
        </is>
      </c>
      <c r="B1155" s="22" t="inlineStr">
        <is>
          <t>2026-08</t>
        </is>
      </c>
      <c r="C1155" s="22" t="inlineStr">
        <is>
          <t>Instagram</t>
        </is>
      </c>
      <c r="D1155" s="22" t="n">
        <v>1</v>
      </c>
      <c r="E1155" s="22" t="inlineStr">
        <is>
          <t>Instagram: Instagram search: IReV</t>
        </is>
      </c>
      <c r="F1155" s="22" t="inlineStr">
        <is>
          <t>instagram:Instagram search: IReV</t>
        </is>
      </c>
      <c r="G1155" s="22" t="n">
        <v>-0.585</v>
      </c>
      <c r="H1155" s="22" t="n">
        <v>1</v>
      </c>
      <c r="I1155" s="22" t="n">
        <v>0</v>
      </c>
      <c r="J1155" s="22" t="n">
        <v>0</v>
      </c>
      <c r="K1155" s="22" t="n">
        <v>0</v>
      </c>
      <c r="L1155" s="22" t="n">
        <v>0</v>
      </c>
      <c r="M1155" s="22" t="n">
        <v>0</v>
      </c>
      <c r="N1155" s="22" t="n">
        <v>0</v>
      </c>
      <c r="O1155" s="22" t="n">
        <v>0</v>
      </c>
      <c r="P1155" s="22" t="n">
        <v>0</v>
      </c>
      <c r="Q1155" s="22" t="n">
        <v>0</v>
      </c>
      <c r="R1155" s="22" t="n">
        <v>0</v>
      </c>
      <c r="S1155" s="22" t="n">
        <v>0</v>
      </c>
      <c r="T1155" s="22" t="n">
        <v>0</v>
      </c>
      <c r="U1155" s="3">
        <f>IF(OR(N1155=1,Q1155=1),1,0)</f>
        <v/>
      </c>
      <c r="V1155" s="3">
        <f>IF(OR(T1155=1,P1155=1),1,0)</f>
        <v/>
      </c>
      <c r="W1155" s="3">
        <f>IF(OR(J1155=1),1,0)</f>
        <v/>
      </c>
      <c r="X1155" s="3">
        <f>IF(OR(I1155=1,H1155=1),1,0)</f>
        <v/>
      </c>
      <c r="Y1155" s="3">
        <f>IF(OR(G1155=1),1,0)</f>
        <v/>
      </c>
      <c r="Z1155" s="3">
        <f>IF(OR(F1155=1),1,0)</f>
        <v/>
      </c>
      <c r="AA1155" s="3">
        <f>IF(OR(M1155=1),1,0)</f>
        <v/>
      </c>
    </row>
    <row r="1156">
      <c r="A1156" s="22" t="inlineStr">
        <is>
          <t>e5eb4dfedd147b9799ce04fbf2ce9d48fb62929c</t>
        </is>
      </c>
      <c r="B1156" s="22" t="inlineStr">
        <is>
          <t>2026-08</t>
        </is>
      </c>
      <c r="C1156" s="22" t="inlineStr">
        <is>
          <t>Instagram</t>
        </is>
      </c>
      <c r="D1156" s="22" t="n">
        <v>1</v>
      </c>
      <c r="E1156" s="22" t="inlineStr">
        <is>
          <t>Instagram: Instagram search: IReV</t>
        </is>
      </c>
      <c r="F1156" s="22" t="inlineStr">
        <is>
          <t>instagram:Instagram search: IReV</t>
        </is>
      </c>
      <c r="G1156" s="22" t="n">
        <v>-0.856</v>
      </c>
      <c r="H1156" s="22" t="n">
        <v>1</v>
      </c>
      <c r="I1156" s="22" t="n">
        <v>0</v>
      </c>
      <c r="J1156" s="22" t="n">
        <v>0</v>
      </c>
      <c r="K1156" s="22" t="n">
        <v>0</v>
      </c>
      <c r="L1156" s="22" t="n">
        <v>0</v>
      </c>
      <c r="M1156" s="22" t="n">
        <v>0</v>
      </c>
      <c r="N1156" s="22" t="n">
        <v>0</v>
      </c>
      <c r="O1156" s="22" t="n">
        <v>0</v>
      </c>
      <c r="P1156" s="22" t="n">
        <v>0</v>
      </c>
      <c r="Q1156" s="22" t="n">
        <v>0</v>
      </c>
      <c r="R1156" s="22" t="n">
        <v>0</v>
      </c>
      <c r="S1156" s="22" t="n">
        <v>0</v>
      </c>
      <c r="T1156" s="22" t="n">
        <v>0</v>
      </c>
      <c r="U1156" s="3">
        <f>IF(OR(N1156=1,Q1156=1),1,0)</f>
        <v/>
      </c>
      <c r="V1156" s="3">
        <f>IF(OR(T1156=1,P1156=1),1,0)</f>
        <v/>
      </c>
      <c r="W1156" s="3">
        <f>IF(OR(J1156=1),1,0)</f>
        <v/>
      </c>
      <c r="X1156" s="3">
        <f>IF(OR(I1156=1,H1156=1),1,0)</f>
        <v/>
      </c>
      <c r="Y1156" s="3">
        <f>IF(OR(G1156=1),1,0)</f>
        <v/>
      </c>
      <c r="Z1156" s="3">
        <f>IF(OR(F1156=1),1,0)</f>
        <v/>
      </c>
      <c r="AA1156" s="3">
        <f>IF(OR(M1156=1),1,0)</f>
        <v/>
      </c>
    </row>
    <row r="1157">
      <c r="A1157" s="22" t="inlineStr">
        <is>
          <t>419a6365d04cc40a2ea49d7e182f2a5133b21ded</t>
        </is>
      </c>
      <c r="B1157" s="22" t="inlineStr">
        <is>
          <t>2026-08</t>
        </is>
      </c>
      <c r="C1157" s="22" t="inlineStr">
        <is>
          <t>Instagram</t>
        </is>
      </c>
      <c r="D1157" s="22" t="n">
        <v>1</v>
      </c>
      <c r="E1157" s="22" t="inlineStr">
        <is>
          <t>Instagram: Instagram search: IReV</t>
        </is>
      </c>
      <c r="F1157" s="22" t="inlineStr">
        <is>
          <t>instagram:Instagram search: IReV</t>
        </is>
      </c>
      <c r="G1157" s="22" t="n">
        <v>-0.495</v>
      </c>
      <c r="H1157" s="22" t="n">
        <v>0</v>
      </c>
      <c r="I1157" s="22" t="n">
        <v>0</v>
      </c>
      <c r="J1157" s="22" t="n">
        <v>0</v>
      </c>
      <c r="K1157" s="22" t="n">
        <v>0</v>
      </c>
      <c r="L1157" s="22" t="n">
        <v>0</v>
      </c>
      <c r="M1157" s="22" t="n">
        <v>1</v>
      </c>
      <c r="N1157" s="22" t="n">
        <v>0</v>
      </c>
      <c r="O1157" s="22" t="n">
        <v>0</v>
      </c>
      <c r="P1157" s="22" t="n">
        <v>0</v>
      </c>
      <c r="Q1157" s="22" t="n">
        <v>0</v>
      </c>
      <c r="R1157" s="22" t="n">
        <v>0</v>
      </c>
      <c r="S1157" s="22" t="n">
        <v>0</v>
      </c>
      <c r="T1157" s="22" t="n">
        <v>0</v>
      </c>
      <c r="U1157" s="3">
        <f>IF(OR(N1157=1,Q1157=1),1,0)</f>
        <v/>
      </c>
      <c r="V1157" s="3">
        <f>IF(OR(T1157=1,P1157=1),1,0)</f>
        <v/>
      </c>
      <c r="W1157" s="3">
        <f>IF(OR(J1157=1),1,0)</f>
        <v/>
      </c>
      <c r="X1157" s="3">
        <f>IF(OR(I1157=1,H1157=1),1,0)</f>
        <v/>
      </c>
      <c r="Y1157" s="3">
        <f>IF(OR(G1157=1),1,0)</f>
        <v/>
      </c>
      <c r="Z1157" s="3">
        <f>IF(OR(F1157=1),1,0)</f>
        <v/>
      </c>
      <c r="AA1157" s="3">
        <f>IF(OR(M1157=1),1,0)</f>
        <v/>
      </c>
    </row>
    <row r="1158">
      <c r="A1158" s="22" t="inlineStr">
        <is>
          <t>cc1e1c13c7499692bd982f23574b8d0331acc6b4</t>
        </is>
      </c>
      <c r="B1158" s="22" t="inlineStr">
        <is>
          <t>2026-08</t>
        </is>
      </c>
      <c r="C1158" s="22" t="inlineStr">
        <is>
          <t>Instagram</t>
        </is>
      </c>
      <c r="D1158" s="22" t="n">
        <v>1</v>
      </c>
      <c r="E1158" s="22" t="inlineStr">
        <is>
          <t>Instagram: Instagram search: IReV</t>
        </is>
      </c>
      <c r="F1158" s="22" t="inlineStr">
        <is>
          <t>instagram:Instagram search: IReV</t>
        </is>
      </c>
      <c r="G1158" s="22" t="n">
        <v>0.872</v>
      </c>
      <c r="H1158" s="22" t="n">
        <v>0</v>
      </c>
      <c r="I1158" s="22" t="n">
        <v>0</v>
      </c>
      <c r="J1158" s="22" t="n">
        <v>0</v>
      </c>
      <c r="K1158" s="22" t="n">
        <v>0</v>
      </c>
      <c r="L1158" s="22" t="n">
        <v>0</v>
      </c>
      <c r="M1158" s="22" t="n">
        <v>0</v>
      </c>
      <c r="N1158" s="22" t="n">
        <v>0</v>
      </c>
      <c r="O1158" s="22" t="n">
        <v>0</v>
      </c>
      <c r="P1158" s="22" t="n">
        <v>0</v>
      </c>
      <c r="Q1158" s="22" t="n">
        <v>0</v>
      </c>
      <c r="R1158" s="22" t="n">
        <v>1</v>
      </c>
      <c r="S1158" s="22" t="n">
        <v>0</v>
      </c>
      <c r="T1158" s="22" t="n">
        <v>0</v>
      </c>
      <c r="U1158" s="3">
        <f>IF(OR(N1158=1,Q1158=1),1,0)</f>
        <v/>
      </c>
      <c r="V1158" s="3">
        <f>IF(OR(T1158=1,P1158=1),1,0)</f>
        <v/>
      </c>
      <c r="W1158" s="3">
        <f>IF(OR(J1158=1),1,0)</f>
        <v/>
      </c>
      <c r="X1158" s="3">
        <f>IF(OR(I1158=1,H1158=1),1,0)</f>
        <v/>
      </c>
      <c r="Y1158" s="3">
        <f>IF(OR(G1158=1),1,0)</f>
        <v/>
      </c>
      <c r="Z1158" s="3">
        <f>IF(OR(F1158=1),1,0)</f>
        <v/>
      </c>
      <c r="AA1158" s="3">
        <f>IF(OR(M1158=1),1,0)</f>
        <v/>
      </c>
    </row>
    <row r="1159">
      <c r="A1159" s="22" t="inlineStr">
        <is>
          <t>7ed11f8fa08abab25f792d0d603c773c23a28dca</t>
        </is>
      </c>
      <c r="B1159" s="22" t="inlineStr">
        <is>
          <t>2026-08</t>
        </is>
      </c>
      <c r="C1159" s="22" t="inlineStr">
        <is>
          <t>Instagram</t>
        </is>
      </c>
      <c r="D1159" s="22" t="n">
        <v>1</v>
      </c>
      <c r="E1159" s="22" t="inlineStr">
        <is>
          <t>Instagram: Instagram search: IReV</t>
        </is>
      </c>
      <c r="F1159" s="22" t="inlineStr">
        <is>
          <t>instagram:Instagram search: IReV</t>
        </is>
      </c>
      <c r="G1159" s="22" t="n">
        <v>0</v>
      </c>
      <c r="H1159" s="22" t="n">
        <v>0</v>
      </c>
      <c r="I1159" s="22" t="n">
        <v>1</v>
      </c>
      <c r="J1159" s="22" t="n">
        <v>0</v>
      </c>
      <c r="K1159" s="22" t="n">
        <v>0</v>
      </c>
      <c r="L1159" s="22" t="n">
        <v>0</v>
      </c>
      <c r="M1159" s="22" t="n">
        <v>0</v>
      </c>
      <c r="N1159" s="22" t="n">
        <v>0</v>
      </c>
      <c r="O1159" s="22" t="n">
        <v>0</v>
      </c>
      <c r="P1159" s="22" t="n">
        <v>1</v>
      </c>
      <c r="Q1159" s="22" t="n">
        <v>0</v>
      </c>
      <c r="R1159" s="22" t="n">
        <v>0</v>
      </c>
      <c r="S1159" s="22" t="n">
        <v>0</v>
      </c>
      <c r="T1159" s="22" t="n">
        <v>0</v>
      </c>
      <c r="U1159" s="3">
        <f>IF(OR(N1159=1,Q1159=1),1,0)</f>
        <v/>
      </c>
      <c r="V1159" s="3">
        <f>IF(OR(T1159=1,P1159=1),1,0)</f>
        <v/>
      </c>
      <c r="W1159" s="3">
        <f>IF(OR(J1159=1),1,0)</f>
        <v/>
      </c>
      <c r="X1159" s="3">
        <f>IF(OR(I1159=1,H1159=1),1,0)</f>
        <v/>
      </c>
      <c r="Y1159" s="3">
        <f>IF(OR(G1159=1),1,0)</f>
        <v/>
      </c>
      <c r="Z1159" s="3">
        <f>IF(OR(F1159=1),1,0)</f>
        <v/>
      </c>
      <c r="AA1159" s="3">
        <f>IF(OR(M1159=1),1,0)</f>
        <v/>
      </c>
    </row>
    <row r="1160">
      <c r="A1160" s="22" t="inlineStr">
        <is>
          <t>0e66d79cfeec79b311bd2e1f37ac1c128f6824df</t>
        </is>
      </c>
      <c r="B1160" s="22" t="inlineStr">
        <is>
          <t>2026-08</t>
        </is>
      </c>
      <c r="C1160" s="22" t="inlineStr">
        <is>
          <t>Instagram</t>
        </is>
      </c>
      <c r="D1160" s="22" t="n">
        <v>1</v>
      </c>
      <c r="E1160" s="22" t="inlineStr">
        <is>
          <t>Instagram: Instagram search: IReV</t>
        </is>
      </c>
      <c r="F1160" s="22" t="inlineStr">
        <is>
          <t>instagram:Instagram search: IReV</t>
        </is>
      </c>
      <c r="G1160" s="22" t="n">
        <v>-0.11</v>
      </c>
      <c r="H1160" s="22" t="n">
        <v>1</v>
      </c>
      <c r="I1160" s="22" t="n">
        <v>1</v>
      </c>
      <c r="J1160" s="22" t="n">
        <v>0</v>
      </c>
      <c r="K1160" s="22" t="n">
        <v>0</v>
      </c>
      <c r="L1160" s="22" t="n">
        <v>0</v>
      </c>
      <c r="M1160" s="22" t="n">
        <v>0</v>
      </c>
      <c r="N1160" s="22" t="n">
        <v>0</v>
      </c>
      <c r="O1160" s="22" t="n">
        <v>0</v>
      </c>
      <c r="P1160" s="22" t="n">
        <v>0</v>
      </c>
      <c r="Q1160" s="22" t="n">
        <v>0</v>
      </c>
      <c r="R1160" s="22" t="n">
        <v>0</v>
      </c>
      <c r="S1160" s="22" t="n">
        <v>0</v>
      </c>
      <c r="T1160" s="22" t="n">
        <v>0</v>
      </c>
      <c r="U1160" s="3">
        <f>IF(OR(N1160=1,Q1160=1),1,0)</f>
        <v/>
      </c>
      <c r="V1160" s="3">
        <f>IF(OR(T1160=1,P1160=1),1,0)</f>
        <v/>
      </c>
      <c r="W1160" s="3">
        <f>IF(OR(J1160=1),1,0)</f>
        <v/>
      </c>
      <c r="X1160" s="3">
        <f>IF(OR(I1160=1,H1160=1),1,0)</f>
        <v/>
      </c>
      <c r="Y1160" s="3">
        <f>IF(OR(G1160=1),1,0)</f>
        <v/>
      </c>
      <c r="Z1160" s="3">
        <f>IF(OR(F1160=1),1,0)</f>
        <v/>
      </c>
      <c r="AA1160" s="3">
        <f>IF(OR(M1160=1),1,0)</f>
        <v/>
      </c>
    </row>
    <row r="1161">
      <c r="A1161" s="22" t="inlineStr">
        <is>
          <t>286cc0aec97f7cf3884f8154bc9bc2c7ca361d68</t>
        </is>
      </c>
      <c r="B1161" s="22" t="inlineStr">
        <is>
          <t>2026-08</t>
        </is>
      </c>
      <c r="C1161" s="22" t="inlineStr">
        <is>
          <t>Instagram</t>
        </is>
      </c>
      <c r="D1161" s="22" t="n">
        <v>1</v>
      </c>
      <c r="E1161" s="22" t="inlineStr">
        <is>
          <t>Instagram: Instagram search: IReV</t>
        </is>
      </c>
      <c r="F1161" s="22" t="inlineStr">
        <is>
          <t>instagram:Instagram search: IReV</t>
        </is>
      </c>
      <c r="G1161" s="22" t="n">
        <v>-0.418</v>
      </c>
      <c r="H1161" s="22" t="n">
        <v>0</v>
      </c>
      <c r="I1161" s="22" t="n">
        <v>1</v>
      </c>
      <c r="J1161" s="22" t="n">
        <v>0</v>
      </c>
      <c r="K1161" s="22" t="n">
        <v>0</v>
      </c>
      <c r="L1161" s="22" t="n">
        <v>0</v>
      </c>
      <c r="M1161" s="22" t="n">
        <v>0</v>
      </c>
      <c r="N1161" s="22" t="n">
        <v>0</v>
      </c>
      <c r="O1161" s="22" t="n">
        <v>0</v>
      </c>
      <c r="P1161" s="22" t="n">
        <v>0</v>
      </c>
      <c r="Q1161" s="22" t="n">
        <v>0</v>
      </c>
      <c r="R1161" s="22" t="n">
        <v>0</v>
      </c>
      <c r="S1161" s="22" t="n">
        <v>0</v>
      </c>
      <c r="T1161" s="22" t="n">
        <v>0</v>
      </c>
      <c r="U1161" s="3">
        <f>IF(OR(N1161=1,Q1161=1),1,0)</f>
        <v/>
      </c>
      <c r="V1161" s="3">
        <f>IF(OR(T1161=1,P1161=1),1,0)</f>
        <v/>
      </c>
      <c r="W1161" s="3">
        <f>IF(OR(J1161=1),1,0)</f>
        <v/>
      </c>
      <c r="X1161" s="3">
        <f>IF(OR(I1161=1,H1161=1),1,0)</f>
        <v/>
      </c>
      <c r="Y1161" s="3">
        <f>IF(OR(G1161=1),1,0)</f>
        <v/>
      </c>
      <c r="Z1161" s="3">
        <f>IF(OR(F1161=1),1,0)</f>
        <v/>
      </c>
      <c r="AA1161" s="3">
        <f>IF(OR(M1161=1),1,0)</f>
        <v/>
      </c>
    </row>
    <row r="1162">
      <c r="A1162" s="22" t="inlineStr">
        <is>
          <t>e447b3656e9f05a70d7ad95706d41539b0185e9f</t>
        </is>
      </c>
      <c r="B1162" s="22" t="inlineStr">
        <is>
          <t>2026-08</t>
        </is>
      </c>
      <c r="C1162" s="22" t="inlineStr">
        <is>
          <t>Instagram</t>
        </is>
      </c>
      <c r="D1162" s="22" t="n">
        <v>1</v>
      </c>
      <c r="E1162" s="22" t="inlineStr">
        <is>
          <t>Instagram: Instagram search: IReV</t>
        </is>
      </c>
      <c r="F1162" s="22" t="inlineStr">
        <is>
          <t>instagram:Instagram search: IReV</t>
        </is>
      </c>
      <c r="G1162" s="22" t="n">
        <v>-0.321</v>
      </c>
      <c r="H1162" s="22" t="n">
        <v>1</v>
      </c>
      <c r="I1162" s="22" t="n">
        <v>0</v>
      </c>
      <c r="J1162" s="22" t="n">
        <v>0</v>
      </c>
      <c r="K1162" s="22" t="n">
        <v>0</v>
      </c>
      <c r="L1162" s="22" t="n">
        <v>0</v>
      </c>
      <c r="M1162" s="22" t="n">
        <v>0</v>
      </c>
      <c r="N1162" s="22" t="n">
        <v>0</v>
      </c>
      <c r="O1162" s="22" t="n">
        <v>0</v>
      </c>
      <c r="P1162" s="22" t="n">
        <v>0</v>
      </c>
      <c r="Q1162" s="22" t="n">
        <v>0</v>
      </c>
      <c r="R1162" s="22" t="n">
        <v>0</v>
      </c>
      <c r="S1162" s="22" t="n">
        <v>0</v>
      </c>
      <c r="T1162" s="22" t="n">
        <v>0</v>
      </c>
      <c r="U1162" s="3">
        <f>IF(OR(N1162=1,Q1162=1),1,0)</f>
        <v/>
      </c>
      <c r="V1162" s="3">
        <f>IF(OR(T1162=1,P1162=1),1,0)</f>
        <v/>
      </c>
      <c r="W1162" s="3">
        <f>IF(OR(J1162=1),1,0)</f>
        <v/>
      </c>
      <c r="X1162" s="3">
        <f>IF(OR(I1162=1,H1162=1),1,0)</f>
        <v/>
      </c>
      <c r="Y1162" s="3">
        <f>IF(OR(G1162=1),1,0)</f>
        <v/>
      </c>
      <c r="Z1162" s="3">
        <f>IF(OR(F1162=1),1,0)</f>
        <v/>
      </c>
      <c r="AA1162" s="3">
        <f>IF(OR(M1162=1),1,0)</f>
        <v/>
      </c>
    </row>
    <row r="1163">
      <c r="A1163" s="22" t="inlineStr">
        <is>
          <t>832f03f292abfbe34ab1ec3733f1a7aee485c26c</t>
        </is>
      </c>
      <c r="B1163" s="22" t="inlineStr">
        <is>
          <t>2026-08</t>
        </is>
      </c>
      <c r="C1163" s="22" t="inlineStr">
        <is>
          <t>Instagram</t>
        </is>
      </c>
      <c r="D1163" s="22" t="n">
        <v>1</v>
      </c>
      <c r="E1163" s="22" t="inlineStr">
        <is>
          <t>Instagram: Instagram search: IReV</t>
        </is>
      </c>
      <c r="F1163" s="22" t="inlineStr">
        <is>
          <t>instagram:Instagram search: IReV</t>
        </is>
      </c>
      <c r="G1163" s="22" t="n">
        <v>-0.97</v>
      </c>
      <c r="H1163" s="22" t="n">
        <v>1</v>
      </c>
      <c r="I1163" s="22" t="n">
        <v>0</v>
      </c>
      <c r="J1163" s="22" t="n">
        <v>0</v>
      </c>
      <c r="K1163" s="22" t="n">
        <v>0</v>
      </c>
      <c r="L1163" s="22" t="n">
        <v>0</v>
      </c>
      <c r="M1163" s="22" t="n">
        <v>0</v>
      </c>
      <c r="N1163" s="22" t="n">
        <v>0</v>
      </c>
      <c r="O1163" s="22" t="n">
        <v>0</v>
      </c>
      <c r="P1163" s="22" t="n">
        <v>0</v>
      </c>
      <c r="Q1163" s="22" t="n">
        <v>0</v>
      </c>
      <c r="R1163" s="22" t="n">
        <v>0</v>
      </c>
      <c r="S1163" s="22" t="n">
        <v>0</v>
      </c>
      <c r="T1163" s="22" t="n">
        <v>0</v>
      </c>
      <c r="U1163" s="3">
        <f>IF(OR(N1163=1,Q1163=1),1,0)</f>
        <v/>
      </c>
      <c r="V1163" s="3">
        <f>IF(OR(T1163=1,P1163=1),1,0)</f>
        <v/>
      </c>
      <c r="W1163" s="3">
        <f>IF(OR(J1163=1),1,0)</f>
        <v/>
      </c>
      <c r="X1163" s="3">
        <f>IF(OR(I1163=1,H1163=1),1,0)</f>
        <v/>
      </c>
      <c r="Y1163" s="3">
        <f>IF(OR(G1163=1),1,0)</f>
        <v/>
      </c>
      <c r="Z1163" s="3">
        <f>IF(OR(F1163=1),1,0)</f>
        <v/>
      </c>
      <c r="AA1163" s="3">
        <f>IF(OR(M1163=1),1,0)</f>
        <v/>
      </c>
    </row>
    <row r="1164">
      <c r="A1164" s="22" t="inlineStr">
        <is>
          <t>39aa171d44e450209921ae271146ae878b63f889</t>
        </is>
      </c>
      <c r="B1164" s="22" t="inlineStr">
        <is>
          <t>2026-08</t>
        </is>
      </c>
      <c r="C1164" s="22" t="inlineStr">
        <is>
          <t>Instagram</t>
        </is>
      </c>
      <c r="D1164" s="22" t="n">
        <v>1</v>
      </c>
      <c r="E1164" s="22" t="inlineStr">
        <is>
          <t>Instagram: Instagram search: IReV</t>
        </is>
      </c>
      <c r="F1164" s="22" t="inlineStr">
        <is>
          <t>instagram:Instagram search: IReV</t>
        </is>
      </c>
      <c r="G1164" s="22" t="n">
        <v>0.034</v>
      </c>
      <c r="H1164" s="22" t="n">
        <v>1</v>
      </c>
      <c r="I1164" s="22" t="n">
        <v>0</v>
      </c>
      <c r="J1164" s="22" t="n">
        <v>0</v>
      </c>
      <c r="K1164" s="22" t="n">
        <v>0</v>
      </c>
      <c r="L1164" s="22" t="n">
        <v>0</v>
      </c>
      <c r="M1164" s="22" t="n">
        <v>0</v>
      </c>
      <c r="N1164" s="22" t="n">
        <v>0</v>
      </c>
      <c r="O1164" s="22" t="n">
        <v>0</v>
      </c>
      <c r="P1164" s="22" t="n">
        <v>0</v>
      </c>
      <c r="Q1164" s="22" t="n">
        <v>0</v>
      </c>
      <c r="R1164" s="22" t="n">
        <v>0</v>
      </c>
      <c r="S1164" s="22" t="n">
        <v>0</v>
      </c>
      <c r="T1164" s="22" t="n">
        <v>0</v>
      </c>
      <c r="U1164" s="3">
        <f>IF(OR(N1164=1,Q1164=1),1,0)</f>
        <v/>
      </c>
      <c r="V1164" s="3">
        <f>IF(OR(T1164=1,P1164=1),1,0)</f>
        <v/>
      </c>
      <c r="W1164" s="3">
        <f>IF(OR(J1164=1),1,0)</f>
        <v/>
      </c>
      <c r="X1164" s="3">
        <f>IF(OR(I1164=1,H1164=1),1,0)</f>
        <v/>
      </c>
      <c r="Y1164" s="3">
        <f>IF(OR(G1164=1),1,0)</f>
        <v/>
      </c>
      <c r="Z1164" s="3">
        <f>IF(OR(F1164=1),1,0)</f>
        <v/>
      </c>
      <c r="AA1164" s="3">
        <f>IF(OR(M1164=1),1,0)</f>
        <v/>
      </c>
    </row>
    <row r="1165">
      <c r="A1165" s="22" t="inlineStr">
        <is>
          <t>c2e5a85143a15f2b70c008c89c73a8d745d37374</t>
        </is>
      </c>
      <c r="B1165" s="22" t="inlineStr">
        <is>
          <t>2026-08</t>
        </is>
      </c>
      <c r="C1165" s="22" t="inlineStr">
        <is>
          <t>Instagram</t>
        </is>
      </c>
      <c r="D1165" s="22" t="n">
        <v>1</v>
      </c>
      <c r="E1165" s="22" t="inlineStr">
        <is>
          <t>Instagram: Instagram search: IReV</t>
        </is>
      </c>
      <c r="F1165" s="22" t="inlineStr">
        <is>
          <t>instagram:Instagram search: IReV</t>
        </is>
      </c>
      <c r="G1165" s="22" t="n">
        <v>-0.026</v>
      </c>
      <c r="H1165" s="22" t="n">
        <v>1</v>
      </c>
      <c r="I1165" s="22" t="n">
        <v>0</v>
      </c>
      <c r="J1165" s="22" t="n">
        <v>0</v>
      </c>
      <c r="K1165" s="22" t="n">
        <v>0</v>
      </c>
      <c r="L1165" s="22" t="n">
        <v>0</v>
      </c>
      <c r="M1165" s="22" t="n">
        <v>0</v>
      </c>
      <c r="N1165" s="22" t="n">
        <v>0</v>
      </c>
      <c r="O1165" s="22" t="n">
        <v>0</v>
      </c>
      <c r="P1165" s="22" t="n">
        <v>0</v>
      </c>
      <c r="Q1165" s="22" t="n">
        <v>0</v>
      </c>
      <c r="R1165" s="22" t="n">
        <v>0</v>
      </c>
      <c r="S1165" s="22" t="n">
        <v>0</v>
      </c>
      <c r="T1165" s="22" t="n">
        <v>0</v>
      </c>
      <c r="U1165" s="3">
        <f>IF(OR(N1165=1,Q1165=1),1,0)</f>
        <v/>
      </c>
      <c r="V1165" s="3">
        <f>IF(OR(T1165=1,P1165=1),1,0)</f>
        <v/>
      </c>
      <c r="W1165" s="3">
        <f>IF(OR(J1165=1),1,0)</f>
        <v/>
      </c>
      <c r="X1165" s="3">
        <f>IF(OR(I1165=1,H1165=1),1,0)</f>
        <v/>
      </c>
      <c r="Y1165" s="3">
        <f>IF(OR(G1165=1),1,0)</f>
        <v/>
      </c>
      <c r="Z1165" s="3">
        <f>IF(OR(F1165=1),1,0)</f>
        <v/>
      </c>
      <c r="AA1165" s="3">
        <f>IF(OR(M1165=1),1,0)</f>
        <v/>
      </c>
    </row>
    <row r="1166">
      <c r="A1166" s="22" t="inlineStr">
        <is>
          <t>57d255ddf14e7162e53b597b1d5f8aac7cdccca8</t>
        </is>
      </c>
      <c r="B1166" s="22" t="inlineStr">
        <is>
          <t>2026-08</t>
        </is>
      </c>
      <c r="C1166" s="22" t="inlineStr">
        <is>
          <t>Instagram</t>
        </is>
      </c>
      <c r="D1166" s="22" t="n">
        <v>1</v>
      </c>
      <c r="E1166" s="22" t="inlineStr">
        <is>
          <t>Instagram: Instagram search: IReV</t>
        </is>
      </c>
      <c r="F1166" s="22" t="inlineStr">
        <is>
          <t>instagram:Instagram search: IReV</t>
        </is>
      </c>
      <c r="G1166" s="22" t="n">
        <v>-0.4</v>
      </c>
      <c r="H1166" s="22" t="n">
        <v>0</v>
      </c>
      <c r="I1166" s="22" t="n">
        <v>1</v>
      </c>
      <c r="J1166" s="22" t="n">
        <v>0</v>
      </c>
      <c r="K1166" s="22" t="n">
        <v>0</v>
      </c>
      <c r="L1166" s="22" t="n">
        <v>0</v>
      </c>
      <c r="M1166" s="22" t="n">
        <v>0</v>
      </c>
      <c r="N1166" s="22" t="n">
        <v>0</v>
      </c>
      <c r="O1166" s="22" t="n">
        <v>0</v>
      </c>
      <c r="P1166" s="22" t="n">
        <v>0</v>
      </c>
      <c r="Q1166" s="22" t="n">
        <v>0</v>
      </c>
      <c r="R1166" s="22" t="n">
        <v>0</v>
      </c>
      <c r="S1166" s="22" t="n">
        <v>0</v>
      </c>
      <c r="T1166" s="22" t="n">
        <v>0</v>
      </c>
      <c r="U1166" s="3">
        <f>IF(OR(N1166=1,Q1166=1),1,0)</f>
        <v/>
      </c>
      <c r="V1166" s="3">
        <f>IF(OR(T1166=1,P1166=1),1,0)</f>
        <v/>
      </c>
      <c r="W1166" s="3">
        <f>IF(OR(J1166=1),1,0)</f>
        <v/>
      </c>
      <c r="X1166" s="3">
        <f>IF(OR(I1166=1,H1166=1),1,0)</f>
        <v/>
      </c>
      <c r="Y1166" s="3">
        <f>IF(OR(G1166=1),1,0)</f>
        <v/>
      </c>
      <c r="Z1166" s="3">
        <f>IF(OR(F1166=1),1,0)</f>
        <v/>
      </c>
      <c r="AA1166" s="3">
        <f>IF(OR(M1166=1),1,0)</f>
        <v/>
      </c>
    </row>
    <row r="1167">
      <c r="A1167" s="22" t="inlineStr">
        <is>
          <t>5e57601ee2e0e8e29e4eed8881a9eb92b04586d9</t>
        </is>
      </c>
      <c r="B1167" s="22" t="inlineStr">
        <is>
          <t>2026-10</t>
        </is>
      </c>
      <c r="C1167" s="22" t="inlineStr">
        <is>
          <t>Instagram</t>
        </is>
      </c>
      <c r="D1167" s="22" t="n">
        <v>0</v>
      </c>
      <c r="E1167" s="22" t="inlineStr">
        <is>
          <t>Instagram: Instagram: pulsenigeria247</t>
        </is>
      </c>
      <c r="F1167" s="22" t="inlineStr">
        <is>
          <t>instagram:Instagram: pulsenigeria247</t>
        </is>
      </c>
      <c r="G1167" s="22" t="n">
        <v>0.765</v>
      </c>
      <c r="H1167" s="22" t="n">
        <v>0</v>
      </c>
      <c r="I1167" s="22" t="n">
        <v>0</v>
      </c>
      <c r="J1167" s="22" t="n">
        <v>0</v>
      </c>
      <c r="K1167" s="22" t="n">
        <v>1</v>
      </c>
      <c r="L1167" s="22" t="n">
        <v>0</v>
      </c>
      <c r="M1167" s="22" t="n">
        <v>0</v>
      </c>
      <c r="N1167" s="22" t="n">
        <v>0</v>
      </c>
      <c r="O1167" s="22" t="n">
        <v>0</v>
      </c>
      <c r="P1167" s="22" t="n">
        <v>0</v>
      </c>
      <c r="Q1167" s="22" t="n">
        <v>0</v>
      </c>
      <c r="R1167" s="22" t="n">
        <v>0</v>
      </c>
      <c r="S1167" s="22" t="n">
        <v>0</v>
      </c>
      <c r="T1167" s="22" t="n">
        <v>0</v>
      </c>
      <c r="U1167" s="3">
        <f>IF(OR(N1167=1,Q1167=1),1,0)</f>
        <v/>
      </c>
      <c r="V1167" s="3">
        <f>IF(OR(T1167=1,P1167=1),1,0)</f>
        <v/>
      </c>
      <c r="W1167" s="3">
        <f>IF(OR(J1167=1),1,0)</f>
        <v/>
      </c>
      <c r="X1167" s="3">
        <f>IF(OR(I1167=1,H1167=1),1,0)</f>
        <v/>
      </c>
      <c r="Y1167" s="3">
        <f>IF(OR(G1167=1),1,0)</f>
        <v/>
      </c>
      <c r="Z1167" s="3">
        <f>IF(OR(F1167=1),1,0)</f>
        <v/>
      </c>
      <c r="AA1167" s="3">
        <f>IF(OR(M1167=1),1,0)</f>
        <v/>
      </c>
    </row>
    <row r="1168">
      <c r="A1168" s="22" t="inlineStr">
        <is>
          <t>63ae7508a559837e808b1f9aba8492229059ecf8</t>
        </is>
      </c>
      <c r="B1168" s="22" t="inlineStr">
        <is>
          <t>2026-08</t>
        </is>
      </c>
      <c r="C1168" s="22" t="inlineStr">
        <is>
          <t>Instagram</t>
        </is>
      </c>
      <c r="D1168" s="22" t="n">
        <v>0</v>
      </c>
      <c r="E1168" s="22" t="inlineStr">
        <is>
          <t>Instagram: Instagram: voteredung</t>
        </is>
      </c>
      <c r="F1168" s="22" t="inlineStr">
        <is>
          <t>instagram:Instagram: voteredung</t>
        </is>
      </c>
      <c r="G1168" s="22" t="n">
        <v>-0.458</v>
      </c>
      <c r="H1168" s="22" t="n">
        <v>0</v>
      </c>
      <c r="I1168" s="22" t="n">
        <v>0</v>
      </c>
      <c r="J1168" s="22" t="n">
        <v>0</v>
      </c>
      <c r="K1168" s="22" t="n">
        <v>0</v>
      </c>
      <c r="L1168" s="22" t="n">
        <v>0</v>
      </c>
      <c r="M1168" s="22" t="n">
        <v>0</v>
      </c>
      <c r="N1168" s="22" t="n">
        <v>0</v>
      </c>
      <c r="O1168" s="22" t="n">
        <v>1</v>
      </c>
      <c r="P1168" s="22" t="n">
        <v>0</v>
      </c>
      <c r="Q1168" s="22" t="n">
        <v>0</v>
      </c>
      <c r="R1168" s="22" t="n">
        <v>0</v>
      </c>
      <c r="S1168" s="22" t="n">
        <v>0</v>
      </c>
      <c r="T1168" s="22" t="n">
        <v>0</v>
      </c>
      <c r="U1168" s="3">
        <f>IF(OR(N1168=1,Q1168=1),1,0)</f>
        <v/>
      </c>
      <c r="V1168" s="3">
        <f>IF(OR(T1168=1,P1168=1),1,0)</f>
        <v/>
      </c>
      <c r="W1168" s="3">
        <f>IF(OR(J1168=1),1,0)</f>
        <v/>
      </c>
      <c r="X1168" s="3">
        <f>IF(OR(I1168=1,H1168=1),1,0)</f>
        <v/>
      </c>
      <c r="Y1168" s="3">
        <f>IF(OR(G1168=1),1,0)</f>
        <v/>
      </c>
      <c r="Z1168" s="3">
        <f>IF(OR(F1168=1),1,0)</f>
        <v/>
      </c>
      <c r="AA1168" s="3">
        <f>IF(OR(M1168=1),1,0)</f>
        <v/>
      </c>
    </row>
    <row r="1169">
      <c r="A1169" s="22" t="inlineStr">
        <is>
          <t>27beebdfc511349d1834b64a9c638545e433034c</t>
        </is>
      </c>
      <c r="B1169" s="22" t="inlineStr">
        <is>
          <t>2026-08</t>
        </is>
      </c>
      <c r="C1169" s="22" t="inlineStr">
        <is>
          <t>Instagram</t>
        </is>
      </c>
      <c r="D1169" s="22" t="n">
        <v>0</v>
      </c>
      <c r="E1169" s="22" t="inlineStr">
        <is>
          <t>Instagram: Instagram: voteredung</t>
        </is>
      </c>
      <c r="F1169" s="22" t="inlineStr">
        <is>
          <t>instagram:Instagram: voteredung</t>
        </is>
      </c>
      <c r="G1169" s="22" t="n">
        <v>0</v>
      </c>
      <c r="H1169" s="22" t="n">
        <v>0</v>
      </c>
      <c r="I1169" s="22" t="n">
        <v>0</v>
      </c>
      <c r="J1169" s="22" t="n">
        <v>0</v>
      </c>
      <c r="K1169" s="22" t="n">
        <v>0</v>
      </c>
      <c r="L1169" s="22" t="n">
        <v>0</v>
      </c>
      <c r="M1169" s="22" t="n">
        <v>0</v>
      </c>
      <c r="N1169" s="22" t="n">
        <v>0</v>
      </c>
      <c r="O1169" s="22" t="n">
        <v>1</v>
      </c>
      <c r="P1169" s="22" t="n">
        <v>0</v>
      </c>
      <c r="Q1169" s="22" t="n">
        <v>0</v>
      </c>
      <c r="R1169" s="22" t="n">
        <v>0</v>
      </c>
      <c r="S1169" s="22" t="n">
        <v>0</v>
      </c>
      <c r="T1169" s="22" t="n">
        <v>0</v>
      </c>
      <c r="U1169" s="3">
        <f>IF(OR(N1169=1,Q1169=1),1,0)</f>
        <v/>
      </c>
      <c r="V1169" s="3">
        <f>IF(OR(T1169=1,P1169=1),1,0)</f>
        <v/>
      </c>
      <c r="W1169" s="3">
        <f>IF(OR(J1169=1),1,0)</f>
        <v/>
      </c>
      <c r="X1169" s="3">
        <f>IF(OR(I1169=1,H1169=1),1,0)</f>
        <v/>
      </c>
      <c r="Y1169" s="3">
        <f>IF(OR(G1169=1),1,0)</f>
        <v/>
      </c>
      <c r="Z1169" s="3">
        <f>IF(OR(F1169=1),1,0)</f>
        <v/>
      </c>
      <c r="AA1169" s="3">
        <f>IF(OR(M1169=1),1,0)</f>
        <v/>
      </c>
    </row>
    <row r="1170">
      <c r="A1170" s="22" t="inlineStr">
        <is>
          <t>211e656f6deef410335187bb76efc851732cd83e</t>
        </is>
      </c>
      <c r="B1170" s="22" t="inlineStr">
        <is>
          <t>2026-08</t>
        </is>
      </c>
      <c r="C1170" s="22" t="inlineStr">
        <is>
          <t>Instagram</t>
        </is>
      </c>
      <c r="D1170" s="22" t="n">
        <v>0</v>
      </c>
      <c r="E1170" s="22" t="inlineStr">
        <is>
          <t>Instagram: Instagram: voteredung</t>
        </is>
      </c>
      <c r="F1170" s="22" t="inlineStr">
        <is>
          <t>instagram:Instagram: voteredung</t>
        </is>
      </c>
      <c r="G1170" s="22" t="n">
        <v>-0.71</v>
      </c>
      <c r="H1170" s="22" t="n">
        <v>0</v>
      </c>
      <c r="I1170" s="22" t="n">
        <v>0</v>
      </c>
      <c r="J1170" s="22" t="n">
        <v>0</v>
      </c>
      <c r="K1170" s="22" t="n">
        <v>0</v>
      </c>
      <c r="L1170" s="22" t="n">
        <v>0</v>
      </c>
      <c r="M1170" s="22" t="n">
        <v>0</v>
      </c>
      <c r="N1170" s="22" t="n">
        <v>0</v>
      </c>
      <c r="O1170" s="22" t="n">
        <v>1</v>
      </c>
      <c r="P1170" s="22" t="n">
        <v>0</v>
      </c>
      <c r="Q1170" s="22" t="n">
        <v>0</v>
      </c>
      <c r="R1170" s="22" t="n">
        <v>0</v>
      </c>
      <c r="S1170" s="22" t="n">
        <v>0</v>
      </c>
      <c r="T1170" s="22" t="n">
        <v>0</v>
      </c>
      <c r="U1170" s="3">
        <f>IF(OR(N1170=1,Q1170=1),1,0)</f>
        <v/>
      </c>
      <c r="V1170" s="3">
        <f>IF(OR(T1170=1,P1170=1),1,0)</f>
        <v/>
      </c>
      <c r="W1170" s="3">
        <f>IF(OR(J1170=1),1,0)</f>
        <v/>
      </c>
      <c r="X1170" s="3">
        <f>IF(OR(I1170=1,H1170=1),1,0)</f>
        <v/>
      </c>
      <c r="Y1170" s="3">
        <f>IF(OR(G1170=1),1,0)</f>
        <v/>
      </c>
      <c r="Z1170" s="3">
        <f>IF(OR(F1170=1),1,0)</f>
        <v/>
      </c>
      <c r="AA1170" s="3">
        <f>IF(OR(M1170=1),1,0)</f>
        <v/>
      </c>
    </row>
    <row r="1171">
      <c r="A1171" s="22" t="inlineStr">
        <is>
          <t>68ed71d57eaf3724d8e1d44d183b21b77cf0f181</t>
        </is>
      </c>
      <c r="B1171" s="22" t="inlineStr">
        <is>
          <t>2026-08</t>
        </is>
      </c>
      <c r="C1171" s="22" t="inlineStr">
        <is>
          <t>Instagram</t>
        </is>
      </c>
      <c r="D1171" s="22" t="n">
        <v>0</v>
      </c>
      <c r="E1171" s="22" t="inlineStr">
        <is>
          <t>Instagram: Instagram: voteredung</t>
        </is>
      </c>
      <c r="F1171" s="22" t="inlineStr">
        <is>
          <t>instagram:Instagram: voteredung</t>
        </is>
      </c>
      <c r="G1171" s="22" t="n">
        <v>-0.077</v>
      </c>
      <c r="H1171" s="22" t="n">
        <v>0</v>
      </c>
      <c r="I1171" s="22" t="n">
        <v>0</v>
      </c>
      <c r="J1171" s="22" t="n">
        <v>0</v>
      </c>
      <c r="K1171" s="22" t="n">
        <v>0</v>
      </c>
      <c r="L1171" s="22" t="n">
        <v>0</v>
      </c>
      <c r="M1171" s="22" t="n">
        <v>0</v>
      </c>
      <c r="N1171" s="22" t="n">
        <v>0</v>
      </c>
      <c r="O1171" s="22" t="n">
        <v>1</v>
      </c>
      <c r="P1171" s="22" t="n">
        <v>0</v>
      </c>
      <c r="Q1171" s="22" t="n">
        <v>0</v>
      </c>
      <c r="R1171" s="22" t="n">
        <v>0</v>
      </c>
      <c r="S1171" s="22" t="n">
        <v>0</v>
      </c>
      <c r="T1171" s="22" t="n">
        <v>0</v>
      </c>
      <c r="U1171" s="3">
        <f>IF(OR(N1171=1,Q1171=1),1,0)</f>
        <v/>
      </c>
      <c r="V1171" s="3">
        <f>IF(OR(T1171=1,P1171=1),1,0)</f>
        <v/>
      </c>
      <c r="W1171" s="3">
        <f>IF(OR(J1171=1),1,0)</f>
        <v/>
      </c>
      <c r="X1171" s="3">
        <f>IF(OR(I1171=1,H1171=1),1,0)</f>
        <v/>
      </c>
      <c r="Y1171" s="3">
        <f>IF(OR(G1171=1),1,0)</f>
        <v/>
      </c>
      <c r="Z1171" s="3">
        <f>IF(OR(F1171=1),1,0)</f>
        <v/>
      </c>
      <c r="AA1171" s="3">
        <f>IF(OR(M1171=1),1,0)</f>
        <v/>
      </c>
    </row>
    <row r="1172">
      <c r="A1172" s="22" t="inlineStr">
        <is>
          <t>f80605c935c7586140433dd10466aadb700ccd2a</t>
        </is>
      </c>
      <c r="B1172" s="22" t="inlineStr">
        <is>
          <t>2026-08</t>
        </is>
      </c>
      <c r="C1172" s="22" t="inlineStr">
        <is>
          <t>Instagram</t>
        </is>
      </c>
      <c r="D1172" s="22" t="n">
        <v>0</v>
      </c>
      <c r="E1172" s="22" t="inlineStr">
        <is>
          <t>Instagram: Instagram: barristerstreet</t>
        </is>
      </c>
      <c r="F1172" s="22" t="inlineStr">
        <is>
          <t>instagram:Instagram: barristerstreet</t>
        </is>
      </c>
      <c r="G1172" s="22" t="n">
        <v>0.9409999999999999</v>
      </c>
      <c r="H1172" s="22" t="n">
        <v>0</v>
      </c>
      <c r="I1172" s="22" t="n">
        <v>0</v>
      </c>
      <c r="J1172" s="22" t="n">
        <v>0</v>
      </c>
      <c r="K1172" s="22" t="n">
        <v>0</v>
      </c>
      <c r="L1172" s="22" t="n">
        <v>1</v>
      </c>
      <c r="M1172" s="22" t="n">
        <v>0</v>
      </c>
      <c r="N1172" s="22" t="n">
        <v>0</v>
      </c>
      <c r="O1172" s="22" t="n">
        <v>0</v>
      </c>
      <c r="P1172" s="22" t="n">
        <v>0</v>
      </c>
      <c r="Q1172" s="22" t="n">
        <v>0</v>
      </c>
      <c r="R1172" s="22" t="n">
        <v>0</v>
      </c>
      <c r="S1172" s="22" t="n">
        <v>0</v>
      </c>
      <c r="T1172" s="22" t="n">
        <v>0</v>
      </c>
      <c r="U1172" s="3">
        <f>IF(OR(N1172=1,Q1172=1),1,0)</f>
        <v/>
      </c>
      <c r="V1172" s="3">
        <f>IF(OR(T1172=1,P1172=1),1,0)</f>
        <v/>
      </c>
      <c r="W1172" s="3">
        <f>IF(OR(J1172=1),1,0)</f>
        <v/>
      </c>
      <c r="X1172" s="3">
        <f>IF(OR(I1172=1,H1172=1),1,0)</f>
        <v/>
      </c>
      <c r="Y1172" s="3">
        <f>IF(OR(G1172=1),1,0)</f>
        <v/>
      </c>
      <c r="Z1172" s="3">
        <f>IF(OR(F1172=1),1,0)</f>
        <v/>
      </c>
      <c r="AA1172" s="3">
        <f>IF(OR(M1172=1),1,0)</f>
        <v/>
      </c>
    </row>
    <row r="1173">
      <c r="A1173" s="22" t="inlineStr">
        <is>
          <t>8855e58cbba8f942f46c8884f584722d54e3df98</t>
        </is>
      </c>
      <c r="B1173" s="22" t="inlineStr">
        <is>
          <t>2026-08</t>
        </is>
      </c>
      <c r="C1173" s="22" t="inlineStr">
        <is>
          <t>Instagram</t>
        </is>
      </c>
      <c r="D1173" s="22" t="n">
        <v>0</v>
      </c>
      <c r="E1173" s="22" t="inlineStr">
        <is>
          <t>Instagram: Instagram: barristerstreet</t>
        </is>
      </c>
      <c r="F1173" s="22" t="inlineStr">
        <is>
          <t>instagram:Instagram: barristerstreet</t>
        </is>
      </c>
      <c r="G1173" s="22" t="n">
        <v>-0.915</v>
      </c>
      <c r="H1173" s="22" t="n">
        <v>1</v>
      </c>
      <c r="I1173" s="22" t="n">
        <v>0</v>
      </c>
      <c r="J1173" s="22" t="n">
        <v>0</v>
      </c>
      <c r="K1173" s="22" t="n">
        <v>0</v>
      </c>
      <c r="L1173" s="22" t="n">
        <v>0</v>
      </c>
      <c r="M1173" s="22" t="n">
        <v>0</v>
      </c>
      <c r="N1173" s="22" t="n">
        <v>0</v>
      </c>
      <c r="O1173" s="22" t="n">
        <v>0</v>
      </c>
      <c r="P1173" s="22" t="n">
        <v>0</v>
      </c>
      <c r="Q1173" s="22" t="n">
        <v>0</v>
      </c>
      <c r="R1173" s="22" t="n">
        <v>0</v>
      </c>
      <c r="S1173" s="22" t="n">
        <v>0</v>
      </c>
      <c r="T1173" s="22" t="n">
        <v>0</v>
      </c>
      <c r="U1173" s="3">
        <f>IF(OR(N1173=1,Q1173=1),1,0)</f>
        <v/>
      </c>
      <c r="V1173" s="3">
        <f>IF(OR(T1173=1,P1173=1),1,0)</f>
        <v/>
      </c>
      <c r="W1173" s="3">
        <f>IF(OR(J1173=1),1,0)</f>
        <v/>
      </c>
      <c r="X1173" s="3">
        <f>IF(OR(I1173=1,H1173=1),1,0)</f>
        <v/>
      </c>
      <c r="Y1173" s="3">
        <f>IF(OR(G1173=1),1,0)</f>
        <v/>
      </c>
      <c r="Z1173" s="3">
        <f>IF(OR(F1173=1),1,0)</f>
        <v/>
      </c>
      <c r="AA1173" s="3">
        <f>IF(OR(M1173=1),1,0)</f>
        <v/>
      </c>
    </row>
    <row r="1174">
      <c r="A1174" s="22" t="inlineStr">
        <is>
          <t>4dc6b5cb192c59990a525f38e1ba5345a695f3ad</t>
        </is>
      </c>
      <c r="B1174" s="22" t="inlineStr">
        <is>
          <t>2026-08</t>
        </is>
      </c>
      <c r="C1174" s="22" t="inlineStr">
        <is>
          <t>Instagram</t>
        </is>
      </c>
      <c r="D1174" s="22" t="n">
        <v>0</v>
      </c>
      <c r="E1174" s="22" t="inlineStr">
        <is>
          <t>Instagram: Instagram: barristerstreet</t>
        </is>
      </c>
      <c r="F1174" s="22" t="inlineStr">
        <is>
          <t>instagram:Instagram: barristerstreet</t>
        </is>
      </c>
      <c r="G1174" s="22" t="n">
        <v>0.217</v>
      </c>
      <c r="H1174" s="22" t="n">
        <v>0</v>
      </c>
      <c r="I1174" s="22" t="n">
        <v>0</v>
      </c>
      <c r="J1174" s="22" t="n">
        <v>0</v>
      </c>
      <c r="K1174" s="22" t="n">
        <v>0</v>
      </c>
      <c r="L1174" s="22" t="n">
        <v>1</v>
      </c>
      <c r="M1174" s="22" t="n">
        <v>0</v>
      </c>
      <c r="N1174" s="22" t="n">
        <v>0</v>
      </c>
      <c r="O1174" s="22" t="n">
        <v>0</v>
      </c>
      <c r="P1174" s="22" t="n">
        <v>0</v>
      </c>
      <c r="Q1174" s="22" t="n">
        <v>0</v>
      </c>
      <c r="R1174" s="22" t="n">
        <v>0</v>
      </c>
      <c r="S1174" s="22" t="n">
        <v>0</v>
      </c>
      <c r="T1174" s="22" t="n">
        <v>0</v>
      </c>
      <c r="U1174" s="3">
        <f>IF(OR(N1174=1,Q1174=1),1,0)</f>
        <v/>
      </c>
      <c r="V1174" s="3">
        <f>IF(OR(T1174=1,P1174=1),1,0)</f>
        <v/>
      </c>
      <c r="W1174" s="3">
        <f>IF(OR(J1174=1),1,0)</f>
        <v/>
      </c>
      <c r="X1174" s="3">
        <f>IF(OR(I1174=1,H1174=1),1,0)</f>
        <v/>
      </c>
      <c r="Y1174" s="3">
        <f>IF(OR(G1174=1),1,0)</f>
        <v/>
      </c>
      <c r="Z1174" s="3">
        <f>IF(OR(F1174=1),1,0)</f>
        <v/>
      </c>
      <c r="AA1174" s="3">
        <f>IF(OR(M1174=1),1,0)</f>
        <v/>
      </c>
    </row>
    <row r="1175">
      <c r="A1175" s="22" t="inlineStr">
        <is>
          <t>e9585b1a788fb56febe2c85ebe3a3a3bd888c4ee</t>
        </is>
      </c>
      <c r="B1175" s="22" t="inlineStr">
        <is>
          <t>2026-08</t>
        </is>
      </c>
      <c r="C1175" s="22" t="inlineStr">
        <is>
          <t>Instagram</t>
        </is>
      </c>
      <c r="D1175" s="22" t="n">
        <v>0</v>
      </c>
      <c r="E1175" s="22" t="inlineStr">
        <is>
          <t>Instagram: Instagram: barristerstreet</t>
        </is>
      </c>
      <c r="F1175" s="22" t="inlineStr">
        <is>
          <t>instagram:Instagram: barristerstreet</t>
        </is>
      </c>
      <c r="G1175" s="22" t="n">
        <v>-0.488</v>
      </c>
      <c r="H1175" s="22" t="n">
        <v>0</v>
      </c>
      <c r="I1175" s="22" t="n">
        <v>0</v>
      </c>
      <c r="J1175" s="22" t="n">
        <v>0</v>
      </c>
      <c r="K1175" s="22" t="n">
        <v>0</v>
      </c>
      <c r="L1175" s="22" t="n">
        <v>0</v>
      </c>
      <c r="M1175" s="22" t="n">
        <v>0</v>
      </c>
      <c r="N1175" s="22" t="n">
        <v>1</v>
      </c>
      <c r="O1175" s="22" t="n">
        <v>0</v>
      </c>
      <c r="P1175" s="22" t="n">
        <v>0</v>
      </c>
      <c r="Q1175" s="22" t="n">
        <v>0</v>
      </c>
      <c r="R1175" s="22" t="n">
        <v>0</v>
      </c>
      <c r="S1175" s="22" t="n">
        <v>0</v>
      </c>
      <c r="T1175" s="22" t="n">
        <v>0</v>
      </c>
      <c r="U1175" s="3">
        <f>IF(OR(N1175=1,Q1175=1),1,0)</f>
        <v/>
      </c>
      <c r="V1175" s="3">
        <f>IF(OR(T1175=1,P1175=1),1,0)</f>
        <v/>
      </c>
      <c r="W1175" s="3">
        <f>IF(OR(J1175=1),1,0)</f>
        <v/>
      </c>
      <c r="X1175" s="3">
        <f>IF(OR(I1175=1,H1175=1),1,0)</f>
        <v/>
      </c>
      <c r="Y1175" s="3">
        <f>IF(OR(G1175=1),1,0)</f>
        <v/>
      </c>
      <c r="Z1175" s="3">
        <f>IF(OR(F1175=1),1,0)</f>
        <v/>
      </c>
      <c r="AA1175" s="3">
        <f>IF(OR(M1175=1),1,0)</f>
        <v/>
      </c>
    </row>
    <row r="1176">
      <c r="A1176" s="22" t="inlineStr">
        <is>
          <t>9cdbe696db3cb611fc80a56165184b23d29a94de</t>
        </is>
      </c>
      <c r="B1176" s="22" t="inlineStr">
        <is>
          <t>2026-08</t>
        </is>
      </c>
      <c r="C1176" s="22" t="inlineStr">
        <is>
          <t>Instagram</t>
        </is>
      </c>
      <c r="D1176" s="22" t="n">
        <v>0</v>
      </c>
      <c r="E1176" s="22" t="inlineStr">
        <is>
          <t>Instagram: Instagram: barristerstreet</t>
        </is>
      </c>
      <c r="F1176" s="22" t="inlineStr">
        <is>
          <t>instagram:Instagram: barristerstreet</t>
        </is>
      </c>
      <c r="G1176" s="22" t="n">
        <v>-0.637</v>
      </c>
      <c r="H1176" s="22" t="n">
        <v>0</v>
      </c>
      <c r="I1176" s="22" t="n">
        <v>0</v>
      </c>
      <c r="J1176" s="22" t="n">
        <v>0</v>
      </c>
      <c r="K1176" s="22" t="n">
        <v>0</v>
      </c>
      <c r="L1176" s="22" t="n">
        <v>0</v>
      </c>
      <c r="M1176" s="22" t="n">
        <v>1</v>
      </c>
      <c r="N1176" s="22" t="n">
        <v>0</v>
      </c>
      <c r="O1176" s="22" t="n">
        <v>0</v>
      </c>
      <c r="P1176" s="22" t="n">
        <v>0</v>
      </c>
      <c r="Q1176" s="22" t="n">
        <v>0</v>
      </c>
      <c r="R1176" s="22" t="n">
        <v>0</v>
      </c>
      <c r="S1176" s="22" t="n">
        <v>0</v>
      </c>
      <c r="T1176" s="22" t="n">
        <v>0</v>
      </c>
      <c r="U1176" s="3">
        <f>IF(OR(N1176=1,Q1176=1),1,0)</f>
        <v/>
      </c>
      <c r="V1176" s="3">
        <f>IF(OR(T1176=1,P1176=1),1,0)</f>
        <v/>
      </c>
      <c r="W1176" s="3">
        <f>IF(OR(J1176=1),1,0)</f>
        <v/>
      </c>
      <c r="X1176" s="3">
        <f>IF(OR(I1176=1,H1176=1),1,0)</f>
        <v/>
      </c>
      <c r="Y1176" s="3">
        <f>IF(OR(G1176=1),1,0)</f>
        <v/>
      </c>
      <c r="Z1176" s="3">
        <f>IF(OR(F1176=1),1,0)</f>
        <v/>
      </c>
      <c r="AA1176" s="3">
        <f>IF(OR(M1176=1),1,0)</f>
        <v/>
      </c>
    </row>
    <row r="1177">
      <c r="A1177" s="22" t="inlineStr">
        <is>
          <t>6b18adfffeea73e411d05748b000c4c72c3362ac</t>
        </is>
      </c>
      <c r="B1177" s="22" t="inlineStr">
        <is>
          <t>2026-08</t>
        </is>
      </c>
      <c r="C1177" s="22" t="inlineStr">
        <is>
          <t>Instagram</t>
        </is>
      </c>
      <c r="D1177" s="22" t="n">
        <v>0</v>
      </c>
      <c r="E1177" s="22" t="inlineStr">
        <is>
          <t>Instagram: Instagram: barristerstreet</t>
        </is>
      </c>
      <c r="F1177" s="22" t="inlineStr">
        <is>
          <t>instagram:Instagram: barristerstreet</t>
        </is>
      </c>
      <c r="G1177" s="22" t="n">
        <v>0.681</v>
      </c>
      <c r="H1177" s="22" t="n">
        <v>0</v>
      </c>
      <c r="I1177" s="22" t="n">
        <v>0</v>
      </c>
      <c r="J1177" s="22" t="n">
        <v>0</v>
      </c>
      <c r="K1177" s="22" t="n">
        <v>0</v>
      </c>
      <c r="L1177" s="22" t="n">
        <v>1</v>
      </c>
      <c r="M1177" s="22" t="n">
        <v>0</v>
      </c>
      <c r="N1177" s="22" t="n">
        <v>0</v>
      </c>
      <c r="O1177" s="22" t="n">
        <v>0</v>
      </c>
      <c r="P1177" s="22" t="n">
        <v>0</v>
      </c>
      <c r="Q1177" s="22" t="n">
        <v>0</v>
      </c>
      <c r="R1177" s="22" t="n">
        <v>0</v>
      </c>
      <c r="S1177" s="22" t="n">
        <v>0</v>
      </c>
      <c r="T1177" s="22" t="n">
        <v>0</v>
      </c>
      <c r="U1177" s="3">
        <f>IF(OR(N1177=1,Q1177=1),1,0)</f>
        <v/>
      </c>
      <c r="V1177" s="3">
        <f>IF(OR(T1177=1,P1177=1),1,0)</f>
        <v/>
      </c>
      <c r="W1177" s="3">
        <f>IF(OR(J1177=1),1,0)</f>
        <v/>
      </c>
      <c r="X1177" s="3">
        <f>IF(OR(I1177=1,H1177=1),1,0)</f>
        <v/>
      </c>
      <c r="Y1177" s="3">
        <f>IF(OR(G1177=1),1,0)</f>
        <v/>
      </c>
      <c r="Z1177" s="3">
        <f>IF(OR(F1177=1),1,0)</f>
        <v/>
      </c>
      <c r="AA1177" s="3">
        <f>IF(OR(M1177=1),1,0)</f>
        <v/>
      </c>
    </row>
    <row r="1178">
      <c r="A1178" s="22" t="inlineStr">
        <is>
          <t>e3118e9a918aa7e57a064355d8dbc478fd54e57d</t>
        </is>
      </c>
      <c r="B1178" s="22" t="inlineStr">
        <is>
          <t>2026-08</t>
        </is>
      </c>
      <c r="C1178" s="22" t="inlineStr">
        <is>
          <t>Instagram</t>
        </is>
      </c>
      <c r="D1178" s="22" t="n">
        <v>0</v>
      </c>
      <c r="E1178" s="22" t="inlineStr">
        <is>
          <t>Instagram: Instagram: mojidelanotv</t>
        </is>
      </c>
      <c r="F1178" s="22" t="inlineStr">
        <is>
          <t>instagram:Instagram: mojidelanotv</t>
        </is>
      </c>
      <c r="G1178" s="22" t="n">
        <v>0</v>
      </c>
      <c r="H1178" s="22" t="n">
        <v>0</v>
      </c>
      <c r="I1178" s="22" t="n">
        <v>0</v>
      </c>
      <c r="J1178" s="22" t="n">
        <v>0</v>
      </c>
      <c r="K1178" s="22" t="n">
        <v>0</v>
      </c>
      <c r="L1178" s="22" t="n">
        <v>1</v>
      </c>
      <c r="M1178" s="22" t="n">
        <v>0</v>
      </c>
      <c r="N1178" s="22" t="n">
        <v>0</v>
      </c>
      <c r="O1178" s="22" t="n">
        <v>0</v>
      </c>
      <c r="P1178" s="22" t="n">
        <v>0</v>
      </c>
      <c r="Q1178" s="22" t="n">
        <v>0</v>
      </c>
      <c r="R1178" s="22" t="n">
        <v>0</v>
      </c>
      <c r="S1178" s="22" t="n">
        <v>0</v>
      </c>
      <c r="T1178" s="22" t="n">
        <v>0</v>
      </c>
      <c r="U1178" s="3">
        <f>IF(OR(N1178=1,Q1178=1),1,0)</f>
        <v/>
      </c>
      <c r="V1178" s="3">
        <f>IF(OR(T1178=1,P1178=1),1,0)</f>
        <v/>
      </c>
      <c r="W1178" s="3">
        <f>IF(OR(J1178=1),1,0)</f>
        <v/>
      </c>
      <c r="X1178" s="3">
        <f>IF(OR(I1178=1,H1178=1),1,0)</f>
        <v/>
      </c>
      <c r="Y1178" s="3">
        <f>IF(OR(G1178=1),1,0)</f>
        <v/>
      </c>
      <c r="Z1178" s="3">
        <f>IF(OR(F1178=1),1,0)</f>
        <v/>
      </c>
      <c r="AA1178" s="3">
        <f>IF(OR(M1178=1),1,0)</f>
        <v/>
      </c>
    </row>
    <row r="1179">
      <c r="A1179" s="22" t="inlineStr">
        <is>
          <t>409f9587a7ee9a6234f85dd3abc0f00bea94ad16</t>
        </is>
      </c>
      <c r="B1179" s="22" t="inlineStr">
        <is>
          <t>2026-08</t>
        </is>
      </c>
      <c r="C1179" s="22" t="inlineStr">
        <is>
          <t>Instagram</t>
        </is>
      </c>
      <c r="D1179" s="22" t="n">
        <v>0</v>
      </c>
      <c r="E1179" s="22" t="inlineStr">
        <is>
          <t>Instagram: Instagram: mojidelanotv</t>
        </is>
      </c>
      <c r="F1179" s="22" t="inlineStr">
        <is>
          <t>instagram:Instagram: mojidelanotv</t>
        </is>
      </c>
      <c r="G1179" s="22" t="n">
        <v>0</v>
      </c>
      <c r="H1179" s="22" t="n">
        <v>0</v>
      </c>
      <c r="I1179" s="22" t="n">
        <v>0</v>
      </c>
      <c r="J1179" s="22" t="n">
        <v>0</v>
      </c>
      <c r="K1179" s="22" t="n">
        <v>0</v>
      </c>
      <c r="L1179" s="22" t="n">
        <v>1</v>
      </c>
      <c r="M1179" s="22" t="n">
        <v>0</v>
      </c>
      <c r="N1179" s="22" t="n">
        <v>0</v>
      </c>
      <c r="O1179" s="22" t="n">
        <v>0</v>
      </c>
      <c r="P1179" s="22" t="n">
        <v>0</v>
      </c>
      <c r="Q1179" s="22" t="n">
        <v>0</v>
      </c>
      <c r="R1179" s="22" t="n">
        <v>0</v>
      </c>
      <c r="S1179" s="22" t="n">
        <v>0</v>
      </c>
      <c r="T1179" s="22" t="n">
        <v>0</v>
      </c>
      <c r="U1179" s="3">
        <f>IF(OR(N1179=1,Q1179=1),1,0)</f>
        <v/>
      </c>
      <c r="V1179" s="3">
        <f>IF(OR(T1179=1,P1179=1),1,0)</f>
        <v/>
      </c>
      <c r="W1179" s="3">
        <f>IF(OR(J1179=1),1,0)</f>
        <v/>
      </c>
      <c r="X1179" s="3">
        <f>IF(OR(I1179=1,H1179=1),1,0)</f>
        <v/>
      </c>
      <c r="Y1179" s="3">
        <f>IF(OR(G1179=1),1,0)</f>
        <v/>
      </c>
      <c r="Z1179" s="3">
        <f>IF(OR(F1179=1),1,0)</f>
        <v/>
      </c>
      <c r="AA1179" s="3">
        <f>IF(OR(M1179=1),1,0)</f>
        <v/>
      </c>
    </row>
    <row r="1180">
      <c r="A1180" s="22" t="inlineStr">
        <is>
          <t>8452aab37d63139cf4c08d1e1ab3a5e99a2ef503</t>
        </is>
      </c>
      <c r="B1180" s="22" t="inlineStr">
        <is>
          <t>2026-08</t>
        </is>
      </c>
      <c r="C1180" s="22" t="inlineStr">
        <is>
          <t>Instagram</t>
        </is>
      </c>
      <c r="D1180" s="22" t="n">
        <v>0</v>
      </c>
      <c r="E1180" s="22" t="inlineStr">
        <is>
          <t>Instagram: Instagram: mojidelanotv</t>
        </is>
      </c>
      <c r="F1180" s="22" t="inlineStr">
        <is>
          <t>instagram:Instagram: mojidelanotv</t>
        </is>
      </c>
      <c r="G1180" s="22" t="n">
        <v>0</v>
      </c>
      <c r="H1180" s="22" t="n">
        <v>0</v>
      </c>
      <c r="I1180" s="22" t="n">
        <v>0</v>
      </c>
      <c r="J1180" s="22" t="n">
        <v>0</v>
      </c>
      <c r="K1180" s="22" t="n">
        <v>0</v>
      </c>
      <c r="L1180" s="22" t="n">
        <v>1</v>
      </c>
      <c r="M1180" s="22" t="n">
        <v>0</v>
      </c>
      <c r="N1180" s="22" t="n">
        <v>0</v>
      </c>
      <c r="O1180" s="22" t="n">
        <v>0</v>
      </c>
      <c r="P1180" s="22" t="n">
        <v>0</v>
      </c>
      <c r="Q1180" s="22" t="n">
        <v>0</v>
      </c>
      <c r="R1180" s="22" t="n">
        <v>0</v>
      </c>
      <c r="S1180" s="22" t="n">
        <v>0</v>
      </c>
      <c r="T1180" s="22" t="n">
        <v>0</v>
      </c>
      <c r="U1180" s="3">
        <f>IF(OR(N1180=1,Q1180=1),1,0)</f>
        <v/>
      </c>
      <c r="V1180" s="3">
        <f>IF(OR(T1180=1,P1180=1),1,0)</f>
        <v/>
      </c>
      <c r="W1180" s="3">
        <f>IF(OR(J1180=1),1,0)</f>
        <v/>
      </c>
      <c r="X1180" s="3">
        <f>IF(OR(I1180=1,H1180=1),1,0)</f>
        <v/>
      </c>
      <c r="Y1180" s="3">
        <f>IF(OR(G1180=1),1,0)</f>
        <v/>
      </c>
      <c r="Z1180" s="3">
        <f>IF(OR(F1180=1),1,0)</f>
        <v/>
      </c>
      <c r="AA1180" s="3">
        <f>IF(OR(M1180=1),1,0)</f>
        <v/>
      </c>
    </row>
    <row r="1181">
      <c r="A1181" s="22" t="inlineStr">
        <is>
          <t>1665a54af8a4b8c648ed2bf8f32f5cefdccb0d5e</t>
        </is>
      </c>
      <c r="B1181" s="22" t="inlineStr">
        <is>
          <t>2026-08</t>
        </is>
      </c>
      <c r="C1181" s="22" t="inlineStr">
        <is>
          <t>Instagram</t>
        </is>
      </c>
      <c r="D1181" s="22" t="n">
        <v>0</v>
      </c>
      <c r="E1181" s="22" t="inlineStr">
        <is>
          <t>Instagram: Instagram: mojidelanotv</t>
        </is>
      </c>
      <c r="F1181" s="22" t="inlineStr">
        <is>
          <t>instagram:Instagram: mojidelanotv</t>
        </is>
      </c>
      <c r="G1181" s="22" t="n">
        <v>-0.477</v>
      </c>
      <c r="H1181" s="22" t="n">
        <v>0</v>
      </c>
      <c r="I1181" s="22" t="n">
        <v>0</v>
      </c>
      <c r="J1181" s="22" t="n">
        <v>0</v>
      </c>
      <c r="K1181" s="22" t="n">
        <v>0</v>
      </c>
      <c r="L1181" s="22" t="n">
        <v>0</v>
      </c>
      <c r="M1181" s="22" t="n">
        <v>0</v>
      </c>
      <c r="N1181" s="22" t="n">
        <v>0</v>
      </c>
      <c r="O1181" s="22" t="n">
        <v>0</v>
      </c>
      <c r="P1181" s="22" t="n">
        <v>1</v>
      </c>
      <c r="Q1181" s="22" t="n">
        <v>0</v>
      </c>
      <c r="R1181" s="22" t="n">
        <v>0</v>
      </c>
      <c r="S1181" s="22" t="n">
        <v>0</v>
      </c>
      <c r="T1181" s="22" t="n">
        <v>0</v>
      </c>
      <c r="U1181" s="3">
        <f>IF(OR(N1181=1,Q1181=1),1,0)</f>
        <v/>
      </c>
      <c r="V1181" s="3">
        <f>IF(OR(T1181=1,P1181=1),1,0)</f>
        <v/>
      </c>
      <c r="W1181" s="3">
        <f>IF(OR(J1181=1),1,0)</f>
        <v/>
      </c>
      <c r="X1181" s="3">
        <f>IF(OR(I1181=1,H1181=1),1,0)</f>
        <v/>
      </c>
      <c r="Y1181" s="3">
        <f>IF(OR(G1181=1),1,0)</f>
        <v/>
      </c>
      <c r="Z1181" s="3">
        <f>IF(OR(F1181=1),1,0)</f>
        <v/>
      </c>
      <c r="AA1181" s="3">
        <f>IF(OR(M1181=1),1,0)</f>
        <v/>
      </c>
    </row>
    <row r="1182">
      <c r="A1182" s="22" t="inlineStr">
        <is>
          <t>15e6b38004b6618a6b74b109cdeac0a1d3df5c17</t>
        </is>
      </c>
      <c r="B1182" s="22" t="inlineStr">
        <is>
          <t>2026-08</t>
        </is>
      </c>
      <c r="C1182" s="22" t="inlineStr">
        <is>
          <t>Instagram</t>
        </is>
      </c>
      <c r="D1182" s="22" t="n">
        <v>0</v>
      </c>
      <c r="E1182" s="22" t="inlineStr">
        <is>
          <t>Instagram: Instagram: mojidelanotv</t>
        </is>
      </c>
      <c r="F1182" s="22" t="inlineStr">
        <is>
          <t>instagram:Instagram: mojidelanotv</t>
        </is>
      </c>
      <c r="G1182" s="22" t="n">
        <v>-0.292</v>
      </c>
      <c r="H1182" s="22" t="n">
        <v>0</v>
      </c>
      <c r="I1182" s="22" t="n">
        <v>0</v>
      </c>
      <c r="J1182" s="22" t="n">
        <v>0</v>
      </c>
      <c r="K1182" s="22" t="n">
        <v>0</v>
      </c>
      <c r="L1182" s="22" t="n">
        <v>1</v>
      </c>
      <c r="M1182" s="22" t="n">
        <v>0</v>
      </c>
      <c r="N1182" s="22" t="n">
        <v>0</v>
      </c>
      <c r="O1182" s="22" t="n">
        <v>0</v>
      </c>
      <c r="P1182" s="22" t="n">
        <v>0</v>
      </c>
      <c r="Q1182" s="22" t="n">
        <v>0</v>
      </c>
      <c r="R1182" s="22" t="n">
        <v>0</v>
      </c>
      <c r="S1182" s="22" t="n">
        <v>0</v>
      </c>
      <c r="T1182" s="22" t="n">
        <v>0</v>
      </c>
      <c r="U1182" s="3">
        <f>IF(OR(N1182=1,Q1182=1),1,0)</f>
        <v/>
      </c>
      <c r="V1182" s="3">
        <f>IF(OR(T1182=1,P1182=1),1,0)</f>
        <v/>
      </c>
      <c r="W1182" s="3">
        <f>IF(OR(J1182=1),1,0)</f>
        <v/>
      </c>
      <c r="X1182" s="3">
        <f>IF(OR(I1182=1,H1182=1),1,0)</f>
        <v/>
      </c>
      <c r="Y1182" s="3">
        <f>IF(OR(G1182=1),1,0)</f>
        <v/>
      </c>
      <c r="Z1182" s="3">
        <f>IF(OR(F1182=1),1,0)</f>
        <v/>
      </c>
      <c r="AA1182" s="3">
        <f>IF(OR(M1182=1),1,0)</f>
        <v/>
      </c>
    </row>
    <row r="1183">
      <c r="A1183" s="22" t="inlineStr">
        <is>
          <t>fd35b1574790b93b9768f6684bcf0f1deba87f74</t>
        </is>
      </c>
      <c r="B1183" s="22" t="inlineStr">
        <is>
          <t>2026-08</t>
        </is>
      </c>
      <c r="C1183" s="22" t="inlineStr">
        <is>
          <t>Instagram</t>
        </is>
      </c>
      <c r="D1183" s="22" t="n">
        <v>0</v>
      </c>
      <c r="E1183" s="22" t="inlineStr">
        <is>
          <t>Instagram: Instagram: mojidelanotv</t>
        </is>
      </c>
      <c r="F1183" s="22" t="inlineStr">
        <is>
          <t>instagram:Instagram: mojidelanotv</t>
        </is>
      </c>
      <c r="G1183" s="22" t="n">
        <v>0</v>
      </c>
      <c r="H1183" s="22" t="n">
        <v>0</v>
      </c>
      <c r="I1183" s="22" t="n">
        <v>0</v>
      </c>
      <c r="J1183" s="22" t="n">
        <v>0</v>
      </c>
      <c r="K1183" s="22" t="n">
        <v>0</v>
      </c>
      <c r="L1183" s="22" t="n">
        <v>1</v>
      </c>
      <c r="M1183" s="22" t="n">
        <v>0</v>
      </c>
      <c r="N1183" s="22" t="n">
        <v>0</v>
      </c>
      <c r="O1183" s="22" t="n">
        <v>0</v>
      </c>
      <c r="P1183" s="22" t="n">
        <v>0</v>
      </c>
      <c r="Q1183" s="22" t="n">
        <v>0</v>
      </c>
      <c r="R1183" s="22" t="n">
        <v>0</v>
      </c>
      <c r="S1183" s="22" t="n">
        <v>0</v>
      </c>
      <c r="T1183" s="22" t="n">
        <v>0</v>
      </c>
      <c r="U1183" s="3">
        <f>IF(OR(N1183=1,Q1183=1),1,0)</f>
        <v/>
      </c>
      <c r="V1183" s="3">
        <f>IF(OR(T1183=1,P1183=1),1,0)</f>
        <v/>
      </c>
      <c r="W1183" s="3">
        <f>IF(OR(J1183=1),1,0)</f>
        <v/>
      </c>
      <c r="X1183" s="3">
        <f>IF(OR(I1183=1,H1183=1),1,0)</f>
        <v/>
      </c>
      <c r="Y1183" s="3">
        <f>IF(OR(G1183=1),1,0)</f>
        <v/>
      </c>
      <c r="Z1183" s="3">
        <f>IF(OR(F1183=1),1,0)</f>
        <v/>
      </c>
      <c r="AA1183" s="3">
        <f>IF(OR(M1183=1),1,0)</f>
        <v/>
      </c>
    </row>
    <row r="1184">
      <c r="A1184" s="22" t="inlineStr">
        <is>
          <t>eb3e13992415548e3aea9dcebefceef1987f521a</t>
        </is>
      </c>
      <c r="B1184" s="22" t="inlineStr">
        <is>
          <t>2026-06</t>
        </is>
      </c>
      <c r="C1184" s="22" t="inlineStr">
        <is>
          <t>Instagram</t>
        </is>
      </c>
      <c r="D1184" s="22" t="n">
        <v>0</v>
      </c>
      <c r="E1184" s="22" t="inlineStr">
        <is>
          <t>Instagram: Instagram: mazitundeednut</t>
        </is>
      </c>
      <c r="F1184" s="22" t="inlineStr">
        <is>
          <t>instagram:Instagram: mazitundeednut</t>
        </is>
      </c>
      <c r="G1184" s="22" t="n">
        <v>-0.204</v>
      </c>
      <c r="H1184" s="22" t="n">
        <v>1</v>
      </c>
      <c r="I1184" s="22" t="n">
        <v>0</v>
      </c>
      <c r="J1184" s="22" t="n">
        <v>0</v>
      </c>
      <c r="K1184" s="22" t="n">
        <v>0</v>
      </c>
      <c r="L1184" s="22" t="n">
        <v>0</v>
      </c>
      <c r="M1184" s="22" t="n">
        <v>0</v>
      </c>
      <c r="N1184" s="22" t="n">
        <v>0</v>
      </c>
      <c r="O1184" s="22" t="n">
        <v>0</v>
      </c>
      <c r="P1184" s="22" t="n">
        <v>0</v>
      </c>
      <c r="Q1184" s="22" t="n">
        <v>0</v>
      </c>
      <c r="R1184" s="22" t="n">
        <v>0</v>
      </c>
      <c r="S1184" s="22" t="n">
        <v>0</v>
      </c>
      <c r="T1184" s="22" t="n">
        <v>0</v>
      </c>
      <c r="U1184" s="3">
        <f>IF(OR(N1184=1,Q1184=1),1,0)</f>
        <v/>
      </c>
      <c r="V1184" s="3">
        <f>IF(OR(T1184=1,P1184=1),1,0)</f>
        <v/>
      </c>
      <c r="W1184" s="3">
        <f>IF(OR(J1184=1),1,0)</f>
        <v/>
      </c>
      <c r="X1184" s="3">
        <f>IF(OR(I1184=1,H1184=1),1,0)</f>
        <v/>
      </c>
      <c r="Y1184" s="3">
        <f>IF(OR(G1184=1),1,0)</f>
        <v/>
      </c>
      <c r="Z1184" s="3">
        <f>IF(OR(F1184=1),1,0)</f>
        <v/>
      </c>
      <c r="AA1184" s="3">
        <f>IF(OR(M1184=1),1,0)</f>
        <v/>
      </c>
    </row>
    <row r="1185">
      <c r="A1185" s="22" t="inlineStr">
        <is>
          <t>0690ab9577757b811396da5864372ed16dc173b8</t>
        </is>
      </c>
      <c r="B1185" s="22" t="inlineStr">
        <is>
          <t>2026-06</t>
        </is>
      </c>
      <c r="C1185" s="22" t="inlineStr">
        <is>
          <t>Instagram</t>
        </is>
      </c>
      <c r="D1185" s="22" t="n">
        <v>0</v>
      </c>
      <c r="E1185" s="22" t="inlineStr">
        <is>
          <t>Instagram: Instagram: mazitundeednut</t>
        </is>
      </c>
      <c r="F1185" s="22" t="inlineStr">
        <is>
          <t>instagram:Instagram: mazitundeednut</t>
        </is>
      </c>
      <c r="G1185" s="22" t="n">
        <v>-0.388</v>
      </c>
      <c r="H1185" s="22" t="n">
        <v>1</v>
      </c>
      <c r="I1185" s="22" t="n">
        <v>0</v>
      </c>
      <c r="J1185" s="22" t="n">
        <v>0</v>
      </c>
      <c r="K1185" s="22" t="n">
        <v>0</v>
      </c>
      <c r="L1185" s="22" t="n">
        <v>0</v>
      </c>
      <c r="M1185" s="22" t="n">
        <v>0</v>
      </c>
      <c r="N1185" s="22" t="n">
        <v>0</v>
      </c>
      <c r="O1185" s="22" t="n">
        <v>0</v>
      </c>
      <c r="P1185" s="22" t="n">
        <v>0</v>
      </c>
      <c r="Q1185" s="22" t="n">
        <v>0</v>
      </c>
      <c r="R1185" s="22" t="n">
        <v>0</v>
      </c>
      <c r="S1185" s="22" t="n">
        <v>0</v>
      </c>
      <c r="T1185" s="22" t="n">
        <v>0</v>
      </c>
      <c r="U1185" s="3">
        <f>IF(OR(N1185=1,Q1185=1),1,0)</f>
        <v/>
      </c>
      <c r="V1185" s="3">
        <f>IF(OR(T1185=1,P1185=1),1,0)</f>
        <v/>
      </c>
      <c r="W1185" s="3">
        <f>IF(OR(J1185=1),1,0)</f>
        <v/>
      </c>
      <c r="X1185" s="3">
        <f>IF(OR(I1185=1,H1185=1),1,0)</f>
        <v/>
      </c>
      <c r="Y1185" s="3">
        <f>IF(OR(G1185=1),1,0)</f>
        <v/>
      </c>
      <c r="Z1185" s="3">
        <f>IF(OR(F1185=1),1,0)</f>
        <v/>
      </c>
      <c r="AA1185" s="3">
        <f>IF(OR(M1185=1),1,0)</f>
        <v/>
      </c>
    </row>
    <row r="1186">
      <c r="A1186" s="22" t="inlineStr">
        <is>
          <t>6ee4bd9e920da1e4df8fa46d290c66a0da9ca17b</t>
        </is>
      </c>
      <c r="B1186" s="22" t="inlineStr">
        <is>
          <t>2026-06</t>
        </is>
      </c>
      <c r="C1186" s="22" t="inlineStr">
        <is>
          <t>Instagram</t>
        </is>
      </c>
      <c r="D1186" s="22" t="n">
        <v>0</v>
      </c>
      <c r="E1186" s="22" t="inlineStr">
        <is>
          <t>Instagram: Instagram: mazitundeednut</t>
        </is>
      </c>
      <c r="F1186" s="22" t="inlineStr">
        <is>
          <t>instagram:Instagram: mazitundeednut</t>
        </is>
      </c>
      <c r="G1186" s="22" t="n">
        <v>-0.402</v>
      </c>
      <c r="H1186" s="22" t="n">
        <v>0</v>
      </c>
      <c r="I1186" s="22" t="n">
        <v>0</v>
      </c>
      <c r="J1186" s="22" t="n">
        <v>0</v>
      </c>
      <c r="K1186" s="22" t="n">
        <v>0</v>
      </c>
      <c r="L1186" s="22" t="n">
        <v>0</v>
      </c>
      <c r="M1186" s="22" t="n">
        <v>1</v>
      </c>
      <c r="N1186" s="22" t="n">
        <v>0</v>
      </c>
      <c r="O1186" s="22" t="n">
        <v>0</v>
      </c>
      <c r="P1186" s="22" t="n">
        <v>0</v>
      </c>
      <c r="Q1186" s="22" t="n">
        <v>0</v>
      </c>
      <c r="R1186" s="22" t="n">
        <v>0</v>
      </c>
      <c r="S1186" s="22" t="n">
        <v>0</v>
      </c>
      <c r="T1186" s="22" t="n">
        <v>0</v>
      </c>
      <c r="U1186" s="3">
        <f>IF(OR(N1186=1,Q1186=1),1,0)</f>
        <v/>
      </c>
      <c r="V1186" s="3">
        <f>IF(OR(T1186=1,P1186=1),1,0)</f>
        <v/>
      </c>
      <c r="W1186" s="3">
        <f>IF(OR(J1186=1),1,0)</f>
        <v/>
      </c>
      <c r="X1186" s="3">
        <f>IF(OR(I1186=1,H1186=1),1,0)</f>
        <v/>
      </c>
      <c r="Y1186" s="3">
        <f>IF(OR(G1186=1),1,0)</f>
        <v/>
      </c>
      <c r="Z1186" s="3">
        <f>IF(OR(F1186=1),1,0)</f>
        <v/>
      </c>
      <c r="AA1186" s="3">
        <f>IF(OR(M1186=1),1,0)</f>
        <v/>
      </c>
    </row>
    <row r="1187">
      <c r="A1187" s="22" t="inlineStr">
        <is>
          <t>74127c45560fdf75e293e4b0ed7eeee3a2a1c678</t>
        </is>
      </c>
      <c r="B1187" s="22" t="inlineStr">
        <is>
          <t>2026-06</t>
        </is>
      </c>
      <c r="C1187" s="22" t="inlineStr">
        <is>
          <t>Instagram</t>
        </is>
      </c>
      <c r="D1187" s="22" t="n">
        <v>0</v>
      </c>
      <c r="E1187" s="22" t="inlineStr">
        <is>
          <t>Instagram: Instagram: mazitundeednut</t>
        </is>
      </c>
      <c r="F1187" s="22" t="inlineStr">
        <is>
          <t>instagram:Instagram: mazitundeednut</t>
        </is>
      </c>
      <c r="G1187" s="22" t="n">
        <v>0.361</v>
      </c>
      <c r="H1187" s="22" t="n">
        <v>0</v>
      </c>
      <c r="I1187" s="22" t="n">
        <v>0</v>
      </c>
      <c r="J1187" s="22" t="n">
        <v>1</v>
      </c>
      <c r="K1187" s="22" t="n">
        <v>0</v>
      </c>
      <c r="L1187" s="22" t="n">
        <v>0</v>
      </c>
      <c r="M1187" s="22" t="n">
        <v>0</v>
      </c>
      <c r="N1187" s="22" t="n">
        <v>0</v>
      </c>
      <c r="O1187" s="22" t="n">
        <v>0</v>
      </c>
      <c r="P1187" s="22" t="n">
        <v>0</v>
      </c>
      <c r="Q1187" s="22" t="n">
        <v>0</v>
      </c>
      <c r="R1187" s="22" t="n">
        <v>0</v>
      </c>
      <c r="S1187" s="22" t="n">
        <v>0</v>
      </c>
      <c r="T1187" s="22" t="n">
        <v>0</v>
      </c>
      <c r="U1187" s="3">
        <f>IF(OR(N1187=1,Q1187=1),1,0)</f>
        <v/>
      </c>
      <c r="V1187" s="3">
        <f>IF(OR(T1187=1,P1187=1),1,0)</f>
        <v/>
      </c>
      <c r="W1187" s="3">
        <f>IF(OR(J1187=1),1,0)</f>
        <v/>
      </c>
      <c r="X1187" s="3">
        <f>IF(OR(I1187=1,H1187=1),1,0)</f>
        <v/>
      </c>
      <c r="Y1187" s="3">
        <f>IF(OR(G1187=1),1,0)</f>
        <v/>
      </c>
      <c r="Z1187" s="3">
        <f>IF(OR(F1187=1),1,0)</f>
        <v/>
      </c>
      <c r="AA1187" s="3">
        <f>IF(OR(M1187=1),1,0)</f>
        <v/>
      </c>
    </row>
    <row r="1188">
      <c r="A1188" s="22" t="inlineStr">
        <is>
          <t>f866fef7f55b93672b0e97f5271716c50b1a0e5f</t>
        </is>
      </c>
      <c r="B1188" s="22" t="inlineStr">
        <is>
          <t>2026-06</t>
        </is>
      </c>
      <c r="C1188" s="22" t="inlineStr">
        <is>
          <t>Instagram</t>
        </is>
      </c>
      <c r="D1188" s="22" t="n">
        <v>0</v>
      </c>
      <c r="E1188" s="22" t="inlineStr">
        <is>
          <t>Instagram: Instagram: mazitundeednut</t>
        </is>
      </c>
      <c r="F1188" s="22" t="inlineStr">
        <is>
          <t>instagram:Instagram: mazitundeednut</t>
        </is>
      </c>
      <c r="G1188" s="22" t="n">
        <v>-0.92</v>
      </c>
      <c r="H1188" s="22" t="n">
        <v>1</v>
      </c>
      <c r="I1188" s="22" t="n">
        <v>0</v>
      </c>
      <c r="J1188" s="22" t="n">
        <v>0</v>
      </c>
      <c r="K1188" s="22" t="n">
        <v>0</v>
      </c>
      <c r="L1188" s="22" t="n">
        <v>0</v>
      </c>
      <c r="M1188" s="22" t="n">
        <v>0</v>
      </c>
      <c r="N1188" s="22" t="n">
        <v>0</v>
      </c>
      <c r="O1188" s="22" t="n">
        <v>0</v>
      </c>
      <c r="P1188" s="22" t="n">
        <v>0</v>
      </c>
      <c r="Q1188" s="22" t="n">
        <v>0</v>
      </c>
      <c r="R1188" s="22" t="n">
        <v>0</v>
      </c>
      <c r="S1188" s="22" t="n">
        <v>0</v>
      </c>
      <c r="T1188" s="22" t="n">
        <v>0</v>
      </c>
      <c r="U1188" s="3">
        <f>IF(OR(N1188=1,Q1188=1),1,0)</f>
        <v/>
      </c>
      <c r="V1188" s="3">
        <f>IF(OR(T1188=1,P1188=1),1,0)</f>
        <v/>
      </c>
      <c r="W1188" s="3">
        <f>IF(OR(J1188=1),1,0)</f>
        <v/>
      </c>
      <c r="X1188" s="3">
        <f>IF(OR(I1188=1,H1188=1),1,0)</f>
        <v/>
      </c>
      <c r="Y1188" s="3">
        <f>IF(OR(G1188=1),1,0)</f>
        <v/>
      </c>
      <c r="Z1188" s="3">
        <f>IF(OR(F1188=1),1,0)</f>
        <v/>
      </c>
      <c r="AA1188" s="3">
        <f>IF(OR(M1188=1),1,0)</f>
        <v/>
      </c>
    </row>
    <row r="1189">
      <c r="A1189" s="22" t="inlineStr">
        <is>
          <t>9f4787898cadc93f5d83664aed5a1af293dc77bc</t>
        </is>
      </c>
      <c r="B1189" s="22" t="inlineStr">
        <is>
          <t>2026-06</t>
        </is>
      </c>
      <c r="C1189" s="22" t="inlineStr">
        <is>
          <t>Instagram</t>
        </is>
      </c>
      <c r="D1189" s="22" t="n">
        <v>0</v>
      </c>
      <c r="E1189" s="22" t="inlineStr">
        <is>
          <t>Instagram: Instagram: mazitundeednut</t>
        </is>
      </c>
      <c r="F1189" s="22" t="inlineStr">
        <is>
          <t>instagram:Instagram: mazitundeednut</t>
        </is>
      </c>
      <c r="G1189" s="22" t="n">
        <v>-0.226</v>
      </c>
      <c r="H1189" s="22" t="n">
        <v>1</v>
      </c>
      <c r="I1189" s="22" t="n">
        <v>0</v>
      </c>
      <c r="J1189" s="22" t="n">
        <v>0</v>
      </c>
      <c r="K1189" s="22" t="n">
        <v>0</v>
      </c>
      <c r="L1189" s="22" t="n">
        <v>0</v>
      </c>
      <c r="M1189" s="22" t="n">
        <v>0</v>
      </c>
      <c r="N1189" s="22" t="n">
        <v>0</v>
      </c>
      <c r="O1189" s="22" t="n">
        <v>0</v>
      </c>
      <c r="P1189" s="22" t="n">
        <v>0</v>
      </c>
      <c r="Q1189" s="22" t="n">
        <v>0</v>
      </c>
      <c r="R1189" s="22" t="n">
        <v>0</v>
      </c>
      <c r="S1189" s="22" t="n">
        <v>0</v>
      </c>
      <c r="T1189" s="22" t="n">
        <v>0</v>
      </c>
      <c r="U1189" s="3">
        <f>IF(OR(N1189=1,Q1189=1),1,0)</f>
        <v/>
      </c>
      <c r="V1189" s="3">
        <f>IF(OR(T1189=1,P1189=1),1,0)</f>
        <v/>
      </c>
      <c r="W1189" s="3">
        <f>IF(OR(J1189=1),1,0)</f>
        <v/>
      </c>
      <c r="X1189" s="3">
        <f>IF(OR(I1189=1,H1189=1),1,0)</f>
        <v/>
      </c>
      <c r="Y1189" s="3">
        <f>IF(OR(G1189=1),1,0)</f>
        <v/>
      </c>
      <c r="Z1189" s="3">
        <f>IF(OR(F1189=1),1,0)</f>
        <v/>
      </c>
      <c r="AA1189" s="3">
        <f>IF(OR(M1189=1),1,0)</f>
        <v/>
      </c>
    </row>
    <row r="1190">
      <c r="A1190" s="22" t="inlineStr">
        <is>
          <t>ca46e84a0177a87ab62b4eb758134f93a0bd5a25</t>
        </is>
      </c>
      <c r="B1190" s="22" t="inlineStr">
        <is>
          <t>2026-06</t>
        </is>
      </c>
      <c r="C1190" s="22" t="inlineStr">
        <is>
          <t>Instagram</t>
        </is>
      </c>
      <c r="D1190" s="22" t="n">
        <v>0</v>
      </c>
      <c r="E1190" s="22" t="inlineStr">
        <is>
          <t>Instagram: Instagram: mazitundeednut</t>
        </is>
      </c>
      <c r="F1190" s="22" t="inlineStr">
        <is>
          <t>instagram:Instagram: mazitundeednut</t>
        </is>
      </c>
      <c r="G1190" s="22" t="n">
        <v>0.697</v>
      </c>
      <c r="H1190" s="22" t="n">
        <v>0</v>
      </c>
      <c r="I1190" s="22" t="n">
        <v>0</v>
      </c>
      <c r="J1190" s="22" t="n">
        <v>0</v>
      </c>
      <c r="K1190" s="22" t="n">
        <v>0</v>
      </c>
      <c r="L1190" s="22" t="n">
        <v>0</v>
      </c>
      <c r="M1190" s="22" t="n">
        <v>0</v>
      </c>
      <c r="N1190" s="22" t="n">
        <v>0</v>
      </c>
      <c r="O1190" s="22" t="n">
        <v>0</v>
      </c>
      <c r="P1190" s="22" t="n">
        <v>1</v>
      </c>
      <c r="Q1190" s="22" t="n">
        <v>0</v>
      </c>
      <c r="R1190" s="22" t="n">
        <v>0</v>
      </c>
      <c r="S1190" s="22" t="n">
        <v>0</v>
      </c>
      <c r="T1190" s="22" t="n">
        <v>0</v>
      </c>
      <c r="U1190" s="3">
        <f>IF(OR(N1190=1,Q1190=1),1,0)</f>
        <v/>
      </c>
      <c r="V1190" s="3">
        <f>IF(OR(T1190=1,P1190=1),1,0)</f>
        <v/>
      </c>
      <c r="W1190" s="3">
        <f>IF(OR(J1190=1),1,0)</f>
        <v/>
      </c>
      <c r="X1190" s="3">
        <f>IF(OR(I1190=1,H1190=1),1,0)</f>
        <v/>
      </c>
      <c r="Y1190" s="3">
        <f>IF(OR(G1190=1),1,0)</f>
        <v/>
      </c>
      <c r="Z1190" s="3">
        <f>IF(OR(F1190=1),1,0)</f>
        <v/>
      </c>
      <c r="AA1190" s="3">
        <f>IF(OR(M1190=1),1,0)</f>
        <v/>
      </c>
    </row>
    <row r="1191">
      <c r="A1191" s="22" t="inlineStr">
        <is>
          <t>c66f2a6612754cfebb9dd94a8d95a011a26aceb9</t>
        </is>
      </c>
      <c r="B1191" s="22" t="inlineStr">
        <is>
          <t>2026-06</t>
        </is>
      </c>
      <c r="C1191" s="22" t="inlineStr">
        <is>
          <t>Instagram</t>
        </is>
      </c>
      <c r="D1191" s="22" t="n">
        <v>0</v>
      </c>
      <c r="E1191" s="22" t="inlineStr">
        <is>
          <t>Instagram: Instagram: mazitundeednut</t>
        </is>
      </c>
      <c r="F1191" s="22" t="inlineStr">
        <is>
          <t>instagram:Instagram: mazitundeednut</t>
        </is>
      </c>
      <c r="G1191" s="22" t="n">
        <v>0.372</v>
      </c>
      <c r="H1191" s="22" t="n">
        <v>0</v>
      </c>
      <c r="I1191" s="22" t="n">
        <v>0</v>
      </c>
      <c r="J1191" s="22" t="n">
        <v>0</v>
      </c>
      <c r="K1191" s="22" t="n">
        <v>0</v>
      </c>
      <c r="L1191" s="22" t="n">
        <v>0</v>
      </c>
      <c r="M1191" s="22" t="n">
        <v>0</v>
      </c>
      <c r="N1191" s="22" t="n">
        <v>1</v>
      </c>
      <c r="O1191" s="22" t="n">
        <v>0</v>
      </c>
      <c r="P1191" s="22" t="n">
        <v>0</v>
      </c>
      <c r="Q1191" s="22" t="n">
        <v>0</v>
      </c>
      <c r="R1191" s="22" t="n">
        <v>0</v>
      </c>
      <c r="S1191" s="22" t="n">
        <v>0</v>
      </c>
      <c r="T1191" s="22" t="n">
        <v>0</v>
      </c>
      <c r="U1191" s="3">
        <f>IF(OR(N1191=1,Q1191=1),1,0)</f>
        <v/>
      </c>
      <c r="V1191" s="3">
        <f>IF(OR(T1191=1,P1191=1),1,0)</f>
        <v/>
      </c>
      <c r="W1191" s="3">
        <f>IF(OR(J1191=1),1,0)</f>
        <v/>
      </c>
      <c r="X1191" s="3">
        <f>IF(OR(I1191=1,H1191=1),1,0)</f>
        <v/>
      </c>
      <c r="Y1191" s="3">
        <f>IF(OR(G1191=1),1,0)</f>
        <v/>
      </c>
      <c r="Z1191" s="3">
        <f>IF(OR(F1191=1),1,0)</f>
        <v/>
      </c>
      <c r="AA1191" s="3">
        <f>IF(OR(M1191=1),1,0)</f>
        <v/>
      </c>
    </row>
    <row r="1192">
      <c r="A1192" s="22" t="inlineStr">
        <is>
          <t>6e46c1524f716f37390e9b4da5fb9ac46eff6f73</t>
        </is>
      </c>
      <c r="B1192" s="22" t="inlineStr">
        <is>
          <t>2026-06</t>
        </is>
      </c>
      <c r="C1192" s="22" t="inlineStr">
        <is>
          <t>Instagram</t>
        </is>
      </c>
      <c r="D1192" s="22" t="n">
        <v>0</v>
      </c>
      <c r="E1192" s="22" t="inlineStr">
        <is>
          <t>Instagram: Instagram: mazitundeednut</t>
        </is>
      </c>
      <c r="F1192" s="22" t="inlineStr">
        <is>
          <t>instagram:Instagram: mazitundeednut</t>
        </is>
      </c>
      <c r="G1192" s="22" t="n">
        <v>-0.852</v>
      </c>
      <c r="H1192" s="22" t="n">
        <v>0</v>
      </c>
      <c r="I1192" s="22" t="n">
        <v>0</v>
      </c>
      <c r="J1192" s="22" t="n">
        <v>0</v>
      </c>
      <c r="K1192" s="22" t="n">
        <v>0</v>
      </c>
      <c r="L1192" s="22" t="n">
        <v>0</v>
      </c>
      <c r="M1192" s="22" t="n">
        <v>1</v>
      </c>
      <c r="N1192" s="22" t="n">
        <v>0</v>
      </c>
      <c r="O1192" s="22" t="n">
        <v>0</v>
      </c>
      <c r="P1192" s="22" t="n">
        <v>0</v>
      </c>
      <c r="Q1192" s="22" t="n">
        <v>0</v>
      </c>
      <c r="R1192" s="22" t="n">
        <v>0</v>
      </c>
      <c r="S1192" s="22" t="n">
        <v>0</v>
      </c>
      <c r="T1192" s="22" t="n">
        <v>0</v>
      </c>
      <c r="U1192" s="3">
        <f>IF(OR(N1192=1,Q1192=1),1,0)</f>
        <v/>
      </c>
      <c r="V1192" s="3">
        <f>IF(OR(T1192=1,P1192=1),1,0)</f>
        <v/>
      </c>
      <c r="W1192" s="3">
        <f>IF(OR(J1192=1),1,0)</f>
        <v/>
      </c>
      <c r="X1192" s="3">
        <f>IF(OR(I1192=1,H1192=1),1,0)</f>
        <v/>
      </c>
      <c r="Y1192" s="3">
        <f>IF(OR(G1192=1),1,0)</f>
        <v/>
      </c>
      <c r="Z1192" s="3">
        <f>IF(OR(F1192=1),1,0)</f>
        <v/>
      </c>
      <c r="AA1192" s="3">
        <f>IF(OR(M1192=1),1,0)</f>
        <v/>
      </c>
    </row>
    <row r="1193">
      <c r="A1193" s="22" t="inlineStr">
        <is>
          <t>9cba95fa6eb3528ee4147634118565727b5ba064</t>
        </is>
      </c>
      <c r="B1193" s="22" t="inlineStr">
        <is>
          <t>2026-06</t>
        </is>
      </c>
      <c r="C1193" s="22" t="inlineStr">
        <is>
          <t>Instagram</t>
        </is>
      </c>
      <c r="D1193" s="22" t="n">
        <v>0</v>
      </c>
      <c r="E1193" s="22" t="inlineStr">
        <is>
          <t>Instagram: Instagram: mazitundeednut</t>
        </is>
      </c>
      <c r="F1193" s="22" t="inlineStr">
        <is>
          <t>instagram:Instagram: mazitundeednut</t>
        </is>
      </c>
      <c r="G1193" s="22" t="n">
        <v>-0.87</v>
      </c>
      <c r="H1193" s="22" t="n">
        <v>1</v>
      </c>
      <c r="I1193" s="22" t="n">
        <v>0</v>
      </c>
      <c r="J1193" s="22" t="n">
        <v>0</v>
      </c>
      <c r="K1193" s="22" t="n">
        <v>0</v>
      </c>
      <c r="L1193" s="22" t="n">
        <v>0</v>
      </c>
      <c r="M1193" s="22" t="n">
        <v>0</v>
      </c>
      <c r="N1193" s="22" t="n">
        <v>0</v>
      </c>
      <c r="O1193" s="22" t="n">
        <v>0</v>
      </c>
      <c r="P1193" s="22" t="n">
        <v>0</v>
      </c>
      <c r="Q1193" s="22" t="n">
        <v>0</v>
      </c>
      <c r="R1193" s="22" t="n">
        <v>0</v>
      </c>
      <c r="S1193" s="22" t="n">
        <v>0</v>
      </c>
      <c r="T1193" s="22" t="n">
        <v>0</v>
      </c>
      <c r="U1193" s="3">
        <f>IF(OR(N1193=1,Q1193=1),1,0)</f>
        <v/>
      </c>
      <c r="V1193" s="3">
        <f>IF(OR(T1193=1,P1193=1),1,0)</f>
        <v/>
      </c>
      <c r="W1193" s="3">
        <f>IF(OR(J1193=1),1,0)</f>
        <v/>
      </c>
      <c r="X1193" s="3">
        <f>IF(OR(I1193=1,H1193=1),1,0)</f>
        <v/>
      </c>
      <c r="Y1193" s="3">
        <f>IF(OR(G1193=1),1,0)</f>
        <v/>
      </c>
      <c r="Z1193" s="3">
        <f>IF(OR(F1193=1),1,0)</f>
        <v/>
      </c>
      <c r="AA1193" s="3">
        <f>IF(OR(M1193=1),1,0)</f>
        <v/>
      </c>
    </row>
    <row r="1194">
      <c r="A1194" s="22" t="inlineStr">
        <is>
          <t>51ead223f0c16bd6743ee94c688b1d2c78b28884</t>
        </is>
      </c>
      <c r="B1194" s="22" t="inlineStr">
        <is>
          <t>2026-06</t>
        </is>
      </c>
      <c r="C1194" s="22" t="inlineStr">
        <is>
          <t>Instagram</t>
        </is>
      </c>
      <c r="D1194" s="22" t="n">
        <v>0</v>
      </c>
      <c r="E1194" s="22" t="inlineStr">
        <is>
          <t>Instagram: Instagram: mazitundeednut</t>
        </is>
      </c>
      <c r="F1194" s="22" t="inlineStr">
        <is>
          <t>instagram:Instagram: mazitundeednut</t>
        </is>
      </c>
      <c r="G1194" s="22" t="n">
        <v>-0.273</v>
      </c>
      <c r="H1194" s="22" t="n">
        <v>1</v>
      </c>
      <c r="I1194" s="22" t="n">
        <v>0</v>
      </c>
      <c r="J1194" s="22" t="n">
        <v>0</v>
      </c>
      <c r="K1194" s="22" t="n">
        <v>0</v>
      </c>
      <c r="L1194" s="22" t="n">
        <v>0</v>
      </c>
      <c r="M1194" s="22" t="n">
        <v>0</v>
      </c>
      <c r="N1194" s="22" t="n">
        <v>0</v>
      </c>
      <c r="O1194" s="22" t="n">
        <v>0</v>
      </c>
      <c r="P1194" s="22" t="n">
        <v>0</v>
      </c>
      <c r="Q1194" s="22" t="n">
        <v>0</v>
      </c>
      <c r="R1194" s="22" t="n">
        <v>0</v>
      </c>
      <c r="S1194" s="22" t="n">
        <v>0</v>
      </c>
      <c r="T1194" s="22" t="n">
        <v>0</v>
      </c>
      <c r="U1194" s="3">
        <f>IF(OR(N1194=1,Q1194=1),1,0)</f>
        <v/>
      </c>
      <c r="V1194" s="3">
        <f>IF(OR(T1194=1,P1194=1),1,0)</f>
        <v/>
      </c>
      <c r="W1194" s="3">
        <f>IF(OR(J1194=1),1,0)</f>
        <v/>
      </c>
      <c r="X1194" s="3">
        <f>IF(OR(I1194=1,H1194=1),1,0)</f>
        <v/>
      </c>
      <c r="Y1194" s="3">
        <f>IF(OR(G1194=1),1,0)</f>
        <v/>
      </c>
      <c r="Z1194" s="3">
        <f>IF(OR(F1194=1),1,0)</f>
        <v/>
      </c>
      <c r="AA1194" s="3">
        <f>IF(OR(M1194=1),1,0)</f>
        <v/>
      </c>
    </row>
    <row r="1195">
      <c r="A1195" s="22" t="inlineStr">
        <is>
          <t>406e853dac63a19076c579075b57c9c6835164b7</t>
        </is>
      </c>
      <c r="B1195" s="22" t="inlineStr">
        <is>
          <t>2026-06</t>
        </is>
      </c>
      <c r="C1195" s="22" t="inlineStr">
        <is>
          <t>Instagram</t>
        </is>
      </c>
      <c r="D1195" s="22" t="n">
        <v>0</v>
      </c>
      <c r="E1195" s="22" t="inlineStr">
        <is>
          <t>Instagram: Instagram: mazitundeednut</t>
        </is>
      </c>
      <c r="F1195" s="22" t="inlineStr">
        <is>
          <t>instagram:Instagram: mazitundeednut</t>
        </is>
      </c>
      <c r="G1195" s="22" t="n">
        <v>-0.296</v>
      </c>
      <c r="H1195" s="22" t="n">
        <v>0</v>
      </c>
      <c r="I1195" s="22" t="n">
        <v>0</v>
      </c>
      <c r="J1195" s="22" t="n">
        <v>0</v>
      </c>
      <c r="K1195" s="22" t="n">
        <v>0</v>
      </c>
      <c r="L1195" s="22" t="n">
        <v>0</v>
      </c>
      <c r="M1195" s="22" t="n">
        <v>0</v>
      </c>
      <c r="N1195" s="22" t="n">
        <v>0</v>
      </c>
      <c r="O1195" s="22" t="n">
        <v>0</v>
      </c>
      <c r="P1195" s="22" t="n">
        <v>1</v>
      </c>
      <c r="Q1195" s="22" t="n">
        <v>0</v>
      </c>
      <c r="R1195" s="22" t="n">
        <v>0</v>
      </c>
      <c r="S1195" s="22" t="n">
        <v>0</v>
      </c>
      <c r="T1195" s="22" t="n">
        <v>0</v>
      </c>
      <c r="U1195" s="3">
        <f>IF(OR(N1195=1,Q1195=1),1,0)</f>
        <v/>
      </c>
      <c r="V1195" s="3">
        <f>IF(OR(T1195=1,P1195=1),1,0)</f>
        <v/>
      </c>
      <c r="W1195" s="3">
        <f>IF(OR(J1195=1),1,0)</f>
        <v/>
      </c>
      <c r="X1195" s="3">
        <f>IF(OR(I1195=1,H1195=1),1,0)</f>
        <v/>
      </c>
      <c r="Y1195" s="3">
        <f>IF(OR(G1195=1),1,0)</f>
        <v/>
      </c>
      <c r="Z1195" s="3">
        <f>IF(OR(F1195=1),1,0)</f>
        <v/>
      </c>
      <c r="AA1195" s="3">
        <f>IF(OR(M1195=1),1,0)</f>
        <v/>
      </c>
    </row>
    <row r="1196">
      <c r="A1196" s="22" t="inlineStr">
        <is>
          <t>67c9f056921a2db8b71f395ab9323367e8cb1fe9</t>
        </is>
      </c>
      <c r="B1196" s="22" t="inlineStr">
        <is>
          <t>2026-06</t>
        </is>
      </c>
      <c r="C1196" s="22" t="inlineStr">
        <is>
          <t>Instagram</t>
        </is>
      </c>
      <c r="D1196" s="22" t="n">
        <v>0</v>
      </c>
      <c r="E1196" s="22" t="inlineStr">
        <is>
          <t>Instagram: Instagram: mazitundeednut</t>
        </is>
      </c>
      <c r="F1196" s="22" t="inlineStr">
        <is>
          <t>instagram:Instagram: mazitundeednut</t>
        </is>
      </c>
      <c r="G1196" s="22" t="n">
        <v>-0.477</v>
      </c>
      <c r="H1196" s="22" t="n">
        <v>0</v>
      </c>
      <c r="I1196" s="22" t="n">
        <v>0</v>
      </c>
      <c r="J1196" s="22" t="n">
        <v>0</v>
      </c>
      <c r="K1196" s="22" t="n">
        <v>0</v>
      </c>
      <c r="L1196" s="22" t="n">
        <v>0</v>
      </c>
      <c r="M1196" s="22" t="n">
        <v>1</v>
      </c>
      <c r="N1196" s="22" t="n">
        <v>0</v>
      </c>
      <c r="O1196" s="22" t="n">
        <v>0</v>
      </c>
      <c r="P1196" s="22" t="n">
        <v>0</v>
      </c>
      <c r="Q1196" s="22" t="n">
        <v>0</v>
      </c>
      <c r="R1196" s="22" t="n">
        <v>0</v>
      </c>
      <c r="S1196" s="22" t="n">
        <v>0</v>
      </c>
      <c r="T1196" s="22" t="n">
        <v>0</v>
      </c>
      <c r="U1196" s="3">
        <f>IF(OR(N1196=1,Q1196=1),1,0)</f>
        <v/>
      </c>
      <c r="V1196" s="3">
        <f>IF(OR(T1196=1,P1196=1),1,0)</f>
        <v/>
      </c>
      <c r="W1196" s="3">
        <f>IF(OR(J1196=1),1,0)</f>
        <v/>
      </c>
      <c r="X1196" s="3">
        <f>IF(OR(I1196=1,H1196=1),1,0)</f>
        <v/>
      </c>
      <c r="Y1196" s="3">
        <f>IF(OR(G1196=1),1,0)</f>
        <v/>
      </c>
      <c r="Z1196" s="3">
        <f>IF(OR(F1196=1),1,0)</f>
        <v/>
      </c>
      <c r="AA1196" s="3">
        <f>IF(OR(M1196=1),1,0)</f>
        <v/>
      </c>
    </row>
    <row r="1197">
      <c r="A1197" s="22" t="inlineStr">
        <is>
          <t>5c8ce0bd8f4beb6327f4fd6d26f2c244a4541d19</t>
        </is>
      </c>
      <c r="B1197" s="22" t="inlineStr">
        <is>
          <t>2026-06</t>
        </is>
      </c>
      <c r="C1197" s="22" t="inlineStr">
        <is>
          <t>Instagram</t>
        </is>
      </c>
      <c r="D1197" s="22" t="n">
        <v>0</v>
      </c>
      <c r="E1197" s="22" t="inlineStr">
        <is>
          <t>Instagram: Instagram: mazitundeednut</t>
        </is>
      </c>
      <c r="F1197" s="22" t="inlineStr">
        <is>
          <t>instagram:Instagram: mazitundeednut</t>
        </is>
      </c>
      <c r="G1197" s="22" t="n">
        <v>-0.382</v>
      </c>
      <c r="H1197" s="22" t="n">
        <v>0</v>
      </c>
      <c r="I1197" s="22" t="n">
        <v>0</v>
      </c>
      <c r="J1197" s="22" t="n">
        <v>0</v>
      </c>
      <c r="K1197" s="22" t="n">
        <v>0</v>
      </c>
      <c r="L1197" s="22" t="n">
        <v>0</v>
      </c>
      <c r="M1197" s="22" t="n">
        <v>1</v>
      </c>
      <c r="N1197" s="22" t="n">
        <v>0</v>
      </c>
      <c r="O1197" s="22" t="n">
        <v>0</v>
      </c>
      <c r="P1197" s="22" t="n">
        <v>0</v>
      </c>
      <c r="Q1197" s="22" t="n">
        <v>0</v>
      </c>
      <c r="R1197" s="22" t="n">
        <v>0</v>
      </c>
      <c r="S1197" s="22" t="n">
        <v>0</v>
      </c>
      <c r="T1197" s="22" t="n">
        <v>0</v>
      </c>
      <c r="U1197" s="3">
        <f>IF(OR(N1197=1,Q1197=1),1,0)</f>
        <v/>
      </c>
      <c r="V1197" s="3">
        <f>IF(OR(T1197=1,P1197=1),1,0)</f>
        <v/>
      </c>
      <c r="W1197" s="3">
        <f>IF(OR(J1197=1),1,0)</f>
        <v/>
      </c>
      <c r="X1197" s="3">
        <f>IF(OR(I1197=1,H1197=1),1,0)</f>
        <v/>
      </c>
      <c r="Y1197" s="3">
        <f>IF(OR(G1197=1),1,0)</f>
        <v/>
      </c>
      <c r="Z1197" s="3">
        <f>IF(OR(F1197=1),1,0)</f>
        <v/>
      </c>
      <c r="AA1197" s="3">
        <f>IF(OR(M1197=1),1,0)</f>
        <v/>
      </c>
    </row>
    <row r="1198">
      <c r="A1198" s="22" t="inlineStr">
        <is>
          <t>f213e7c222fd5d9397b73733f60c9be082f67ad8</t>
        </is>
      </c>
      <c r="B1198" s="22" t="inlineStr">
        <is>
          <t>2026-06</t>
        </is>
      </c>
      <c r="C1198" s="22" t="inlineStr">
        <is>
          <t>Instagram</t>
        </is>
      </c>
      <c r="D1198" s="22" t="n">
        <v>0</v>
      </c>
      <c r="E1198" s="22" t="inlineStr">
        <is>
          <t>Instagram: Instagram: mazitundeednut</t>
        </is>
      </c>
      <c r="F1198" s="22" t="inlineStr">
        <is>
          <t>instagram:Instagram: mazitundeednut</t>
        </is>
      </c>
      <c r="G1198" s="22" t="n">
        <v>0.902</v>
      </c>
      <c r="H1198" s="22" t="n">
        <v>0</v>
      </c>
      <c r="I1198" s="22" t="n">
        <v>0</v>
      </c>
      <c r="J1198" s="22" t="n">
        <v>0</v>
      </c>
      <c r="K1198" s="22" t="n">
        <v>0</v>
      </c>
      <c r="L1198" s="22" t="n">
        <v>0</v>
      </c>
      <c r="M1198" s="22" t="n">
        <v>0</v>
      </c>
      <c r="N1198" s="22" t="n">
        <v>0</v>
      </c>
      <c r="O1198" s="22" t="n">
        <v>0</v>
      </c>
      <c r="P1198" s="22" t="n">
        <v>1</v>
      </c>
      <c r="Q1198" s="22" t="n">
        <v>0</v>
      </c>
      <c r="R1198" s="22" t="n">
        <v>0</v>
      </c>
      <c r="S1198" s="22" t="n">
        <v>0</v>
      </c>
      <c r="T1198" s="22" t="n">
        <v>0</v>
      </c>
      <c r="U1198" s="3">
        <f>IF(OR(N1198=1,Q1198=1),1,0)</f>
        <v/>
      </c>
      <c r="V1198" s="3">
        <f>IF(OR(T1198=1,P1198=1),1,0)</f>
        <v/>
      </c>
      <c r="W1198" s="3">
        <f>IF(OR(J1198=1),1,0)</f>
        <v/>
      </c>
      <c r="X1198" s="3">
        <f>IF(OR(I1198=1,H1198=1),1,0)</f>
        <v/>
      </c>
      <c r="Y1198" s="3">
        <f>IF(OR(G1198=1),1,0)</f>
        <v/>
      </c>
      <c r="Z1198" s="3">
        <f>IF(OR(F1198=1),1,0)</f>
        <v/>
      </c>
      <c r="AA1198" s="3">
        <f>IF(OR(M1198=1),1,0)</f>
        <v/>
      </c>
    </row>
    <row r="1199">
      <c r="A1199" s="22" t="inlineStr">
        <is>
          <t>933c69d407325c1d7e5545dd054cf3cbcb272601</t>
        </is>
      </c>
      <c r="B1199" s="22" t="inlineStr">
        <is>
          <t>2026-06</t>
        </is>
      </c>
      <c r="C1199" s="22" t="inlineStr">
        <is>
          <t>Instagram</t>
        </is>
      </c>
      <c r="D1199" s="22" t="n">
        <v>0</v>
      </c>
      <c r="E1199" s="22" t="inlineStr">
        <is>
          <t>Instagram: Instagram: mazitundeednut</t>
        </is>
      </c>
      <c r="F1199" s="22" t="inlineStr">
        <is>
          <t>instagram:Instagram: mazitundeednut</t>
        </is>
      </c>
      <c r="G1199" s="22" t="n">
        <v>0.906</v>
      </c>
      <c r="H1199" s="22" t="n">
        <v>0</v>
      </c>
      <c r="I1199" s="22" t="n">
        <v>0</v>
      </c>
      <c r="J1199" s="22" t="n">
        <v>0</v>
      </c>
      <c r="K1199" s="22" t="n">
        <v>0</v>
      </c>
      <c r="L1199" s="22" t="n">
        <v>0</v>
      </c>
      <c r="M1199" s="22" t="n">
        <v>0</v>
      </c>
      <c r="N1199" s="22" t="n">
        <v>0</v>
      </c>
      <c r="O1199" s="22" t="n">
        <v>1</v>
      </c>
      <c r="P1199" s="22" t="n">
        <v>0</v>
      </c>
      <c r="Q1199" s="22" t="n">
        <v>0</v>
      </c>
      <c r="R1199" s="22" t="n">
        <v>0</v>
      </c>
      <c r="S1199" s="22" t="n">
        <v>0</v>
      </c>
      <c r="T1199" s="22" t="n">
        <v>0</v>
      </c>
      <c r="U1199" s="3">
        <f>IF(OR(N1199=1,Q1199=1),1,0)</f>
        <v/>
      </c>
      <c r="V1199" s="3">
        <f>IF(OR(T1199=1,P1199=1),1,0)</f>
        <v/>
      </c>
      <c r="W1199" s="3">
        <f>IF(OR(J1199=1),1,0)</f>
        <v/>
      </c>
      <c r="X1199" s="3">
        <f>IF(OR(I1199=1,H1199=1),1,0)</f>
        <v/>
      </c>
      <c r="Y1199" s="3">
        <f>IF(OR(G1199=1),1,0)</f>
        <v/>
      </c>
      <c r="Z1199" s="3">
        <f>IF(OR(F1199=1),1,0)</f>
        <v/>
      </c>
      <c r="AA1199" s="3">
        <f>IF(OR(M1199=1),1,0)</f>
        <v/>
      </c>
    </row>
    <row r="1200">
      <c r="A1200" s="22" t="inlineStr">
        <is>
          <t>051a6300dd8fb0d86062ba744ba40372c5ce4495</t>
        </is>
      </c>
      <c r="B1200" s="22" t="inlineStr">
        <is>
          <t>2026-06</t>
        </is>
      </c>
      <c r="C1200" s="22" t="inlineStr">
        <is>
          <t>Instagram</t>
        </is>
      </c>
      <c r="D1200" s="22" t="n">
        <v>0</v>
      </c>
      <c r="E1200" s="22" t="inlineStr">
        <is>
          <t>Instagram: Instagram: mazitundeednut</t>
        </is>
      </c>
      <c r="F1200" s="22" t="inlineStr">
        <is>
          <t>instagram:Instagram: mazitundeednut</t>
        </is>
      </c>
      <c r="G1200" s="22" t="n">
        <v>0.296</v>
      </c>
      <c r="H1200" s="22" t="n">
        <v>0</v>
      </c>
      <c r="I1200" s="22" t="n">
        <v>0</v>
      </c>
      <c r="J1200" s="22" t="n">
        <v>0</v>
      </c>
      <c r="K1200" s="22" t="n">
        <v>0</v>
      </c>
      <c r="L1200" s="22" t="n">
        <v>0</v>
      </c>
      <c r="M1200" s="22" t="n">
        <v>0</v>
      </c>
      <c r="N1200" s="22" t="n">
        <v>0</v>
      </c>
      <c r="O1200" s="22" t="n">
        <v>0</v>
      </c>
      <c r="P1200" s="22" t="n">
        <v>1</v>
      </c>
      <c r="Q1200" s="22" t="n">
        <v>0</v>
      </c>
      <c r="R1200" s="22" t="n">
        <v>0</v>
      </c>
      <c r="S1200" s="22" t="n">
        <v>0</v>
      </c>
      <c r="T1200" s="22" t="n">
        <v>0</v>
      </c>
      <c r="U1200" s="3">
        <f>IF(OR(N1200=1,Q1200=1),1,0)</f>
        <v/>
      </c>
      <c r="V1200" s="3">
        <f>IF(OR(T1200=1,P1200=1),1,0)</f>
        <v/>
      </c>
      <c r="W1200" s="3">
        <f>IF(OR(J1200=1),1,0)</f>
        <v/>
      </c>
      <c r="X1200" s="3">
        <f>IF(OR(I1200=1,H1200=1),1,0)</f>
        <v/>
      </c>
      <c r="Y1200" s="3">
        <f>IF(OR(G1200=1),1,0)</f>
        <v/>
      </c>
      <c r="Z1200" s="3">
        <f>IF(OR(F1200=1),1,0)</f>
        <v/>
      </c>
      <c r="AA1200" s="3">
        <f>IF(OR(M1200=1),1,0)</f>
        <v/>
      </c>
    </row>
    <row r="1201">
      <c r="A1201" s="22" t="inlineStr">
        <is>
          <t>26a80f38108c817f24e0c80fbb163e2f6bf3b30d</t>
        </is>
      </c>
      <c r="B1201" s="22" t="inlineStr">
        <is>
          <t>2026-06</t>
        </is>
      </c>
      <c r="C1201" s="22" t="inlineStr">
        <is>
          <t>Instagram</t>
        </is>
      </c>
      <c r="D1201" s="22" t="n">
        <v>0</v>
      </c>
      <c r="E1201" s="22" t="inlineStr">
        <is>
          <t>Instagram: Instagram: mazitundeednut</t>
        </is>
      </c>
      <c r="F1201" s="22" t="inlineStr">
        <is>
          <t>instagram:Instagram: mazitundeednut</t>
        </is>
      </c>
      <c r="G1201" s="22" t="n">
        <v>0.271</v>
      </c>
      <c r="H1201" s="22" t="n">
        <v>1</v>
      </c>
      <c r="I1201" s="22" t="n">
        <v>0</v>
      </c>
      <c r="J1201" s="22" t="n">
        <v>0</v>
      </c>
      <c r="K1201" s="22" t="n">
        <v>0</v>
      </c>
      <c r="L1201" s="22" t="n">
        <v>0</v>
      </c>
      <c r="M1201" s="22" t="n">
        <v>0</v>
      </c>
      <c r="N1201" s="22" t="n">
        <v>0</v>
      </c>
      <c r="O1201" s="22" t="n">
        <v>0</v>
      </c>
      <c r="P1201" s="22" t="n">
        <v>0</v>
      </c>
      <c r="Q1201" s="22" t="n">
        <v>0</v>
      </c>
      <c r="R1201" s="22" t="n">
        <v>0</v>
      </c>
      <c r="S1201" s="22" t="n">
        <v>0</v>
      </c>
      <c r="T1201" s="22" t="n">
        <v>0</v>
      </c>
      <c r="U1201" s="3">
        <f>IF(OR(N1201=1,Q1201=1),1,0)</f>
        <v/>
      </c>
      <c r="V1201" s="3">
        <f>IF(OR(T1201=1,P1201=1),1,0)</f>
        <v/>
      </c>
      <c r="W1201" s="3">
        <f>IF(OR(J1201=1),1,0)</f>
        <v/>
      </c>
      <c r="X1201" s="3">
        <f>IF(OR(I1201=1,H1201=1),1,0)</f>
        <v/>
      </c>
      <c r="Y1201" s="3">
        <f>IF(OR(G1201=1),1,0)</f>
        <v/>
      </c>
      <c r="Z1201" s="3">
        <f>IF(OR(F1201=1),1,0)</f>
        <v/>
      </c>
      <c r="AA1201" s="3">
        <f>IF(OR(M1201=1),1,0)</f>
        <v/>
      </c>
    </row>
    <row r="1202">
      <c r="A1202" s="22" t="inlineStr">
        <is>
          <t>78427c3b8a83b7bc0881b7b2287a1346a69899fb</t>
        </is>
      </c>
      <c r="B1202" s="22" t="inlineStr">
        <is>
          <t>2026-06</t>
        </is>
      </c>
      <c r="C1202" s="22" t="inlineStr">
        <is>
          <t>Instagram</t>
        </is>
      </c>
      <c r="D1202" s="22" t="n">
        <v>0</v>
      </c>
      <c r="E1202" s="22" t="inlineStr">
        <is>
          <t>Instagram: Instagram: mazitundeednut</t>
        </is>
      </c>
      <c r="F1202" s="22" t="inlineStr">
        <is>
          <t>instagram:Instagram: mazitundeednut</t>
        </is>
      </c>
      <c r="G1202" s="22" t="n">
        <v>0.383</v>
      </c>
      <c r="H1202" s="22" t="n">
        <v>0</v>
      </c>
      <c r="I1202" s="22" t="n">
        <v>0</v>
      </c>
      <c r="J1202" s="22" t="n">
        <v>0</v>
      </c>
      <c r="K1202" s="22" t="n">
        <v>0</v>
      </c>
      <c r="L1202" s="22" t="n">
        <v>0</v>
      </c>
      <c r="M1202" s="22" t="n">
        <v>1</v>
      </c>
      <c r="N1202" s="22" t="n">
        <v>0</v>
      </c>
      <c r="O1202" s="22" t="n">
        <v>0</v>
      </c>
      <c r="P1202" s="22" t="n">
        <v>0</v>
      </c>
      <c r="Q1202" s="22" t="n">
        <v>0</v>
      </c>
      <c r="R1202" s="22" t="n">
        <v>0</v>
      </c>
      <c r="S1202" s="22" t="n">
        <v>0</v>
      </c>
      <c r="T1202" s="22" t="n">
        <v>0</v>
      </c>
      <c r="U1202" s="3">
        <f>IF(OR(N1202=1,Q1202=1),1,0)</f>
        <v/>
      </c>
      <c r="V1202" s="3">
        <f>IF(OR(T1202=1,P1202=1),1,0)</f>
        <v/>
      </c>
      <c r="W1202" s="3">
        <f>IF(OR(J1202=1),1,0)</f>
        <v/>
      </c>
      <c r="X1202" s="3">
        <f>IF(OR(I1202=1,H1202=1),1,0)</f>
        <v/>
      </c>
      <c r="Y1202" s="3">
        <f>IF(OR(G1202=1),1,0)</f>
        <v/>
      </c>
      <c r="Z1202" s="3">
        <f>IF(OR(F1202=1),1,0)</f>
        <v/>
      </c>
      <c r="AA1202" s="3">
        <f>IF(OR(M1202=1),1,0)</f>
        <v/>
      </c>
    </row>
    <row r="1203">
      <c r="A1203" s="22" t="inlineStr">
        <is>
          <t>bcf06a35a39216b331839b1055f3e06aa4e6c2cf</t>
        </is>
      </c>
      <c r="B1203" s="22" t="inlineStr">
        <is>
          <t>2026-06</t>
        </is>
      </c>
      <c r="C1203" s="22" t="inlineStr">
        <is>
          <t>Instagram</t>
        </is>
      </c>
      <c r="D1203" s="22" t="n">
        <v>0</v>
      </c>
      <c r="E1203" s="22" t="inlineStr">
        <is>
          <t>Instagram: Instagram: mazitundeednut</t>
        </is>
      </c>
      <c r="F1203" s="22" t="inlineStr">
        <is>
          <t>instagram:Instagram: mazitundeednut</t>
        </is>
      </c>
      <c r="G1203" s="22" t="n">
        <v>-0.206</v>
      </c>
      <c r="H1203" s="22" t="n">
        <v>1</v>
      </c>
      <c r="I1203" s="22" t="n">
        <v>0</v>
      </c>
      <c r="J1203" s="22" t="n">
        <v>0</v>
      </c>
      <c r="K1203" s="22" t="n">
        <v>0</v>
      </c>
      <c r="L1203" s="22" t="n">
        <v>0</v>
      </c>
      <c r="M1203" s="22" t="n">
        <v>0</v>
      </c>
      <c r="N1203" s="22" t="n">
        <v>0</v>
      </c>
      <c r="O1203" s="22" t="n">
        <v>0</v>
      </c>
      <c r="P1203" s="22" t="n">
        <v>0</v>
      </c>
      <c r="Q1203" s="22" t="n">
        <v>0</v>
      </c>
      <c r="R1203" s="22" t="n">
        <v>0</v>
      </c>
      <c r="S1203" s="22" t="n">
        <v>0</v>
      </c>
      <c r="T1203" s="22" t="n">
        <v>0</v>
      </c>
      <c r="U1203" s="3">
        <f>IF(OR(N1203=1,Q1203=1),1,0)</f>
        <v/>
      </c>
      <c r="V1203" s="3">
        <f>IF(OR(T1203=1,P1203=1),1,0)</f>
        <v/>
      </c>
      <c r="W1203" s="3">
        <f>IF(OR(J1203=1),1,0)</f>
        <v/>
      </c>
      <c r="X1203" s="3">
        <f>IF(OR(I1203=1,H1203=1),1,0)</f>
        <v/>
      </c>
      <c r="Y1203" s="3">
        <f>IF(OR(G1203=1),1,0)</f>
        <v/>
      </c>
      <c r="Z1203" s="3">
        <f>IF(OR(F1203=1),1,0)</f>
        <v/>
      </c>
      <c r="AA1203" s="3">
        <f>IF(OR(M1203=1),1,0)</f>
        <v/>
      </c>
    </row>
    <row r="1204">
      <c r="A1204" s="22" t="inlineStr">
        <is>
          <t>f85dee86f9019e3e5c3b7cbab4c6bd016a7bc045</t>
        </is>
      </c>
      <c r="B1204" s="22" t="inlineStr">
        <is>
          <t>2026-06</t>
        </is>
      </c>
      <c r="C1204" s="22" t="inlineStr">
        <is>
          <t>Instagram</t>
        </is>
      </c>
      <c r="D1204" s="22" t="n">
        <v>0</v>
      </c>
      <c r="E1204" s="22" t="inlineStr">
        <is>
          <t>Instagram: Instagram: mazitundeednut</t>
        </is>
      </c>
      <c r="F1204" s="22" t="inlineStr">
        <is>
          <t>instagram:Instagram: mazitundeednut</t>
        </is>
      </c>
      <c r="G1204" s="22" t="n">
        <v>-0.128</v>
      </c>
      <c r="H1204" s="22" t="n">
        <v>0</v>
      </c>
      <c r="I1204" s="22" t="n">
        <v>0</v>
      </c>
      <c r="J1204" s="22" t="n">
        <v>0</v>
      </c>
      <c r="K1204" s="22" t="n">
        <v>0</v>
      </c>
      <c r="L1204" s="22" t="n">
        <v>0</v>
      </c>
      <c r="M1204" s="22" t="n">
        <v>1</v>
      </c>
      <c r="N1204" s="22" t="n">
        <v>0</v>
      </c>
      <c r="O1204" s="22" t="n">
        <v>0</v>
      </c>
      <c r="P1204" s="22" t="n">
        <v>0</v>
      </c>
      <c r="Q1204" s="22" t="n">
        <v>0</v>
      </c>
      <c r="R1204" s="22" t="n">
        <v>0</v>
      </c>
      <c r="S1204" s="22" t="n">
        <v>0</v>
      </c>
      <c r="T1204" s="22" t="n">
        <v>0</v>
      </c>
      <c r="U1204" s="3">
        <f>IF(OR(N1204=1,Q1204=1),1,0)</f>
        <v/>
      </c>
      <c r="V1204" s="3">
        <f>IF(OR(T1204=1,P1204=1),1,0)</f>
        <v/>
      </c>
      <c r="W1204" s="3">
        <f>IF(OR(J1204=1),1,0)</f>
        <v/>
      </c>
      <c r="X1204" s="3">
        <f>IF(OR(I1204=1,H1204=1),1,0)</f>
        <v/>
      </c>
      <c r="Y1204" s="3">
        <f>IF(OR(G1204=1),1,0)</f>
        <v/>
      </c>
      <c r="Z1204" s="3">
        <f>IF(OR(F1204=1),1,0)</f>
        <v/>
      </c>
      <c r="AA1204" s="3">
        <f>IF(OR(M1204=1),1,0)</f>
        <v/>
      </c>
    </row>
    <row r="1205">
      <c r="A1205" s="22" t="inlineStr">
        <is>
          <t>6aad3af26fc11ea06b16d79cdf3e3f79dbd19026</t>
        </is>
      </c>
      <c r="B1205" s="22" t="inlineStr">
        <is>
          <t>2026-06</t>
        </is>
      </c>
      <c r="C1205" s="22" t="inlineStr">
        <is>
          <t>Instagram</t>
        </is>
      </c>
      <c r="D1205" s="22" t="n">
        <v>0</v>
      </c>
      <c r="E1205" s="22" t="inlineStr">
        <is>
          <t>Instagram: Instagram: mazitundeednut</t>
        </is>
      </c>
      <c r="F1205" s="22" t="inlineStr">
        <is>
          <t>instagram:Instagram: mazitundeednut</t>
        </is>
      </c>
      <c r="G1205" s="22" t="n">
        <v>0.153</v>
      </c>
      <c r="H1205" s="22" t="n">
        <v>0</v>
      </c>
      <c r="I1205" s="22" t="n">
        <v>0</v>
      </c>
      <c r="J1205" s="22" t="n">
        <v>0</v>
      </c>
      <c r="K1205" s="22" t="n">
        <v>0</v>
      </c>
      <c r="L1205" s="22" t="n">
        <v>0</v>
      </c>
      <c r="M1205" s="22" t="n">
        <v>0</v>
      </c>
      <c r="N1205" s="22" t="n">
        <v>0</v>
      </c>
      <c r="O1205" s="22" t="n">
        <v>0</v>
      </c>
      <c r="P1205" s="22" t="n">
        <v>1</v>
      </c>
      <c r="Q1205" s="22" t="n">
        <v>0</v>
      </c>
      <c r="R1205" s="22" t="n">
        <v>0</v>
      </c>
      <c r="S1205" s="22" t="n">
        <v>0</v>
      </c>
      <c r="T1205" s="22" t="n">
        <v>0</v>
      </c>
      <c r="U1205" s="3">
        <f>IF(OR(N1205=1,Q1205=1),1,0)</f>
        <v/>
      </c>
      <c r="V1205" s="3">
        <f>IF(OR(T1205=1,P1205=1),1,0)</f>
        <v/>
      </c>
      <c r="W1205" s="3">
        <f>IF(OR(J1205=1),1,0)</f>
        <v/>
      </c>
      <c r="X1205" s="3">
        <f>IF(OR(I1205=1,H1205=1),1,0)</f>
        <v/>
      </c>
      <c r="Y1205" s="3">
        <f>IF(OR(G1205=1),1,0)</f>
        <v/>
      </c>
      <c r="Z1205" s="3">
        <f>IF(OR(F1205=1),1,0)</f>
        <v/>
      </c>
      <c r="AA1205" s="3">
        <f>IF(OR(M1205=1),1,0)</f>
        <v/>
      </c>
    </row>
    <row r="1206">
      <c r="A1206" s="22" t="inlineStr">
        <is>
          <t>7b4b8ac80ebfd0e894060a841a844aa58c314812</t>
        </is>
      </c>
      <c r="B1206" s="22" t="inlineStr">
        <is>
          <t>2026-06</t>
        </is>
      </c>
      <c r="C1206" s="22" t="inlineStr">
        <is>
          <t>Instagram</t>
        </is>
      </c>
      <c r="D1206" s="22" t="n">
        <v>0</v>
      </c>
      <c r="E1206" s="22" t="inlineStr">
        <is>
          <t>Instagram: Instagram: mazitundeednut</t>
        </is>
      </c>
      <c r="F1206" s="22" t="inlineStr">
        <is>
          <t>instagram:Instagram: mazitundeednut</t>
        </is>
      </c>
      <c r="G1206" s="22" t="n">
        <v>0.586</v>
      </c>
      <c r="H1206" s="22" t="n">
        <v>0</v>
      </c>
      <c r="I1206" s="22" t="n">
        <v>1</v>
      </c>
      <c r="J1206" s="22" t="n">
        <v>0</v>
      </c>
      <c r="K1206" s="22" t="n">
        <v>0</v>
      </c>
      <c r="L1206" s="22" t="n">
        <v>0</v>
      </c>
      <c r="M1206" s="22" t="n">
        <v>0</v>
      </c>
      <c r="N1206" s="22" t="n">
        <v>0</v>
      </c>
      <c r="O1206" s="22" t="n">
        <v>0</v>
      </c>
      <c r="P1206" s="22" t="n">
        <v>1</v>
      </c>
      <c r="Q1206" s="22" t="n">
        <v>0</v>
      </c>
      <c r="R1206" s="22" t="n">
        <v>0</v>
      </c>
      <c r="S1206" s="22" t="n">
        <v>0</v>
      </c>
      <c r="T1206" s="22" t="n">
        <v>0</v>
      </c>
      <c r="U1206" s="3">
        <f>IF(OR(N1206=1,Q1206=1),1,0)</f>
        <v/>
      </c>
      <c r="V1206" s="3">
        <f>IF(OR(T1206=1,P1206=1),1,0)</f>
        <v/>
      </c>
      <c r="W1206" s="3">
        <f>IF(OR(J1206=1),1,0)</f>
        <v/>
      </c>
      <c r="X1206" s="3">
        <f>IF(OR(I1206=1,H1206=1),1,0)</f>
        <v/>
      </c>
      <c r="Y1206" s="3">
        <f>IF(OR(G1206=1),1,0)</f>
        <v/>
      </c>
      <c r="Z1206" s="3">
        <f>IF(OR(F1206=1),1,0)</f>
        <v/>
      </c>
      <c r="AA1206" s="3">
        <f>IF(OR(M1206=1),1,0)</f>
        <v/>
      </c>
    </row>
    <row r="1207">
      <c r="A1207" s="22" t="inlineStr">
        <is>
          <t>26b4f9c0366ec8b922ba3f61898bb62f4dcbc22b</t>
        </is>
      </c>
      <c r="B1207" s="22" t="inlineStr">
        <is>
          <t>2026-06</t>
        </is>
      </c>
      <c r="C1207" s="22" t="inlineStr">
        <is>
          <t>Instagram</t>
        </is>
      </c>
      <c r="D1207" s="22" t="n">
        <v>0</v>
      </c>
      <c r="E1207" s="22" t="inlineStr">
        <is>
          <t>Instagram: Instagram: mazitundeednut</t>
        </is>
      </c>
      <c r="F1207" s="22" t="inlineStr">
        <is>
          <t>instagram:Instagram: mazitundeednut</t>
        </is>
      </c>
      <c r="G1207" s="22" t="n">
        <v>0.778</v>
      </c>
      <c r="H1207" s="22" t="n">
        <v>1</v>
      </c>
      <c r="I1207" s="22" t="n">
        <v>0</v>
      </c>
      <c r="J1207" s="22" t="n">
        <v>0</v>
      </c>
      <c r="K1207" s="22" t="n">
        <v>0</v>
      </c>
      <c r="L1207" s="22" t="n">
        <v>0</v>
      </c>
      <c r="M1207" s="22" t="n">
        <v>0</v>
      </c>
      <c r="N1207" s="22" t="n">
        <v>0</v>
      </c>
      <c r="O1207" s="22" t="n">
        <v>0</v>
      </c>
      <c r="P1207" s="22" t="n">
        <v>0</v>
      </c>
      <c r="Q1207" s="22" t="n">
        <v>0</v>
      </c>
      <c r="R1207" s="22" t="n">
        <v>0</v>
      </c>
      <c r="S1207" s="22" t="n">
        <v>0</v>
      </c>
      <c r="T1207" s="22" t="n">
        <v>0</v>
      </c>
      <c r="U1207" s="3">
        <f>IF(OR(N1207=1,Q1207=1),1,0)</f>
        <v/>
      </c>
      <c r="V1207" s="3">
        <f>IF(OR(T1207=1,P1207=1),1,0)</f>
        <v/>
      </c>
      <c r="W1207" s="3">
        <f>IF(OR(J1207=1),1,0)</f>
        <v/>
      </c>
      <c r="X1207" s="3">
        <f>IF(OR(I1207=1,H1207=1),1,0)</f>
        <v/>
      </c>
      <c r="Y1207" s="3">
        <f>IF(OR(G1207=1),1,0)</f>
        <v/>
      </c>
      <c r="Z1207" s="3">
        <f>IF(OR(F1207=1),1,0)</f>
        <v/>
      </c>
      <c r="AA1207" s="3">
        <f>IF(OR(M1207=1),1,0)</f>
        <v/>
      </c>
    </row>
    <row r="1208">
      <c r="A1208" s="22" t="inlineStr">
        <is>
          <t>b7b1e1179ce83fd041bc94b2898414f1e665ea8b</t>
        </is>
      </c>
      <c r="B1208" s="22" t="inlineStr">
        <is>
          <t>2026-06</t>
        </is>
      </c>
      <c r="C1208" s="22" t="inlineStr">
        <is>
          <t>Instagram</t>
        </is>
      </c>
      <c r="D1208" s="22" t="n">
        <v>0</v>
      </c>
      <c r="E1208" s="22" t="inlineStr">
        <is>
          <t>Instagram: Instagram: mazitundeednut</t>
        </is>
      </c>
      <c r="F1208" s="22" t="inlineStr">
        <is>
          <t>instagram:Instagram: mazitundeednut</t>
        </is>
      </c>
      <c r="G1208" s="22" t="n">
        <v>0</v>
      </c>
      <c r="H1208" s="22" t="n">
        <v>0</v>
      </c>
      <c r="I1208" s="22" t="n">
        <v>0</v>
      </c>
      <c r="J1208" s="22" t="n">
        <v>0</v>
      </c>
      <c r="K1208" s="22" t="n">
        <v>0</v>
      </c>
      <c r="L1208" s="22" t="n">
        <v>0</v>
      </c>
      <c r="M1208" s="22" t="n">
        <v>0</v>
      </c>
      <c r="N1208" s="22" t="n">
        <v>0</v>
      </c>
      <c r="O1208" s="22" t="n">
        <v>0</v>
      </c>
      <c r="P1208" s="22" t="n">
        <v>1</v>
      </c>
      <c r="Q1208" s="22" t="n">
        <v>0</v>
      </c>
      <c r="R1208" s="22" t="n">
        <v>0</v>
      </c>
      <c r="S1208" s="22" t="n">
        <v>0</v>
      </c>
      <c r="T1208" s="22" t="n">
        <v>0</v>
      </c>
      <c r="U1208" s="3">
        <f>IF(OR(N1208=1,Q1208=1),1,0)</f>
        <v/>
      </c>
      <c r="V1208" s="3">
        <f>IF(OR(T1208=1,P1208=1),1,0)</f>
        <v/>
      </c>
      <c r="W1208" s="3">
        <f>IF(OR(J1208=1),1,0)</f>
        <v/>
      </c>
      <c r="X1208" s="3">
        <f>IF(OR(I1208=1,H1208=1),1,0)</f>
        <v/>
      </c>
      <c r="Y1208" s="3">
        <f>IF(OR(G1208=1),1,0)</f>
        <v/>
      </c>
      <c r="Z1208" s="3">
        <f>IF(OR(F1208=1),1,0)</f>
        <v/>
      </c>
      <c r="AA1208" s="3">
        <f>IF(OR(M1208=1),1,0)</f>
        <v/>
      </c>
    </row>
    <row r="1209">
      <c r="A1209" s="22" t="inlineStr">
        <is>
          <t>da035e581f574b6a4ffe5f1e9c347a79083010ae</t>
        </is>
      </c>
      <c r="B1209" s="22" t="inlineStr">
        <is>
          <t>2026-06</t>
        </is>
      </c>
      <c r="C1209" s="22" t="inlineStr">
        <is>
          <t>Instagram</t>
        </is>
      </c>
      <c r="D1209" s="22" t="n">
        <v>0</v>
      </c>
      <c r="E1209" s="22" t="inlineStr">
        <is>
          <t>Instagram: Instagram: mazitundeednut</t>
        </is>
      </c>
      <c r="F1209" s="22" t="inlineStr">
        <is>
          <t>instagram:Instagram: mazitundeednut</t>
        </is>
      </c>
      <c r="G1209" s="22" t="n">
        <v>-0.077</v>
      </c>
      <c r="H1209" s="22" t="n">
        <v>0</v>
      </c>
      <c r="I1209" s="22" t="n">
        <v>0</v>
      </c>
      <c r="J1209" s="22" t="n">
        <v>0</v>
      </c>
      <c r="K1209" s="22" t="n">
        <v>0</v>
      </c>
      <c r="L1209" s="22" t="n">
        <v>1</v>
      </c>
      <c r="M1209" s="22" t="n">
        <v>0</v>
      </c>
      <c r="N1209" s="22" t="n">
        <v>0</v>
      </c>
      <c r="O1209" s="22" t="n">
        <v>1</v>
      </c>
      <c r="P1209" s="22" t="n">
        <v>0</v>
      </c>
      <c r="Q1209" s="22" t="n">
        <v>0</v>
      </c>
      <c r="R1209" s="22" t="n">
        <v>0</v>
      </c>
      <c r="S1209" s="22" t="n">
        <v>0</v>
      </c>
      <c r="T1209" s="22" t="n">
        <v>0</v>
      </c>
      <c r="U1209" s="3">
        <f>IF(OR(N1209=1,Q1209=1),1,0)</f>
        <v/>
      </c>
      <c r="V1209" s="3">
        <f>IF(OR(T1209=1,P1209=1),1,0)</f>
        <v/>
      </c>
      <c r="W1209" s="3">
        <f>IF(OR(J1209=1),1,0)</f>
        <v/>
      </c>
      <c r="X1209" s="3">
        <f>IF(OR(I1209=1,H1209=1),1,0)</f>
        <v/>
      </c>
      <c r="Y1209" s="3">
        <f>IF(OR(G1209=1),1,0)</f>
        <v/>
      </c>
      <c r="Z1209" s="3">
        <f>IF(OR(F1209=1),1,0)</f>
        <v/>
      </c>
      <c r="AA1209" s="3">
        <f>IF(OR(M1209=1),1,0)</f>
        <v/>
      </c>
    </row>
    <row r="1210">
      <c r="A1210" s="22" t="inlineStr">
        <is>
          <t>52fe0c44a5bc1da853dab3864dc3e88bddca46f9</t>
        </is>
      </c>
      <c r="B1210" s="22" t="inlineStr">
        <is>
          <t>2026-06</t>
        </is>
      </c>
      <c r="C1210" s="22" t="inlineStr">
        <is>
          <t>Instagram</t>
        </is>
      </c>
      <c r="D1210" s="22" t="n">
        <v>0</v>
      </c>
      <c r="E1210" s="22" t="inlineStr">
        <is>
          <t>Instagram: Instagram: mazitundeednut</t>
        </is>
      </c>
      <c r="F1210" s="22" t="inlineStr">
        <is>
          <t>instagram:Instagram: mazitundeednut</t>
        </is>
      </c>
      <c r="G1210" s="22" t="n">
        <v>0.298</v>
      </c>
      <c r="H1210" s="22" t="n">
        <v>0</v>
      </c>
      <c r="I1210" s="22" t="n">
        <v>0</v>
      </c>
      <c r="J1210" s="22" t="n">
        <v>0</v>
      </c>
      <c r="K1210" s="22" t="n">
        <v>0</v>
      </c>
      <c r="L1210" s="22" t="n">
        <v>0</v>
      </c>
      <c r="M1210" s="22" t="n">
        <v>0</v>
      </c>
      <c r="N1210" s="22" t="n">
        <v>0</v>
      </c>
      <c r="O1210" s="22" t="n">
        <v>0</v>
      </c>
      <c r="P1210" s="22" t="n">
        <v>1</v>
      </c>
      <c r="Q1210" s="22" t="n">
        <v>0</v>
      </c>
      <c r="R1210" s="22" t="n">
        <v>0</v>
      </c>
      <c r="S1210" s="22" t="n">
        <v>0</v>
      </c>
      <c r="T1210" s="22" t="n">
        <v>0</v>
      </c>
      <c r="U1210" s="3">
        <f>IF(OR(N1210=1,Q1210=1),1,0)</f>
        <v/>
      </c>
      <c r="V1210" s="3">
        <f>IF(OR(T1210=1,P1210=1),1,0)</f>
        <v/>
      </c>
      <c r="W1210" s="3">
        <f>IF(OR(J1210=1),1,0)</f>
        <v/>
      </c>
      <c r="X1210" s="3">
        <f>IF(OR(I1210=1,H1210=1),1,0)</f>
        <v/>
      </c>
      <c r="Y1210" s="3">
        <f>IF(OR(G1210=1),1,0)</f>
        <v/>
      </c>
      <c r="Z1210" s="3">
        <f>IF(OR(F1210=1),1,0)</f>
        <v/>
      </c>
      <c r="AA1210" s="3">
        <f>IF(OR(M1210=1),1,0)</f>
        <v/>
      </c>
    </row>
    <row r="1211">
      <c r="A1211" s="22" t="inlineStr">
        <is>
          <t>63a10abfa55cec0d01bc943dd783d443d9f5b51d</t>
        </is>
      </c>
      <c r="B1211" s="22" t="inlineStr">
        <is>
          <t>2026-06</t>
        </is>
      </c>
      <c r="C1211" s="22" t="inlineStr">
        <is>
          <t>Instagram</t>
        </is>
      </c>
      <c r="D1211" s="22" t="n">
        <v>0</v>
      </c>
      <c r="E1211" s="22" t="inlineStr">
        <is>
          <t>Instagram: Instagram: mazitundeednut</t>
        </is>
      </c>
      <c r="F1211" s="22" t="inlineStr">
        <is>
          <t>instagram:Instagram: mazitundeednut</t>
        </is>
      </c>
      <c r="G1211" s="22" t="n">
        <v>-0.128</v>
      </c>
      <c r="H1211" s="22" t="n">
        <v>1</v>
      </c>
      <c r="I1211" s="22" t="n">
        <v>0</v>
      </c>
      <c r="J1211" s="22" t="n">
        <v>0</v>
      </c>
      <c r="K1211" s="22" t="n">
        <v>0</v>
      </c>
      <c r="L1211" s="22" t="n">
        <v>0</v>
      </c>
      <c r="M1211" s="22" t="n">
        <v>0</v>
      </c>
      <c r="N1211" s="22" t="n">
        <v>0</v>
      </c>
      <c r="O1211" s="22" t="n">
        <v>0</v>
      </c>
      <c r="P1211" s="22" t="n">
        <v>0</v>
      </c>
      <c r="Q1211" s="22" t="n">
        <v>0</v>
      </c>
      <c r="R1211" s="22" t="n">
        <v>0</v>
      </c>
      <c r="S1211" s="22" t="n">
        <v>0</v>
      </c>
      <c r="T1211" s="22" t="n">
        <v>0</v>
      </c>
      <c r="U1211" s="3">
        <f>IF(OR(N1211=1,Q1211=1),1,0)</f>
        <v/>
      </c>
      <c r="V1211" s="3">
        <f>IF(OR(T1211=1,P1211=1),1,0)</f>
        <v/>
      </c>
      <c r="W1211" s="3">
        <f>IF(OR(J1211=1),1,0)</f>
        <v/>
      </c>
      <c r="X1211" s="3">
        <f>IF(OR(I1211=1,H1211=1),1,0)</f>
        <v/>
      </c>
      <c r="Y1211" s="3">
        <f>IF(OR(G1211=1),1,0)</f>
        <v/>
      </c>
      <c r="Z1211" s="3">
        <f>IF(OR(F1211=1),1,0)</f>
        <v/>
      </c>
      <c r="AA1211" s="3">
        <f>IF(OR(M1211=1),1,0)</f>
        <v/>
      </c>
    </row>
    <row r="1212">
      <c r="A1212" s="22" t="inlineStr">
        <is>
          <t>466b3959adaf7324adb4f872e75f7a02a423c860</t>
        </is>
      </c>
      <c r="B1212" s="22" t="inlineStr">
        <is>
          <t>2026-06</t>
        </is>
      </c>
      <c r="C1212" s="22" t="inlineStr">
        <is>
          <t>Instagram</t>
        </is>
      </c>
      <c r="D1212" s="22" t="n">
        <v>0</v>
      </c>
      <c r="E1212" s="22" t="inlineStr">
        <is>
          <t>Instagram: Instagram: mazitundeednut</t>
        </is>
      </c>
      <c r="F1212" s="22" t="inlineStr">
        <is>
          <t>instagram:Instagram: mazitundeednut</t>
        </is>
      </c>
      <c r="G1212" s="22" t="n">
        <v>-0.773</v>
      </c>
      <c r="H1212" s="22" t="n">
        <v>0</v>
      </c>
      <c r="I1212" s="22" t="n">
        <v>0</v>
      </c>
      <c r="J1212" s="22" t="n">
        <v>0</v>
      </c>
      <c r="K1212" s="22" t="n">
        <v>0</v>
      </c>
      <c r="L1212" s="22" t="n">
        <v>0</v>
      </c>
      <c r="M1212" s="22" t="n">
        <v>0</v>
      </c>
      <c r="N1212" s="22" t="n">
        <v>0</v>
      </c>
      <c r="O1212" s="22" t="n">
        <v>0</v>
      </c>
      <c r="P1212" s="22" t="n">
        <v>1</v>
      </c>
      <c r="Q1212" s="22" t="n">
        <v>0</v>
      </c>
      <c r="R1212" s="22" t="n">
        <v>0</v>
      </c>
      <c r="S1212" s="22" t="n">
        <v>0</v>
      </c>
      <c r="T1212" s="22" t="n">
        <v>0</v>
      </c>
      <c r="U1212" s="3">
        <f>IF(OR(N1212=1,Q1212=1),1,0)</f>
        <v/>
      </c>
      <c r="V1212" s="3">
        <f>IF(OR(T1212=1,P1212=1),1,0)</f>
        <v/>
      </c>
      <c r="W1212" s="3">
        <f>IF(OR(J1212=1),1,0)</f>
        <v/>
      </c>
      <c r="X1212" s="3">
        <f>IF(OR(I1212=1,H1212=1),1,0)</f>
        <v/>
      </c>
      <c r="Y1212" s="3">
        <f>IF(OR(G1212=1),1,0)</f>
        <v/>
      </c>
      <c r="Z1212" s="3">
        <f>IF(OR(F1212=1),1,0)</f>
        <v/>
      </c>
      <c r="AA1212" s="3">
        <f>IF(OR(M1212=1),1,0)</f>
        <v/>
      </c>
    </row>
    <row r="1213">
      <c r="A1213" s="22" t="inlineStr">
        <is>
          <t>99c5384f2c49f75587120faee7225a16cf9b2502</t>
        </is>
      </c>
      <c r="B1213" s="22" t="inlineStr">
        <is>
          <t>2026-06</t>
        </is>
      </c>
      <c r="C1213" s="22" t="inlineStr">
        <is>
          <t>Instagram</t>
        </is>
      </c>
      <c r="D1213" s="22" t="n">
        <v>0</v>
      </c>
      <c r="E1213" s="22" t="inlineStr">
        <is>
          <t>Instagram: Instagram: mazitundeednut</t>
        </is>
      </c>
      <c r="F1213" s="22" t="inlineStr">
        <is>
          <t>instagram:Instagram: mazitundeednut</t>
        </is>
      </c>
      <c r="G1213" s="22" t="n">
        <v>-0.649</v>
      </c>
      <c r="H1213" s="22" t="n">
        <v>0</v>
      </c>
      <c r="I1213" s="22" t="n">
        <v>0</v>
      </c>
      <c r="J1213" s="22" t="n">
        <v>0</v>
      </c>
      <c r="K1213" s="22" t="n">
        <v>0</v>
      </c>
      <c r="L1213" s="22" t="n">
        <v>0</v>
      </c>
      <c r="M1213" s="22" t="n">
        <v>1</v>
      </c>
      <c r="N1213" s="22" t="n">
        <v>0</v>
      </c>
      <c r="O1213" s="22" t="n">
        <v>0</v>
      </c>
      <c r="P1213" s="22" t="n">
        <v>0</v>
      </c>
      <c r="Q1213" s="22" t="n">
        <v>0</v>
      </c>
      <c r="R1213" s="22" t="n">
        <v>0</v>
      </c>
      <c r="S1213" s="22" t="n">
        <v>0</v>
      </c>
      <c r="T1213" s="22" t="n">
        <v>0</v>
      </c>
      <c r="U1213" s="3">
        <f>IF(OR(N1213=1,Q1213=1),1,0)</f>
        <v/>
      </c>
      <c r="V1213" s="3">
        <f>IF(OR(T1213=1,P1213=1),1,0)</f>
        <v/>
      </c>
      <c r="W1213" s="3">
        <f>IF(OR(J1213=1),1,0)</f>
        <v/>
      </c>
      <c r="X1213" s="3">
        <f>IF(OR(I1213=1,H1213=1),1,0)</f>
        <v/>
      </c>
      <c r="Y1213" s="3">
        <f>IF(OR(G1213=1),1,0)</f>
        <v/>
      </c>
      <c r="Z1213" s="3">
        <f>IF(OR(F1213=1),1,0)</f>
        <v/>
      </c>
      <c r="AA1213" s="3">
        <f>IF(OR(M1213=1),1,0)</f>
        <v/>
      </c>
    </row>
    <row r="1214">
      <c r="A1214" s="22" t="inlineStr">
        <is>
          <t>cd4f0919f7b7a8762221dc54d94ccadcc49f1f9f</t>
        </is>
      </c>
      <c r="B1214" s="22" t="inlineStr">
        <is>
          <t>2026-06</t>
        </is>
      </c>
      <c r="C1214" s="22" t="inlineStr">
        <is>
          <t>Instagram</t>
        </is>
      </c>
      <c r="D1214" s="22" t="n">
        <v>0</v>
      </c>
      <c r="E1214" s="22" t="inlineStr">
        <is>
          <t>Instagram: Instagram: mazitundeednut</t>
        </is>
      </c>
      <c r="F1214" s="22" t="inlineStr">
        <is>
          <t>instagram:Instagram: mazitundeednut</t>
        </is>
      </c>
      <c r="G1214" s="22" t="n">
        <v>0</v>
      </c>
      <c r="H1214" s="22" t="n">
        <v>0</v>
      </c>
      <c r="I1214" s="22" t="n">
        <v>0</v>
      </c>
      <c r="J1214" s="22" t="n">
        <v>0</v>
      </c>
      <c r="K1214" s="22" t="n">
        <v>0</v>
      </c>
      <c r="L1214" s="22" t="n">
        <v>0</v>
      </c>
      <c r="M1214" s="22" t="n">
        <v>0</v>
      </c>
      <c r="N1214" s="22" t="n">
        <v>0</v>
      </c>
      <c r="O1214" s="22" t="n">
        <v>0</v>
      </c>
      <c r="P1214" s="22" t="n">
        <v>1</v>
      </c>
      <c r="Q1214" s="22" t="n">
        <v>0</v>
      </c>
      <c r="R1214" s="22" t="n">
        <v>0</v>
      </c>
      <c r="S1214" s="22" t="n">
        <v>0</v>
      </c>
      <c r="T1214" s="22" t="n">
        <v>0</v>
      </c>
      <c r="U1214" s="3">
        <f>IF(OR(N1214=1,Q1214=1),1,0)</f>
        <v/>
      </c>
      <c r="V1214" s="3">
        <f>IF(OR(T1214=1,P1214=1),1,0)</f>
        <v/>
      </c>
      <c r="W1214" s="3">
        <f>IF(OR(J1214=1),1,0)</f>
        <v/>
      </c>
      <c r="X1214" s="3">
        <f>IF(OR(I1214=1,H1214=1),1,0)</f>
        <v/>
      </c>
      <c r="Y1214" s="3">
        <f>IF(OR(G1214=1),1,0)</f>
        <v/>
      </c>
      <c r="Z1214" s="3">
        <f>IF(OR(F1214=1),1,0)</f>
        <v/>
      </c>
      <c r="AA1214" s="3">
        <f>IF(OR(M1214=1),1,0)</f>
        <v/>
      </c>
    </row>
    <row r="1215">
      <c r="A1215" s="22" t="inlineStr">
        <is>
          <t>57c88e976f44a6c9a29d5246a4be77af7cb8b555</t>
        </is>
      </c>
      <c r="B1215" s="22" t="inlineStr">
        <is>
          <t>2026-06</t>
        </is>
      </c>
      <c r="C1215" s="22" t="inlineStr">
        <is>
          <t>Instagram</t>
        </is>
      </c>
      <c r="D1215" s="22" t="n">
        <v>0</v>
      </c>
      <c r="E1215" s="22" t="inlineStr">
        <is>
          <t>Instagram: Instagram: mazitundeednut</t>
        </is>
      </c>
      <c r="F1215" s="22" t="inlineStr">
        <is>
          <t>instagram:Instagram: mazitundeednut</t>
        </is>
      </c>
      <c r="G1215" s="22" t="n">
        <v>-0.173</v>
      </c>
      <c r="H1215" s="22" t="n">
        <v>0</v>
      </c>
      <c r="I1215" s="22" t="n">
        <v>0</v>
      </c>
      <c r="J1215" s="22" t="n">
        <v>0</v>
      </c>
      <c r="K1215" s="22" t="n">
        <v>0</v>
      </c>
      <c r="L1215" s="22" t="n">
        <v>0</v>
      </c>
      <c r="M1215" s="22" t="n">
        <v>0</v>
      </c>
      <c r="N1215" s="22" t="n">
        <v>0</v>
      </c>
      <c r="O1215" s="22" t="n">
        <v>1</v>
      </c>
      <c r="P1215" s="22" t="n">
        <v>0</v>
      </c>
      <c r="Q1215" s="22" t="n">
        <v>0</v>
      </c>
      <c r="R1215" s="22" t="n">
        <v>0</v>
      </c>
      <c r="S1215" s="22" t="n">
        <v>0</v>
      </c>
      <c r="T1215" s="22" t="n">
        <v>0</v>
      </c>
      <c r="U1215" s="3">
        <f>IF(OR(N1215=1,Q1215=1),1,0)</f>
        <v/>
      </c>
      <c r="V1215" s="3">
        <f>IF(OR(T1215=1,P1215=1),1,0)</f>
        <v/>
      </c>
      <c r="W1215" s="3">
        <f>IF(OR(J1215=1),1,0)</f>
        <v/>
      </c>
      <c r="X1215" s="3">
        <f>IF(OR(I1215=1,H1215=1),1,0)</f>
        <v/>
      </c>
      <c r="Y1215" s="3">
        <f>IF(OR(G1215=1),1,0)</f>
        <v/>
      </c>
      <c r="Z1215" s="3">
        <f>IF(OR(F1215=1),1,0)</f>
        <v/>
      </c>
      <c r="AA1215" s="3">
        <f>IF(OR(M1215=1),1,0)</f>
        <v/>
      </c>
    </row>
    <row r="1216">
      <c r="A1216" s="22" t="inlineStr">
        <is>
          <t>ac6df2ef9e3a8646624216b61f20dd0b37dbe347</t>
        </is>
      </c>
      <c r="B1216" s="22" t="inlineStr">
        <is>
          <t>2026-06</t>
        </is>
      </c>
      <c r="C1216" s="22" t="inlineStr">
        <is>
          <t>Instagram</t>
        </is>
      </c>
      <c r="D1216" s="22" t="n">
        <v>0</v>
      </c>
      <c r="E1216" s="22" t="inlineStr">
        <is>
          <t>Instagram: Instagram: mazitundeednut</t>
        </is>
      </c>
      <c r="F1216" s="22" t="inlineStr">
        <is>
          <t>instagram:Instagram: mazitundeednut</t>
        </is>
      </c>
      <c r="G1216" s="22" t="n">
        <v>0.764</v>
      </c>
      <c r="H1216" s="22" t="n">
        <v>0</v>
      </c>
      <c r="I1216" s="22" t="n">
        <v>0</v>
      </c>
      <c r="J1216" s="22" t="n">
        <v>0</v>
      </c>
      <c r="K1216" s="22" t="n">
        <v>0</v>
      </c>
      <c r="L1216" s="22" t="n">
        <v>0</v>
      </c>
      <c r="M1216" s="22" t="n">
        <v>0</v>
      </c>
      <c r="N1216" s="22" t="n">
        <v>0</v>
      </c>
      <c r="O1216" s="22" t="n">
        <v>1</v>
      </c>
      <c r="P1216" s="22" t="n">
        <v>0</v>
      </c>
      <c r="Q1216" s="22" t="n">
        <v>0</v>
      </c>
      <c r="R1216" s="22" t="n">
        <v>0</v>
      </c>
      <c r="S1216" s="22" t="n">
        <v>0</v>
      </c>
      <c r="T1216" s="22" t="n">
        <v>0</v>
      </c>
      <c r="U1216" s="3">
        <f>IF(OR(N1216=1,Q1216=1),1,0)</f>
        <v/>
      </c>
      <c r="V1216" s="3">
        <f>IF(OR(T1216=1,P1216=1),1,0)</f>
        <v/>
      </c>
      <c r="W1216" s="3">
        <f>IF(OR(J1216=1),1,0)</f>
        <v/>
      </c>
      <c r="X1216" s="3">
        <f>IF(OR(I1216=1,H1216=1),1,0)</f>
        <v/>
      </c>
      <c r="Y1216" s="3">
        <f>IF(OR(G1216=1),1,0)</f>
        <v/>
      </c>
      <c r="Z1216" s="3">
        <f>IF(OR(F1216=1),1,0)</f>
        <v/>
      </c>
      <c r="AA1216" s="3">
        <f>IF(OR(M1216=1),1,0)</f>
        <v/>
      </c>
    </row>
    <row r="1217">
      <c r="A1217" s="22" t="inlineStr">
        <is>
          <t>c4d1a52cbb7f5c1cbfd60371adce03140083f582</t>
        </is>
      </c>
      <c r="B1217" s="22" t="inlineStr">
        <is>
          <t>2026-06</t>
        </is>
      </c>
      <c r="C1217" s="22" t="inlineStr">
        <is>
          <t>Instagram</t>
        </is>
      </c>
      <c r="D1217" s="22" t="n">
        <v>0</v>
      </c>
      <c r="E1217" s="22" t="inlineStr">
        <is>
          <t>Instagram: Instagram: mazitundeednut</t>
        </is>
      </c>
      <c r="F1217" s="22" t="inlineStr">
        <is>
          <t>instagram:Instagram: mazitundeednut</t>
        </is>
      </c>
      <c r="G1217" s="22" t="n">
        <v>-0.337</v>
      </c>
      <c r="H1217" s="22" t="n">
        <v>0</v>
      </c>
      <c r="I1217" s="22" t="n">
        <v>0</v>
      </c>
      <c r="J1217" s="22" t="n">
        <v>0</v>
      </c>
      <c r="K1217" s="22" t="n">
        <v>0</v>
      </c>
      <c r="L1217" s="22" t="n">
        <v>0</v>
      </c>
      <c r="M1217" s="22" t="n">
        <v>0</v>
      </c>
      <c r="N1217" s="22" t="n">
        <v>0</v>
      </c>
      <c r="O1217" s="22" t="n">
        <v>0</v>
      </c>
      <c r="P1217" s="22" t="n">
        <v>1</v>
      </c>
      <c r="Q1217" s="22" t="n">
        <v>0</v>
      </c>
      <c r="R1217" s="22" t="n">
        <v>0</v>
      </c>
      <c r="S1217" s="22" t="n">
        <v>0</v>
      </c>
      <c r="T1217" s="22" t="n">
        <v>0</v>
      </c>
      <c r="U1217" s="3">
        <f>IF(OR(N1217=1,Q1217=1),1,0)</f>
        <v/>
      </c>
      <c r="V1217" s="3">
        <f>IF(OR(T1217=1,P1217=1),1,0)</f>
        <v/>
      </c>
      <c r="W1217" s="3">
        <f>IF(OR(J1217=1),1,0)</f>
        <v/>
      </c>
      <c r="X1217" s="3">
        <f>IF(OR(I1217=1,H1217=1),1,0)</f>
        <v/>
      </c>
      <c r="Y1217" s="3">
        <f>IF(OR(G1217=1),1,0)</f>
        <v/>
      </c>
      <c r="Z1217" s="3">
        <f>IF(OR(F1217=1),1,0)</f>
        <v/>
      </c>
      <c r="AA1217" s="3">
        <f>IF(OR(M1217=1),1,0)</f>
        <v/>
      </c>
    </row>
    <row r="1218">
      <c r="A1218" s="22" t="inlineStr">
        <is>
          <t>1744b804d7ea91800268ccfb137ad84217227aaa</t>
        </is>
      </c>
      <c r="B1218" s="22" t="inlineStr">
        <is>
          <t>2026-06</t>
        </is>
      </c>
      <c r="C1218" s="22" t="inlineStr">
        <is>
          <t>Instagram</t>
        </is>
      </c>
      <c r="D1218" s="22" t="n">
        <v>0</v>
      </c>
      <c r="E1218" s="22" t="inlineStr">
        <is>
          <t>Instagram: Instagram: mazitundeednut</t>
        </is>
      </c>
      <c r="F1218" s="22" t="inlineStr">
        <is>
          <t>instagram:Instagram: mazitundeednut</t>
        </is>
      </c>
      <c r="G1218" s="22" t="n">
        <v>0.077</v>
      </c>
      <c r="H1218" s="22" t="n">
        <v>0</v>
      </c>
      <c r="I1218" s="22" t="n">
        <v>0</v>
      </c>
      <c r="J1218" s="22" t="n">
        <v>0</v>
      </c>
      <c r="K1218" s="22" t="n">
        <v>0</v>
      </c>
      <c r="L1218" s="22" t="n">
        <v>0</v>
      </c>
      <c r="M1218" s="22" t="n">
        <v>0</v>
      </c>
      <c r="N1218" s="22" t="n">
        <v>0</v>
      </c>
      <c r="O1218" s="22" t="n">
        <v>0</v>
      </c>
      <c r="P1218" s="22" t="n">
        <v>1</v>
      </c>
      <c r="Q1218" s="22" t="n">
        <v>0</v>
      </c>
      <c r="R1218" s="22" t="n">
        <v>0</v>
      </c>
      <c r="S1218" s="22" t="n">
        <v>0</v>
      </c>
      <c r="T1218" s="22" t="n">
        <v>0</v>
      </c>
      <c r="U1218" s="3">
        <f>IF(OR(N1218=1,Q1218=1),1,0)</f>
        <v/>
      </c>
      <c r="V1218" s="3">
        <f>IF(OR(T1218=1,P1218=1),1,0)</f>
        <v/>
      </c>
      <c r="W1218" s="3">
        <f>IF(OR(J1218=1),1,0)</f>
        <v/>
      </c>
      <c r="X1218" s="3">
        <f>IF(OR(I1218=1,H1218=1),1,0)</f>
        <v/>
      </c>
      <c r="Y1218" s="3">
        <f>IF(OR(G1218=1),1,0)</f>
        <v/>
      </c>
      <c r="Z1218" s="3">
        <f>IF(OR(F1218=1),1,0)</f>
        <v/>
      </c>
      <c r="AA1218" s="3">
        <f>IF(OR(M1218=1),1,0)</f>
        <v/>
      </c>
    </row>
    <row r="1219">
      <c r="A1219" s="22" t="inlineStr">
        <is>
          <t>0c143730a307f7c3ae40f98156802b2a0c9fa0bc</t>
        </is>
      </c>
      <c r="B1219" s="22" t="inlineStr">
        <is>
          <t>2026-07</t>
        </is>
      </c>
      <c r="C1219" s="22" t="inlineStr">
        <is>
          <t>Instagram</t>
        </is>
      </c>
      <c r="D1219" s="22" t="n">
        <v>0</v>
      </c>
      <c r="E1219" s="22" t="inlineStr">
        <is>
          <t>Instagram: Instagram: mazitundeednut</t>
        </is>
      </c>
      <c r="F1219" s="22" t="inlineStr">
        <is>
          <t>instagram:Instagram: mazitundeednut</t>
        </is>
      </c>
      <c r="G1219" s="22" t="n">
        <v>-0.153</v>
      </c>
      <c r="H1219" s="22" t="n">
        <v>1</v>
      </c>
      <c r="I1219" s="22" t="n">
        <v>0</v>
      </c>
      <c r="J1219" s="22" t="n">
        <v>0</v>
      </c>
      <c r="K1219" s="22" t="n">
        <v>0</v>
      </c>
      <c r="L1219" s="22" t="n">
        <v>0</v>
      </c>
      <c r="M1219" s="22" t="n">
        <v>0</v>
      </c>
      <c r="N1219" s="22" t="n">
        <v>1</v>
      </c>
      <c r="O1219" s="22" t="n">
        <v>0</v>
      </c>
      <c r="P1219" s="22" t="n">
        <v>0</v>
      </c>
      <c r="Q1219" s="22" t="n">
        <v>0</v>
      </c>
      <c r="R1219" s="22" t="n">
        <v>0</v>
      </c>
      <c r="S1219" s="22" t="n">
        <v>0</v>
      </c>
      <c r="T1219" s="22" t="n">
        <v>0</v>
      </c>
      <c r="U1219" s="3">
        <f>IF(OR(N1219=1,Q1219=1),1,0)</f>
        <v/>
      </c>
      <c r="V1219" s="3">
        <f>IF(OR(T1219=1,P1219=1),1,0)</f>
        <v/>
      </c>
      <c r="W1219" s="3">
        <f>IF(OR(J1219=1),1,0)</f>
        <v/>
      </c>
      <c r="X1219" s="3">
        <f>IF(OR(I1219=1,H1219=1),1,0)</f>
        <v/>
      </c>
      <c r="Y1219" s="3">
        <f>IF(OR(G1219=1),1,0)</f>
        <v/>
      </c>
      <c r="Z1219" s="3">
        <f>IF(OR(F1219=1),1,0)</f>
        <v/>
      </c>
      <c r="AA1219" s="3">
        <f>IF(OR(M1219=1),1,0)</f>
        <v/>
      </c>
    </row>
    <row r="1220">
      <c r="A1220" s="22" t="inlineStr">
        <is>
          <t>df7b85c98ff06d0191284080ac5e1b59f7af33ff</t>
        </is>
      </c>
      <c r="B1220" s="22" t="inlineStr">
        <is>
          <t>2026-06</t>
        </is>
      </c>
      <c r="C1220" s="22" t="inlineStr">
        <is>
          <t>Instagram</t>
        </is>
      </c>
      <c r="D1220" s="22" t="n">
        <v>0</v>
      </c>
      <c r="E1220" s="22" t="inlineStr">
        <is>
          <t>Instagram: Instagram: mazitundeednut</t>
        </is>
      </c>
      <c r="F1220" s="22" t="inlineStr">
        <is>
          <t>instagram:Instagram: mazitundeednut</t>
        </is>
      </c>
      <c r="G1220" s="22" t="n">
        <v>0.329</v>
      </c>
      <c r="H1220" s="22" t="n">
        <v>0</v>
      </c>
      <c r="I1220" s="22" t="n">
        <v>0</v>
      </c>
      <c r="J1220" s="22" t="n">
        <v>0</v>
      </c>
      <c r="K1220" s="22" t="n">
        <v>0</v>
      </c>
      <c r="L1220" s="22" t="n">
        <v>1</v>
      </c>
      <c r="M1220" s="22" t="n">
        <v>0</v>
      </c>
      <c r="N1220" s="22" t="n">
        <v>0</v>
      </c>
      <c r="O1220" s="22" t="n">
        <v>0</v>
      </c>
      <c r="P1220" s="22" t="n">
        <v>0</v>
      </c>
      <c r="Q1220" s="22" t="n">
        <v>0</v>
      </c>
      <c r="R1220" s="22" t="n">
        <v>0</v>
      </c>
      <c r="S1220" s="22" t="n">
        <v>0</v>
      </c>
      <c r="T1220" s="22" t="n">
        <v>0</v>
      </c>
      <c r="U1220" s="3">
        <f>IF(OR(N1220=1,Q1220=1),1,0)</f>
        <v/>
      </c>
      <c r="V1220" s="3">
        <f>IF(OR(T1220=1,P1220=1),1,0)</f>
        <v/>
      </c>
      <c r="W1220" s="3">
        <f>IF(OR(J1220=1),1,0)</f>
        <v/>
      </c>
      <c r="X1220" s="3">
        <f>IF(OR(I1220=1,H1220=1),1,0)</f>
        <v/>
      </c>
      <c r="Y1220" s="3">
        <f>IF(OR(G1220=1),1,0)</f>
        <v/>
      </c>
      <c r="Z1220" s="3">
        <f>IF(OR(F1220=1),1,0)</f>
        <v/>
      </c>
      <c r="AA1220" s="3">
        <f>IF(OR(M1220=1),1,0)</f>
        <v/>
      </c>
    </row>
    <row r="1221">
      <c r="A1221" s="22" t="inlineStr">
        <is>
          <t>2a629f1eaf15dcc389357310a0727656266ac4c6</t>
        </is>
      </c>
      <c r="B1221" s="22" t="inlineStr">
        <is>
          <t>2026-06</t>
        </is>
      </c>
      <c r="C1221" s="22" t="inlineStr">
        <is>
          <t>Instagram</t>
        </is>
      </c>
      <c r="D1221" s="22" t="n">
        <v>0</v>
      </c>
      <c r="E1221" s="22" t="inlineStr">
        <is>
          <t>Instagram: Instagram: gossipmilltv</t>
        </is>
      </c>
      <c r="F1221" s="22" t="inlineStr">
        <is>
          <t>instagram:Instagram: gossipmilltv</t>
        </is>
      </c>
      <c r="G1221" s="22" t="n">
        <v>-0.34</v>
      </c>
      <c r="H1221" s="22" t="n">
        <v>0</v>
      </c>
      <c r="I1221" s="22" t="n">
        <v>0</v>
      </c>
      <c r="J1221" s="22" t="n">
        <v>0</v>
      </c>
      <c r="K1221" s="22" t="n">
        <v>0</v>
      </c>
      <c r="L1221" s="22" t="n">
        <v>0</v>
      </c>
      <c r="M1221" s="22" t="n">
        <v>1</v>
      </c>
      <c r="N1221" s="22" t="n">
        <v>0</v>
      </c>
      <c r="O1221" s="22" t="n">
        <v>0</v>
      </c>
      <c r="P1221" s="22" t="n">
        <v>0</v>
      </c>
      <c r="Q1221" s="22" t="n">
        <v>0</v>
      </c>
      <c r="R1221" s="22" t="n">
        <v>0</v>
      </c>
      <c r="S1221" s="22" t="n">
        <v>0</v>
      </c>
      <c r="T1221" s="22" t="n">
        <v>0</v>
      </c>
      <c r="U1221" s="3">
        <f>IF(OR(N1221=1,Q1221=1),1,0)</f>
        <v/>
      </c>
      <c r="V1221" s="3">
        <f>IF(OR(T1221=1,P1221=1),1,0)</f>
        <v/>
      </c>
      <c r="W1221" s="3">
        <f>IF(OR(J1221=1),1,0)</f>
        <v/>
      </c>
      <c r="X1221" s="3">
        <f>IF(OR(I1221=1,H1221=1),1,0)</f>
        <v/>
      </c>
      <c r="Y1221" s="3">
        <f>IF(OR(G1221=1),1,0)</f>
        <v/>
      </c>
      <c r="Z1221" s="3">
        <f>IF(OR(F1221=1),1,0)</f>
        <v/>
      </c>
      <c r="AA1221" s="3">
        <f>IF(OR(M1221=1),1,0)</f>
        <v/>
      </c>
    </row>
    <row r="1222">
      <c r="A1222" s="22" t="inlineStr">
        <is>
          <t>78cfafe415512da321cae429914792094b7dd5b9</t>
        </is>
      </c>
      <c r="B1222" s="22" t="inlineStr">
        <is>
          <t>2026-06</t>
        </is>
      </c>
      <c r="C1222" s="22" t="inlineStr">
        <is>
          <t>Instagram</t>
        </is>
      </c>
      <c r="D1222" s="22" t="n">
        <v>0</v>
      </c>
      <c r="E1222" s="22" t="inlineStr">
        <is>
          <t>Instagram: Instagram: gossipmilltv</t>
        </is>
      </c>
      <c r="F1222" s="22" t="inlineStr">
        <is>
          <t>instagram:Instagram: gossipmilltv</t>
        </is>
      </c>
      <c r="G1222" s="22" t="n">
        <v>0.076</v>
      </c>
      <c r="H1222" s="22" t="n">
        <v>0</v>
      </c>
      <c r="I1222" s="22" t="n">
        <v>0</v>
      </c>
      <c r="J1222" s="22" t="n">
        <v>0</v>
      </c>
      <c r="K1222" s="22" t="n">
        <v>0</v>
      </c>
      <c r="L1222" s="22" t="n">
        <v>0</v>
      </c>
      <c r="M1222" s="22" t="n">
        <v>0</v>
      </c>
      <c r="N1222" s="22" t="n">
        <v>0</v>
      </c>
      <c r="O1222" s="22" t="n">
        <v>0</v>
      </c>
      <c r="P1222" s="22" t="n">
        <v>1</v>
      </c>
      <c r="Q1222" s="22" t="n">
        <v>0</v>
      </c>
      <c r="R1222" s="22" t="n">
        <v>0</v>
      </c>
      <c r="S1222" s="22" t="n">
        <v>0</v>
      </c>
      <c r="T1222" s="22" t="n">
        <v>0</v>
      </c>
      <c r="U1222" s="3">
        <f>IF(OR(N1222=1,Q1222=1),1,0)</f>
        <v/>
      </c>
      <c r="V1222" s="3">
        <f>IF(OR(T1222=1,P1222=1),1,0)</f>
        <v/>
      </c>
      <c r="W1222" s="3">
        <f>IF(OR(J1222=1),1,0)</f>
        <v/>
      </c>
      <c r="X1222" s="3">
        <f>IF(OR(I1222=1,H1222=1),1,0)</f>
        <v/>
      </c>
      <c r="Y1222" s="3">
        <f>IF(OR(G1222=1),1,0)</f>
        <v/>
      </c>
      <c r="Z1222" s="3">
        <f>IF(OR(F1222=1),1,0)</f>
        <v/>
      </c>
      <c r="AA1222" s="3">
        <f>IF(OR(M1222=1),1,0)</f>
        <v/>
      </c>
    </row>
    <row r="1223">
      <c r="A1223" s="22" t="inlineStr">
        <is>
          <t>e799f9121bf50e557f27917e4b96b94ae290e8a1</t>
        </is>
      </c>
      <c r="B1223" s="22" t="inlineStr">
        <is>
          <t>2026-06</t>
        </is>
      </c>
      <c r="C1223" s="22" t="inlineStr">
        <is>
          <t>Instagram</t>
        </is>
      </c>
      <c r="D1223" s="22" t="n">
        <v>0</v>
      </c>
      <c r="E1223" s="22" t="inlineStr">
        <is>
          <t>Instagram: Instagram: gossipmilltv</t>
        </is>
      </c>
      <c r="F1223" s="22" t="inlineStr">
        <is>
          <t>instagram:Instagram: gossipmilltv</t>
        </is>
      </c>
      <c r="G1223" s="22" t="n">
        <v>0</v>
      </c>
      <c r="H1223" s="22" t="n">
        <v>0</v>
      </c>
      <c r="I1223" s="22" t="n">
        <v>0</v>
      </c>
      <c r="J1223" s="22" t="n">
        <v>0</v>
      </c>
      <c r="K1223" s="22" t="n">
        <v>0</v>
      </c>
      <c r="L1223" s="22" t="n">
        <v>0</v>
      </c>
      <c r="M1223" s="22" t="n">
        <v>0</v>
      </c>
      <c r="N1223" s="22" t="n">
        <v>0</v>
      </c>
      <c r="O1223" s="22" t="n">
        <v>0</v>
      </c>
      <c r="P1223" s="22" t="n">
        <v>1</v>
      </c>
      <c r="Q1223" s="22" t="n">
        <v>0</v>
      </c>
      <c r="R1223" s="22" t="n">
        <v>0</v>
      </c>
      <c r="S1223" s="22" t="n">
        <v>0</v>
      </c>
      <c r="T1223" s="22" t="n">
        <v>0</v>
      </c>
      <c r="U1223" s="3">
        <f>IF(OR(N1223=1,Q1223=1),1,0)</f>
        <v/>
      </c>
      <c r="V1223" s="3">
        <f>IF(OR(T1223=1,P1223=1),1,0)</f>
        <v/>
      </c>
      <c r="W1223" s="3">
        <f>IF(OR(J1223=1),1,0)</f>
        <v/>
      </c>
      <c r="X1223" s="3">
        <f>IF(OR(I1223=1,H1223=1),1,0)</f>
        <v/>
      </c>
      <c r="Y1223" s="3">
        <f>IF(OR(G1223=1),1,0)</f>
        <v/>
      </c>
      <c r="Z1223" s="3">
        <f>IF(OR(F1223=1),1,0)</f>
        <v/>
      </c>
      <c r="AA1223" s="3">
        <f>IF(OR(M1223=1),1,0)</f>
        <v/>
      </c>
    </row>
    <row r="1224">
      <c r="A1224" s="22" t="inlineStr">
        <is>
          <t>5370c61cb52e4c03a9ecef75f4a1e16ab0175091</t>
        </is>
      </c>
      <c r="B1224" s="22" t="inlineStr">
        <is>
          <t>2026-06</t>
        </is>
      </c>
      <c r="C1224" s="22" t="inlineStr">
        <is>
          <t>Instagram</t>
        </is>
      </c>
      <c r="D1224" s="22" t="n">
        <v>0</v>
      </c>
      <c r="E1224" s="22" t="inlineStr">
        <is>
          <t>Instagram: Instagram: gossipmilltv</t>
        </is>
      </c>
      <c r="F1224" s="22" t="inlineStr">
        <is>
          <t>instagram:Instagram: gossipmilltv</t>
        </is>
      </c>
      <c r="G1224" s="22" t="n">
        <v>-0.057</v>
      </c>
      <c r="H1224" s="22" t="n">
        <v>0</v>
      </c>
      <c r="I1224" s="22" t="n">
        <v>0</v>
      </c>
      <c r="J1224" s="22" t="n">
        <v>0</v>
      </c>
      <c r="K1224" s="22" t="n">
        <v>0</v>
      </c>
      <c r="L1224" s="22" t="n">
        <v>0</v>
      </c>
      <c r="M1224" s="22" t="n">
        <v>0</v>
      </c>
      <c r="N1224" s="22" t="n">
        <v>1</v>
      </c>
      <c r="O1224" s="22" t="n">
        <v>0</v>
      </c>
      <c r="P1224" s="22" t="n">
        <v>0</v>
      </c>
      <c r="Q1224" s="22" t="n">
        <v>0</v>
      </c>
      <c r="R1224" s="22" t="n">
        <v>0</v>
      </c>
      <c r="S1224" s="22" t="n">
        <v>0</v>
      </c>
      <c r="T1224" s="22" t="n">
        <v>0</v>
      </c>
      <c r="U1224" s="3">
        <f>IF(OR(N1224=1,Q1224=1),1,0)</f>
        <v/>
      </c>
      <c r="V1224" s="3">
        <f>IF(OR(T1224=1,P1224=1),1,0)</f>
        <v/>
      </c>
      <c r="W1224" s="3">
        <f>IF(OR(J1224=1),1,0)</f>
        <v/>
      </c>
      <c r="X1224" s="3">
        <f>IF(OR(I1224=1,H1224=1),1,0)</f>
        <v/>
      </c>
      <c r="Y1224" s="3">
        <f>IF(OR(G1224=1),1,0)</f>
        <v/>
      </c>
      <c r="Z1224" s="3">
        <f>IF(OR(F1224=1),1,0)</f>
        <v/>
      </c>
      <c r="AA1224" s="3">
        <f>IF(OR(M1224=1),1,0)</f>
        <v/>
      </c>
    </row>
    <row r="1225">
      <c r="A1225" s="22" t="inlineStr">
        <is>
          <t>0b47edb200c826384998ea68e701dd9932cb5d72</t>
        </is>
      </c>
      <c r="B1225" s="22" t="inlineStr">
        <is>
          <t>2026-08</t>
        </is>
      </c>
      <c r="C1225" s="22" t="inlineStr">
        <is>
          <t>Instagram</t>
        </is>
      </c>
      <c r="D1225" s="22" t="n">
        <v>0</v>
      </c>
      <c r="E1225" s="22" t="inlineStr">
        <is>
          <t>Instagram: Instagram: mazitundeednut</t>
        </is>
      </c>
      <c r="F1225" s="22" t="inlineStr">
        <is>
          <t>instagram:Instagram: mazitundeednut</t>
        </is>
      </c>
      <c r="G1225" s="22" t="n">
        <v>0.758</v>
      </c>
      <c r="H1225" s="22" t="n">
        <v>1</v>
      </c>
      <c r="I1225" s="22" t="n">
        <v>0</v>
      </c>
      <c r="J1225" s="22" t="n">
        <v>0</v>
      </c>
      <c r="K1225" s="22" t="n">
        <v>0</v>
      </c>
      <c r="L1225" s="22" t="n">
        <v>0</v>
      </c>
      <c r="M1225" s="22" t="n">
        <v>0</v>
      </c>
      <c r="N1225" s="22" t="n">
        <v>0</v>
      </c>
      <c r="O1225" s="22" t="n">
        <v>0</v>
      </c>
      <c r="P1225" s="22" t="n">
        <v>0</v>
      </c>
      <c r="Q1225" s="22" t="n">
        <v>0</v>
      </c>
      <c r="R1225" s="22" t="n">
        <v>0</v>
      </c>
      <c r="S1225" s="22" t="n">
        <v>0</v>
      </c>
      <c r="T1225" s="22" t="n">
        <v>0</v>
      </c>
      <c r="U1225" s="3">
        <f>IF(OR(N1225=1,Q1225=1),1,0)</f>
        <v/>
      </c>
      <c r="V1225" s="3">
        <f>IF(OR(T1225=1,P1225=1),1,0)</f>
        <v/>
      </c>
      <c r="W1225" s="3">
        <f>IF(OR(J1225=1),1,0)</f>
        <v/>
      </c>
      <c r="X1225" s="3">
        <f>IF(OR(I1225=1,H1225=1),1,0)</f>
        <v/>
      </c>
      <c r="Y1225" s="3">
        <f>IF(OR(G1225=1),1,0)</f>
        <v/>
      </c>
      <c r="Z1225" s="3">
        <f>IF(OR(F1225=1),1,0)</f>
        <v/>
      </c>
      <c r="AA1225" s="3">
        <f>IF(OR(M1225=1),1,0)</f>
        <v/>
      </c>
    </row>
    <row r="1226">
      <c r="A1226" s="22" t="inlineStr">
        <is>
          <t>4ae945eb720b1c49ab52f0f9cdb1eedaa3f5c642</t>
        </is>
      </c>
      <c r="B1226" s="22" t="inlineStr">
        <is>
          <t>2026-08</t>
        </is>
      </c>
      <c r="C1226" s="22" t="inlineStr">
        <is>
          <t>Instagram</t>
        </is>
      </c>
      <c r="D1226" s="22" t="n">
        <v>0</v>
      </c>
      <c r="E1226" s="22" t="inlineStr">
        <is>
          <t>Instagram: Instagram: mazitundeednut</t>
        </is>
      </c>
      <c r="F1226" s="22" t="inlineStr">
        <is>
          <t>instagram:Instagram: mazitundeednut</t>
        </is>
      </c>
      <c r="G1226" s="22" t="n">
        <v>-0.318</v>
      </c>
      <c r="H1226" s="22" t="n">
        <v>0</v>
      </c>
      <c r="I1226" s="22" t="n">
        <v>1</v>
      </c>
      <c r="J1226" s="22" t="n">
        <v>0</v>
      </c>
      <c r="K1226" s="22" t="n">
        <v>0</v>
      </c>
      <c r="L1226" s="22" t="n">
        <v>0</v>
      </c>
      <c r="M1226" s="22" t="n">
        <v>0</v>
      </c>
      <c r="N1226" s="22" t="n">
        <v>0</v>
      </c>
      <c r="O1226" s="22" t="n">
        <v>0</v>
      </c>
      <c r="P1226" s="22" t="n">
        <v>0</v>
      </c>
      <c r="Q1226" s="22" t="n">
        <v>0</v>
      </c>
      <c r="R1226" s="22" t="n">
        <v>0</v>
      </c>
      <c r="S1226" s="22" t="n">
        <v>0</v>
      </c>
      <c r="T1226" s="22" t="n">
        <v>0</v>
      </c>
      <c r="U1226" s="3">
        <f>IF(OR(N1226=1,Q1226=1),1,0)</f>
        <v/>
      </c>
      <c r="V1226" s="3">
        <f>IF(OR(T1226=1,P1226=1),1,0)</f>
        <v/>
      </c>
      <c r="W1226" s="3">
        <f>IF(OR(J1226=1),1,0)</f>
        <v/>
      </c>
      <c r="X1226" s="3">
        <f>IF(OR(I1226=1,H1226=1),1,0)</f>
        <v/>
      </c>
      <c r="Y1226" s="3">
        <f>IF(OR(G1226=1),1,0)</f>
        <v/>
      </c>
      <c r="Z1226" s="3">
        <f>IF(OR(F1226=1),1,0)</f>
        <v/>
      </c>
      <c r="AA1226" s="3">
        <f>IF(OR(M1226=1),1,0)</f>
        <v/>
      </c>
    </row>
    <row r="1227">
      <c r="A1227" s="22" t="inlineStr">
        <is>
          <t>d4c56310e4d606930ede860b79dd4afd4a7db260</t>
        </is>
      </c>
      <c r="B1227" s="22" t="inlineStr">
        <is>
          <t>2026-08</t>
        </is>
      </c>
      <c r="C1227" s="22" t="inlineStr">
        <is>
          <t>Instagram</t>
        </is>
      </c>
      <c r="D1227" s="22" t="n">
        <v>0</v>
      </c>
      <c r="E1227" s="22" t="inlineStr">
        <is>
          <t>Instagram: Instagram: mazitundeednut</t>
        </is>
      </c>
      <c r="F1227" s="22" t="inlineStr">
        <is>
          <t>instagram:Instagram: mazitundeednut</t>
        </is>
      </c>
      <c r="G1227" s="22" t="n">
        <v>-0.718</v>
      </c>
      <c r="H1227" s="22" t="n">
        <v>0</v>
      </c>
      <c r="I1227" s="22" t="n">
        <v>0</v>
      </c>
      <c r="J1227" s="22" t="n">
        <v>0</v>
      </c>
      <c r="K1227" s="22" t="n">
        <v>0</v>
      </c>
      <c r="L1227" s="22" t="n">
        <v>0</v>
      </c>
      <c r="M1227" s="22" t="n">
        <v>1</v>
      </c>
      <c r="N1227" s="22" t="n">
        <v>0</v>
      </c>
      <c r="O1227" s="22" t="n">
        <v>0</v>
      </c>
      <c r="P1227" s="22" t="n">
        <v>0</v>
      </c>
      <c r="Q1227" s="22" t="n">
        <v>0</v>
      </c>
      <c r="R1227" s="22" t="n">
        <v>0</v>
      </c>
      <c r="S1227" s="22" t="n">
        <v>0</v>
      </c>
      <c r="T1227" s="22" t="n">
        <v>0</v>
      </c>
      <c r="U1227" s="3">
        <f>IF(OR(N1227=1,Q1227=1),1,0)</f>
        <v/>
      </c>
      <c r="V1227" s="3">
        <f>IF(OR(T1227=1,P1227=1),1,0)</f>
        <v/>
      </c>
      <c r="W1227" s="3">
        <f>IF(OR(J1227=1),1,0)</f>
        <v/>
      </c>
      <c r="X1227" s="3">
        <f>IF(OR(I1227=1,H1227=1),1,0)</f>
        <v/>
      </c>
      <c r="Y1227" s="3">
        <f>IF(OR(G1227=1),1,0)</f>
        <v/>
      </c>
      <c r="Z1227" s="3">
        <f>IF(OR(F1227=1),1,0)</f>
        <v/>
      </c>
      <c r="AA1227" s="3">
        <f>IF(OR(M1227=1),1,0)</f>
        <v/>
      </c>
    </row>
    <row r="1228">
      <c r="A1228" s="22" t="inlineStr">
        <is>
          <t>4aa7c575e84fee61befb4eb9c6781dc5a2377816</t>
        </is>
      </c>
      <c r="B1228" s="22" t="inlineStr">
        <is>
          <t>2026-08</t>
        </is>
      </c>
      <c r="C1228" s="22" t="inlineStr">
        <is>
          <t>Instagram</t>
        </is>
      </c>
      <c r="D1228" s="22" t="n">
        <v>0</v>
      </c>
      <c r="E1228" s="22" t="inlineStr">
        <is>
          <t>Instagram: Instagram: mazitundeednut</t>
        </is>
      </c>
      <c r="F1228" s="22" t="inlineStr">
        <is>
          <t>instagram:Instagram: mazitundeednut</t>
        </is>
      </c>
      <c r="G1228" s="22" t="n">
        <v>0.906</v>
      </c>
      <c r="H1228" s="22" t="n">
        <v>1</v>
      </c>
      <c r="I1228" s="22" t="n">
        <v>0</v>
      </c>
      <c r="J1228" s="22" t="n">
        <v>0</v>
      </c>
      <c r="K1228" s="22" t="n">
        <v>0</v>
      </c>
      <c r="L1228" s="22" t="n">
        <v>0</v>
      </c>
      <c r="M1228" s="22" t="n">
        <v>0</v>
      </c>
      <c r="N1228" s="22" t="n">
        <v>0</v>
      </c>
      <c r="O1228" s="22" t="n">
        <v>0</v>
      </c>
      <c r="P1228" s="22" t="n">
        <v>0</v>
      </c>
      <c r="Q1228" s="22" t="n">
        <v>0</v>
      </c>
      <c r="R1228" s="22" t="n">
        <v>0</v>
      </c>
      <c r="S1228" s="22" t="n">
        <v>0</v>
      </c>
      <c r="T1228" s="22" t="n">
        <v>0</v>
      </c>
      <c r="U1228" s="3">
        <f>IF(OR(N1228=1,Q1228=1),1,0)</f>
        <v/>
      </c>
      <c r="V1228" s="3">
        <f>IF(OR(T1228=1,P1228=1),1,0)</f>
        <v/>
      </c>
      <c r="W1228" s="3">
        <f>IF(OR(J1228=1),1,0)</f>
        <v/>
      </c>
      <c r="X1228" s="3">
        <f>IF(OR(I1228=1,H1228=1),1,0)</f>
        <v/>
      </c>
      <c r="Y1228" s="3">
        <f>IF(OR(G1228=1),1,0)</f>
        <v/>
      </c>
      <c r="Z1228" s="3">
        <f>IF(OR(F1228=1),1,0)</f>
        <v/>
      </c>
      <c r="AA1228" s="3">
        <f>IF(OR(M1228=1),1,0)</f>
        <v/>
      </c>
    </row>
    <row r="1229">
      <c r="A1229" s="22" t="inlineStr">
        <is>
          <t>0da57b27b16559fb9f9e9b6193bb6a1e61230396</t>
        </is>
      </c>
      <c r="B1229" s="22" t="inlineStr">
        <is>
          <t>2026-08</t>
        </is>
      </c>
      <c r="C1229" s="22" t="inlineStr">
        <is>
          <t>Instagram</t>
        </is>
      </c>
      <c r="D1229" s="22" t="n">
        <v>0</v>
      </c>
      <c r="E1229" s="22" t="inlineStr">
        <is>
          <t>Instagram: Instagram: mazitundeednut</t>
        </is>
      </c>
      <c r="F1229" s="22" t="inlineStr">
        <is>
          <t>instagram:Instagram: mazitundeednut</t>
        </is>
      </c>
      <c r="G1229" s="22" t="n">
        <v>-0.509</v>
      </c>
      <c r="H1229" s="22" t="n">
        <v>1</v>
      </c>
      <c r="I1229" s="22" t="n">
        <v>0</v>
      </c>
      <c r="J1229" s="22" t="n">
        <v>0</v>
      </c>
      <c r="K1229" s="22" t="n">
        <v>0</v>
      </c>
      <c r="L1229" s="22" t="n">
        <v>0</v>
      </c>
      <c r="M1229" s="22" t="n">
        <v>0</v>
      </c>
      <c r="N1229" s="22" t="n">
        <v>0</v>
      </c>
      <c r="O1229" s="22" t="n">
        <v>0</v>
      </c>
      <c r="P1229" s="22" t="n">
        <v>0</v>
      </c>
      <c r="Q1229" s="22" t="n">
        <v>0</v>
      </c>
      <c r="R1229" s="22" t="n">
        <v>0</v>
      </c>
      <c r="S1229" s="22" t="n">
        <v>0</v>
      </c>
      <c r="T1229" s="22" t="n">
        <v>0</v>
      </c>
      <c r="U1229" s="3">
        <f>IF(OR(N1229=1,Q1229=1),1,0)</f>
        <v/>
      </c>
      <c r="V1229" s="3">
        <f>IF(OR(T1229=1,P1229=1),1,0)</f>
        <v/>
      </c>
      <c r="W1229" s="3">
        <f>IF(OR(J1229=1),1,0)</f>
        <v/>
      </c>
      <c r="X1229" s="3">
        <f>IF(OR(I1229=1,H1229=1),1,0)</f>
        <v/>
      </c>
      <c r="Y1229" s="3">
        <f>IF(OR(G1229=1),1,0)</f>
        <v/>
      </c>
      <c r="Z1229" s="3">
        <f>IF(OR(F1229=1),1,0)</f>
        <v/>
      </c>
      <c r="AA1229" s="3">
        <f>IF(OR(M1229=1),1,0)</f>
        <v/>
      </c>
    </row>
    <row r="1230">
      <c r="A1230" s="22" t="inlineStr">
        <is>
          <t>80edcedbf1dbe5001882ead6dea2650b19039240</t>
        </is>
      </c>
      <c r="B1230" s="22" t="inlineStr">
        <is>
          <t>2026-08</t>
        </is>
      </c>
      <c r="C1230" s="22" t="inlineStr">
        <is>
          <t>Instagram</t>
        </is>
      </c>
      <c r="D1230" s="22" t="n">
        <v>0</v>
      </c>
      <c r="E1230" s="22" t="inlineStr">
        <is>
          <t>Instagram: Instagram: mazitundeednut</t>
        </is>
      </c>
      <c r="F1230" s="22" t="inlineStr">
        <is>
          <t>instagram:Instagram: mazitundeednut</t>
        </is>
      </c>
      <c r="G1230" s="22" t="n">
        <v>-0.5659999999999999</v>
      </c>
      <c r="H1230" s="22" t="n">
        <v>1</v>
      </c>
      <c r="I1230" s="22" t="n">
        <v>0</v>
      </c>
      <c r="J1230" s="22" t="n">
        <v>0</v>
      </c>
      <c r="K1230" s="22" t="n">
        <v>0</v>
      </c>
      <c r="L1230" s="22" t="n">
        <v>0</v>
      </c>
      <c r="M1230" s="22" t="n">
        <v>0</v>
      </c>
      <c r="N1230" s="22" t="n">
        <v>0</v>
      </c>
      <c r="O1230" s="22" t="n">
        <v>0</v>
      </c>
      <c r="P1230" s="22" t="n">
        <v>0</v>
      </c>
      <c r="Q1230" s="22" t="n">
        <v>0</v>
      </c>
      <c r="R1230" s="22" t="n">
        <v>0</v>
      </c>
      <c r="S1230" s="22" t="n">
        <v>0</v>
      </c>
      <c r="T1230" s="22" t="n">
        <v>0</v>
      </c>
      <c r="U1230" s="3">
        <f>IF(OR(N1230=1,Q1230=1),1,0)</f>
        <v/>
      </c>
      <c r="V1230" s="3">
        <f>IF(OR(T1230=1,P1230=1),1,0)</f>
        <v/>
      </c>
      <c r="W1230" s="3">
        <f>IF(OR(J1230=1),1,0)</f>
        <v/>
      </c>
      <c r="X1230" s="3">
        <f>IF(OR(I1230=1,H1230=1),1,0)</f>
        <v/>
      </c>
      <c r="Y1230" s="3">
        <f>IF(OR(G1230=1),1,0)</f>
        <v/>
      </c>
      <c r="Z1230" s="3">
        <f>IF(OR(F1230=1),1,0)</f>
        <v/>
      </c>
      <c r="AA1230" s="3">
        <f>IF(OR(M1230=1),1,0)</f>
        <v/>
      </c>
    </row>
    <row r="1231">
      <c r="A1231" s="22" t="inlineStr">
        <is>
          <t>11a7a53a99515af4a1e2577a8512454877cf8d30</t>
        </is>
      </c>
      <c r="B1231" s="22" t="inlineStr">
        <is>
          <t>2026-08</t>
        </is>
      </c>
      <c r="C1231" s="22" t="inlineStr">
        <is>
          <t>Instagram</t>
        </is>
      </c>
      <c r="D1231" s="22" t="n">
        <v>0</v>
      </c>
      <c r="E1231" s="22" t="inlineStr">
        <is>
          <t>Instagram: Instagram: mazitundeednut</t>
        </is>
      </c>
      <c r="F1231" s="22" t="inlineStr">
        <is>
          <t>instagram:Instagram: mazitundeednut</t>
        </is>
      </c>
      <c r="G1231" s="22" t="n">
        <v>0.361</v>
      </c>
      <c r="H1231" s="22" t="n">
        <v>1</v>
      </c>
      <c r="I1231" s="22" t="n">
        <v>0</v>
      </c>
      <c r="J1231" s="22" t="n">
        <v>0</v>
      </c>
      <c r="K1231" s="22" t="n">
        <v>0</v>
      </c>
      <c r="L1231" s="22" t="n">
        <v>0</v>
      </c>
      <c r="M1231" s="22" t="n">
        <v>0</v>
      </c>
      <c r="N1231" s="22" t="n">
        <v>0</v>
      </c>
      <c r="O1231" s="22" t="n">
        <v>1</v>
      </c>
      <c r="P1231" s="22" t="n">
        <v>0</v>
      </c>
      <c r="Q1231" s="22" t="n">
        <v>0</v>
      </c>
      <c r="R1231" s="22" t="n">
        <v>0</v>
      </c>
      <c r="S1231" s="22" t="n">
        <v>0</v>
      </c>
      <c r="T1231" s="22" t="n">
        <v>0</v>
      </c>
      <c r="U1231" s="3">
        <f>IF(OR(N1231=1,Q1231=1),1,0)</f>
        <v/>
      </c>
      <c r="V1231" s="3">
        <f>IF(OR(T1231=1,P1231=1),1,0)</f>
        <v/>
      </c>
      <c r="W1231" s="3">
        <f>IF(OR(J1231=1),1,0)</f>
        <v/>
      </c>
      <c r="X1231" s="3">
        <f>IF(OR(I1231=1,H1231=1),1,0)</f>
        <v/>
      </c>
      <c r="Y1231" s="3">
        <f>IF(OR(G1231=1),1,0)</f>
        <v/>
      </c>
      <c r="Z1231" s="3">
        <f>IF(OR(F1231=1),1,0)</f>
        <v/>
      </c>
      <c r="AA1231" s="3">
        <f>IF(OR(M1231=1),1,0)</f>
        <v/>
      </c>
    </row>
    <row r="1232">
      <c r="A1232" s="22" t="inlineStr">
        <is>
          <t>b97ff41671a1473fc3a744d02bbe506afcb093fd</t>
        </is>
      </c>
      <c r="B1232" s="22" t="inlineStr">
        <is>
          <t>2026-08</t>
        </is>
      </c>
      <c r="C1232" s="22" t="inlineStr">
        <is>
          <t>Instagram</t>
        </is>
      </c>
      <c r="D1232" s="22" t="n">
        <v>0</v>
      </c>
      <c r="E1232" s="22" t="inlineStr">
        <is>
          <t>Instagram: Instagram: mazitundeednut</t>
        </is>
      </c>
      <c r="F1232" s="22" t="inlineStr">
        <is>
          <t>instagram:Instagram: mazitundeednut</t>
        </is>
      </c>
      <c r="G1232" s="22" t="n">
        <v>-0.658</v>
      </c>
      <c r="H1232" s="22" t="n">
        <v>1</v>
      </c>
      <c r="I1232" s="22" t="n">
        <v>0</v>
      </c>
      <c r="J1232" s="22" t="n">
        <v>0</v>
      </c>
      <c r="K1232" s="22" t="n">
        <v>0</v>
      </c>
      <c r="L1232" s="22" t="n">
        <v>0</v>
      </c>
      <c r="M1232" s="22" t="n">
        <v>0</v>
      </c>
      <c r="N1232" s="22" t="n">
        <v>0</v>
      </c>
      <c r="O1232" s="22" t="n">
        <v>0</v>
      </c>
      <c r="P1232" s="22" t="n">
        <v>0</v>
      </c>
      <c r="Q1232" s="22" t="n">
        <v>0</v>
      </c>
      <c r="R1232" s="22" t="n">
        <v>0</v>
      </c>
      <c r="S1232" s="22" t="n">
        <v>0</v>
      </c>
      <c r="T1232" s="22" t="n">
        <v>0</v>
      </c>
      <c r="U1232" s="3">
        <f>IF(OR(N1232=1,Q1232=1),1,0)</f>
        <v/>
      </c>
      <c r="V1232" s="3">
        <f>IF(OR(T1232=1,P1232=1),1,0)</f>
        <v/>
      </c>
      <c r="W1232" s="3">
        <f>IF(OR(J1232=1),1,0)</f>
        <v/>
      </c>
      <c r="X1232" s="3">
        <f>IF(OR(I1232=1,H1232=1),1,0)</f>
        <v/>
      </c>
      <c r="Y1232" s="3">
        <f>IF(OR(G1232=1),1,0)</f>
        <v/>
      </c>
      <c r="Z1232" s="3">
        <f>IF(OR(F1232=1),1,0)</f>
        <v/>
      </c>
      <c r="AA1232" s="3">
        <f>IF(OR(M1232=1),1,0)</f>
        <v/>
      </c>
    </row>
    <row r="1233">
      <c r="A1233" s="22" t="inlineStr">
        <is>
          <t>6c47ddce12be85e2b779902d1bc8af06ac51ba39</t>
        </is>
      </c>
      <c r="B1233" s="22" t="inlineStr">
        <is>
          <t>2026-08</t>
        </is>
      </c>
      <c r="C1233" s="22" t="inlineStr">
        <is>
          <t>Instagram</t>
        </is>
      </c>
      <c r="D1233" s="22" t="n">
        <v>0</v>
      </c>
      <c r="E1233" s="22" t="inlineStr">
        <is>
          <t>Instagram: Instagram: mazitundeednut</t>
        </is>
      </c>
      <c r="F1233" s="22" t="inlineStr">
        <is>
          <t>instagram:Instagram: mazitundeednut</t>
        </is>
      </c>
      <c r="G1233" s="22" t="n">
        <v>-0.226</v>
      </c>
      <c r="H1233" s="22" t="n">
        <v>1</v>
      </c>
      <c r="I1233" s="22" t="n">
        <v>0</v>
      </c>
      <c r="J1233" s="22" t="n">
        <v>0</v>
      </c>
      <c r="K1233" s="22" t="n">
        <v>0</v>
      </c>
      <c r="L1233" s="22" t="n">
        <v>0</v>
      </c>
      <c r="M1233" s="22" t="n">
        <v>0</v>
      </c>
      <c r="N1233" s="22" t="n">
        <v>0</v>
      </c>
      <c r="O1233" s="22" t="n">
        <v>1</v>
      </c>
      <c r="P1233" s="22" t="n">
        <v>0</v>
      </c>
      <c r="Q1233" s="22" t="n">
        <v>0</v>
      </c>
      <c r="R1233" s="22" t="n">
        <v>0</v>
      </c>
      <c r="S1233" s="22" t="n">
        <v>0</v>
      </c>
      <c r="T1233" s="22" t="n">
        <v>0</v>
      </c>
      <c r="U1233" s="3">
        <f>IF(OR(N1233=1,Q1233=1),1,0)</f>
        <v/>
      </c>
      <c r="V1233" s="3">
        <f>IF(OR(T1233=1,P1233=1),1,0)</f>
        <v/>
      </c>
      <c r="W1233" s="3">
        <f>IF(OR(J1233=1),1,0)</f>
        <v/>
      </c>
      <c r="X1233" s="3">
        <f>IF(OR(I1233=1,H1233=1),1,0)</f>
        <v/>
      </c>
      <c r="Y1233" s="3">
        <f>IF(OR(G1233=1),1,0)</f>
        <v/>
      </c>
      <c r="Z1233" s="3">
        <f>IF(OR(F1233=1),1,0)</f>
        <v/>
      </c>
      <c r="AA1233" s="3">
        <f>IF(OR(M1233=1),1,0)</f>
        <v/>
      </c>
    </row>
    <row r="1234">
      <c r="A1234" s="22" t="inlineStr">
        <is>
          <t>423ace7cfcf6a95c37bee741fc88b9bd110e8154</t>
        </is>
      </c>
      <c r="B1234" s="22" t="inlineStr">
        <is>
          <t>2026-08</t>
        </is>
      </c>
      <c r="C1234" s="22" t="inlineStr">
        <is>
          <t>Instagram</t>
        </is>
      </c>
      <c r="D1234" s="22" t="n">
        <v>0</v>
      </c>
      <c r="E1234" s="22" t="inlineStr">
        <is>
          <t>Instagram: Instagram: mazitundeednut</t>
        </is>
      </c>
      <c r="F1234" s="22" t="inlineStr">
        <is>
          <t>instagram:Instagram: mazitundeednut</t>
        </is>
      </c>
      <c r="G1234" s="22" t="n">
        <v>-0.104</v>
      </c>
      <c r="H1234" s="22" t="n">
        <v>1</v>
      </c>
      <c r="I1234" s="22" t="n">
        <v>0</v>
      </c>
      <c r="J1234" s="22" t="n">
        <v>0</v>
      </c>
      <c r="K1234" s="22" t="n">
        <v>0</v>
      </c>
      <c r="L1234" s="22" t="n">
        <v>0</v>
      </c>
      <c r="M1234" s="22" t="n">
        <v>0</v>
      </c>
      <c r="N1234" s="22" t="n">
        <v>0</v>
      </c>
      <c r="O1234" s="22" t="n">
        <v>0</v>
      </c>
      <c r="P1234" s="22" t="n">
        <v>0</v>
      </c>
      <c r="Q1234" s="22" t="n">
        <v>0</v>
      </c>
      <c r="R1234" s="22" t="n">
        <v>0</v>
      </c>
      <c r="S1234" s="22" t="n">
        <v>0</v>
      </c>
      <c r="T1234" s="22" t="n">
        <v>0</v>
      </c>
      <c r="U1234" s="3">
        <f>IF(OR(N1234=1,Q1234=1),1,0)</f>
        <v/>
      </c>
      <c r="V1234" s="3">
        <f>IF(OR(T1234=1,P1234=1),1,0)</f>
        <v/>
      </c>
      <c r="W1234" s="3">
        <f>IF(OR(J1234=1),1,0)</f>
        <v/>
      </c>
      <c r="X1234" s="3">
        <f>IF(OR(I1234=1,H1234=1),1,0)</f>
        <v/>
      </c>
      <c r="Y1234" s="3">
        <f>IF(OR(G1234=1),1,0)</f>
        <v/>
      </c>
      <c r="Z1234" s="3">
        <f>IF(OR(F1234=1),1,0)</f>
        <v/>
      </c>
      <c r="AA1234" s="3">
        <f>IF(OR(M1234=1),1,0)</f>
        <v/>
      </c>
    </row>
    <row r="1235">
      <c r="A1235" s="22" t="inlineStr">
        <is>
          <t>99746b51cbcf4069560392c0e5f7d6e9d5e0c61e</t>
        </is>
      </c>
      <c r="B1235" s="22" t="inlineStr">
        <is>
          <t>2026-08</t>
        </is>
      </c>
      <c r="C1235" s="22" t="inlineStr">
        <is>
          <t>Instagram</t>
        </is>
      </c>
      <c r="D1235" s="22" t="n">
        <v>0</v>
      </c>
      <c r="E1235" s="22" t="inlineStr">
        <is>
          <t>Instagram: Instagram: mazitundeednut</t>
        </is>
      </c>
      <c r="F1235" s="22" t="inlineStr">
        <is>
          <t>instagram:Instagram: mazitundeednut</t>
        </is>
      </c>
      <c r="G1235" s="22" t="n">
        <v>0</v>
      </c>
      <c r="H1235" s="22" t="n">
        <v>0</v>
      </c>
      <c r="I1235" s="22" t="n">
        <v>0</v>
      </c>
      <c r="J1235" s="22" t="n">
        <v>0</v>
      </c>
      <c r="K1235" s="22" t="n">
        <v>1</v>
      </c>
      <c r="L1235" s="22" t="n">
        <v>0</v>
      </c>
      <c r="M1235" s="22" t="n">
        <v>0</v>
      </c>
      <c r="N1235" s="22" t="n">
        <v>0</v>
      </c>
      <c r="O1235" s="22" t="n">
        <v>0</v>
      </c>
      <c r="P1235" s="22" t="n">
        <v>0</v>
      </c>
      <c r="Q1235" s="22" t="n">
        <v>0</v>
      </c>
      <c r="R1235" s="22" t="n">
        <v>0</v>
      </c>
      <c r="S1235" s="22" t="n">
        <v>0</v>
      </c>
      <c r="T1235" s="22" t="n">
        <v>0</v>
      </c>
      <c r="U1235" s="3">
        <f>IF(OR(N1235=1,Q1235=1),1,0)</f>
        <v/>
      </c>
      <c r="V1235" s="3">
        <f>IF(OR(T1235=1,P1235=1),1,0)</f>
        <v/>
      </c>
      <c r="W1235" s="3">
        <f>IF(OR(J1235=1),1,0)</f>
        <v/>
      </c>
      <c r="X1235" s="3">
        <f>IF(OR(I1235=1,H1235=1),1,0)</f>
        <v/>
      </c>
      <c r="Y1235" s="3">
        <f>IF(OR(G1235=1),1,0)</f>
        <v/>
      </c>
      <c r="Z1235" s="3">
        <f>IF(OR(F1235=1),1,0)</f>
        <v/>
      </c>
      <c r="AA1235" s="3">
        <f>IF(OR(M1235=1),1,0)</f>
        <v/>
      </c>
    </row>
    <row r="1236">
      <c r="A1236" s="22" t="inlineStr">
        <is>
          <t>5a5eded752d419964aeea138ebd9badf31b5fb72</t>
        </is>
      </c>
      <c r="B1236" s="22" t="inlineStr">
        <is>
          <t>2026-08</t>
        </is>
      </c>
      <c r="C1236" s="22" t="inlineStr">
        <is>
          <t>Instagram</t>
        </is>
      </c>
      <c r="D1236" s="22" t="n">
        <v>0</v>
      </c>
      <c r="E1236" s="22" t="inlineStr">
        <is>
          <t>Instagram: Instagram: mazitundeednut</t>
        </is>
      </c>
      <c r="F1236" s="22" t="inlineStr">
        <is>
          <t>instagram:Instagram: mazitundeednut</t>
        </is>
      </c>
      <c r="G1236" s="22" t="n">
        <v>-0.388</v>
      </c>
      <c r="H1236" s="22" t="n">
        <v>1</v>
      </c>
      <c r="I1236" s="22" t="n">
        <v>0</v>
      </c>
      <c r="J1236" s="22" t="n">
        <v>0</v>
      </c>
      <c r="K1236" s="22" t="n">
        <v>0</v>
      </c>
      <c r="L1236" s="22" t="n">
        <v>0</v>
      </c>
      <c r="M1236" s="22" t="n">
        <v>0</v>
      </c>
      <c r="N1236" s="22" t="n">
        <v>0</v>
      </c>
      <c r="O1236" s="22" t="n">
        <v>0</v>
      </c>
      <c r="P1236" s="22" t="n">
        <v>0</v>
      </c>
      <c r="Q1236" s="22" t="n">
        <v>0</v>
      </c>
      <c r="R1236" s="22" t="n">
        <v>0</v>
      </c>
      <c r="S1236" s="22" t="n">
        <v>0</v>
      </c>
      <c r="T1236" s="22" t="n">
        <v>0</v>
      </c>
      <c r="U1236" s="3">
        <f>IF(OR(N1236=1,Q1236=1),1,0)</f>
        <v/>
      </c>
      <c r="V1236" s="3">
        <f>IF(OR(T1236=1,P1236=1),1,0)</f>
        <v/>
      </c>
      <c r="W1236" s="3">
        <f>IF(OR(J1236=1),1,0)</f>
        <v/>
      </c>
      <c r="X1236" s="3">
        <f>IF(OR(I1236=1,H1236=1),1,0)</f>
        <v/>
      </c>
      <c r="Y1236" s="3">
        <f>IF(OR(G1236=1),1,0)</f>
        <v/>
      </c>
      <c r="Z1236" s="3">
        <f>IF(OR(F1236=1),1,0)</f>
        <v/>
      </c>
      <c r="AA1236" s="3">
        <f>IF(OR(M1236=1),1,0)</f>
        <v/>
      </c>
    </row>
    <row r="1237">
      <c r="A1237" s="22" t="inlineStr">
        <is>
          <t>a928051aba13ba1b1bea643e6201fd8f5c14a3a3</t>
        </is>
      </c>
      <c r="B1237" s="22" t="inlineStr">
        <is>
          <t>2026-08</t>
        </is>
      </c>
      <c r="C1237" s="22" t="inlineStr">
        <is>
          <t>Instagram</t>
        </is>
      </c>
      <c r="D1237" s="22" t="n">
        <v>0</v>
      </c>
      <c r="E1237" s="22" t="inlineStr">
        <is>
          <t>Instagram: Instagram: mazitundeednut</t>
        </is>
      </c>
      <c r="F1237" s="22" t="inlineStr">
        <is>
          <t>instagram:Instagram: mazitundeednut</t>
        </is>
      </c>
      <c r="G1237" s="22" t="n">
        <v>0</v>
      </c>
      <c r="H1237" s="22" t="n">
        <v>1</v>
      </c>
      <c r="I1237" s="22" t="n">
        <v>0</v>
      </c>
      <c r="J1237" s="22" t="n">
        <v>0</v>
      </c>
      <c r="K1237" s="22" t="n">
        <v>0</v>
      </c>
      <c r="L1237" s="22" t="n">
        <v>0</v>
      </c>
      <c r="M1237" s="22" t="n">
        <v>0</v>
      </c>
      <c r="N1237" s="22" t="n">
        <v>0</v>
      </c>
      <c r="O1237" s="22" t="n">
        <v>0</v>
      </c>
      <c r="P1237" s="22" t="n">
        <v>0</v>
      </c>
      <c r="Q1237" s="22" t="n">
        <v>0</v>
      </c>
      <c r="R1237" s="22" t="n">
        <v>0</v>
      </c>
      <c r="S1237" s="22" t="n">
        <v>0</v>
      </c>
      <c r="T1237" s="22" t="n">
        <v>0</v>
      </c>
      <c r="U1237" s="3">
        <f>IF(OR(N1237=1,Q1237=1),1,0)</f>
        <v/>
      </c>
      <c r="V1237" s="3">
        <f>IF(OR(T1237=1,P1237=1),1,0)</f>
        <v/>
      </c>
      <c r="W1237" s="3">
        <f>IF(OR(J1237=1),1,0)</f>
        <v/>
      </c>
      <c r="X1237" s="3">
        <f>IF(OR(I1237=1,H1237=1),1,0)</f>
        <v/>
      </c>
      <c r="Y1237" s="3">
        <f>IF(OR(G1237=1),1,0)</f>
        <v/>
      </c>
      <c r="Z1237" s="3">
        <f>IF(OR(F1237=1),1,0)</f>
        <v/>
      </c>
      <c r="AA1237" s="3">
        <f>IF(OR(M1237=1),1,0)</f>
        <v/>
      </c>
    </row>
    <row r="1238">
      <c r="A1238" s="22" t="inlineStr">
        <is>
          <t>461b9c008f0b03b9b3fe11e4480fbb1b2518f0b8</t>
        </is>
      </c>
      <c r="B1238" s="22" t="inlineStr">
        <is>
          <t>2026-08</t>
        </is>
      </c>
      <c r="C1238" s="22" t="inlineStr">
        <is>
          <t>Instagram</t>
        </is>
      </c>
      <c r="D1238" s="22" t="n">
        <v>0</v>
      </c>
      <c r="E1238" s="22" t="inlineStr">
        <is>
          <t>Instagram: Instagram: mazitundeednut</t>
        </is>
      </c>
      <c r="F1238" s="22" t="inlineStr">
        <is>
          <t>instagram:Instagram: mazitundeednut</t>
        </is>
      </c>
      <c r="G1238" s="22" t="n">
        <v>-0.542</v>
      </c>
      <c r="H1238" s="22" t="n">
        <v>1</v>
      </c>
      <c r="I1238" s="22" t="n">
        <v>0</v>
      </c>
      <c r="J1238" s="22" t="n">
        <v>0</v>
      </c>
      <c r="K1238" s="22" t="n">
        <v>0</v>
      </c>
      <c r="L1238" s="22" t="n">
        <v>0</v>
      </c>
      <c r="M1238" s="22" t="n">
        <v>0</v>
      </c>
      <c r="N1238" s="22" t="n">
        <v>0</v>
      </c>
      <c r="O1238" s="22" t="n">
        <v>0</v>
      </c>
      <c r="P1238" s="22" t="n">
        <v>0</v>
      </c>
      <c r="Q1238" s="22" t="n">
        <v>0</v>
      </c>
      <c r="R1238" s="22" t="n">
        <v>0</v>
      </c>
      <c r="S1238" s="22" t="n">
        <v>0</v>
      </c>
      <c r="T1238" s="22" t="n">
        <v>0</v>
      </c>
      <c r="U1238" s="3">
        <f>IF(OR(N1238=1,Q1238=1),1,0)</f>
        <v/>
      </c>
      <c r="V1238" s="3">
        <f>IF(OR(T1238=1,P1238=1),1,0)</f>
        <v/>
      </c>
      <c r="W1238" s="3">
        <f>IF(OR(J1238=1),1,0)</f>
        <v/>
      </c>
      <c r="X1238" s="3">
        <f>IF(OR(I1238=1,H1238=1),1,0)</f>
        <v/>
      </c>
      <c r="Y1238" s="3">
        <f>IF(OR(G1238=1),1,0)</f>
        <v/>
      </c>
      <c r="Z1238" s="3">
        <f>IF(OR(F1238=1),1,0)</f>
        <v/>
      </c>
      <c r="AA1238" s="3">
        <f>IF(OR(M1238=1),1,0)</f>
        <v/>
      </c>
    </row>
    <row r="1239">
      <c r="A1239" s="22" t="inlineStr">
        <is>
          <t>de69a36d106b67ef1c57e6592dc9d34ad89991c4</t>
        </is>
      </c>
      <c r="B1239" s="22" t="inlineStr">
        <is>
          <t>2026-08</t>
        </is>
      </c>
      <c r="C1239" s="22" t="inlineStr">
        <is>
          <t>Instagram</t>
        </is>
      </c>
      <c r="D1239" s="22" t="n">
        <v>0</v>
      </c>
      <c r="E1239" s="22" t="inlineStr">
        <is>
          <t>Instagram: Instagram: mazitundeednut</t>
        </is>
      </c>
      <c r="F1239" s="22" t="inlineStr">
        <is>
          <t>instagram:Instagram: mazitundeednut</t>
        </is>
      </c>
      <c r="G1239" s="22" t="n">
        <v>-0.422</v>
      </c>
      <c r="H1239" s="22" t="n">
        <v>0</v>
      </c>
      <c r="I1239" s="22" t="n">
        <v>0</v>
      </c>
      <c r="J1239" s="22" t="n">
        <v>0</v>
      </c>
      <c r="K1239" s="22" t="n">
        <v>0</v>
      </c>
      <c r="L1239" s="22" t="n">
        <v>1</v>
      </c>
      <c r="M1239" s="22" t="n">
        <v>0</v>
      </c>
      <c r="N1239" s="22" t="n">
        <v>0</v>
      </c>
      <c r="O1239" s="22" t="n">
        <v>0</v>
      </c>
      <c r="P1239" s="22" t="n">
        <v>0</v>
      </c>
      <c r="Q1239" s="22" t="n">
        <v>0</v>
      </c>
      <c r="R1239" s="22" t="n">
        <v>0</v>
      </c>
      <c r="S1239" s="22" t="n">
        <v>0</v>
      </c>
      <c r="T1239" s="22" t="n">
        <v>0</v>
      </c>
      <c r="U1239" s="3">
        <f>IF(OR(N1239=1,Q1239=1),1,0)</f>
        <v/>
      </c>
      <c r="V1239" s="3">
        <f>IF(OR(T1239=1,P1239=1),1,0)</f>
        <v/>
      </c>
      <c r="W1239" s="3">
        <f>IF(OR(J1239=1),1,0)</f>
        <v/>
      </c>
      <c r="X1239" s="3">
        <f>IF(OR(I1239=1,H1239=1),1,0)</f>
        <v/>
      </c>
      <c r="Y1239" s="3">
        <f>IF(OR(G1239=1),1,0)</f>
        <v/>
      </c>
      <c r="Z1239" s="3">
        <f>IF(OR(F1239=1),1,0)</f>
        <v/>
      </c>
      <c r="AA1239" s="3">
        <f>IF(OR(M1239=1),1,0)</f>
        <v/>
      </c>
    </row>
    <row r="1240">
      <c r="A1240" s="22" t="inlineStr">
        <is>
          <t>35edced25bd62192edfcd827d02cc98f79b76eec</t>
        </is>
      </c>
      <c r="B1240" s="22" t="inlineStr">
        <is>
          <t>2026-08</t>
        </is>
      </c>
      <c r="C1240" s="22" t="inlineStr">
        <is>
          <t>Instagram</t>
        </is>
      </c>
      <c r="D1240" s="22" t="n">
        <v>0</v>
      </c>
      <c r="E1240" s="22" t="inlineStr">
        <is>
          <t>Instagram: Instagram: mojidelanotv</t>
        </is>
      </c>
      <c r="F1240" s="22" t="inlineStr">
        <is>
          <t>instagram:Instagram: mojidelanotv</t>
        </is>
      </c>
      <c r="G1240" s="22" t="n">
        <v>0.153</v>
      </c>
      <c r="H1240" s="22" t="n">
        <v>1</v>
      </c>
      <c r="I1240" s="22" t="n">
        <v>0</v>
      </c>
      <c r="J1240" s="22" t="n">
        <v>0</v>
      </c>
      <c r="K1240" s="22" t="n">
        <v>0</v>
      </c>
      <c r="L1240" s="22" t="n">
        <v>0</v>
      </c>
      <c r="M1240" s="22" t="n">
        <v>0</v>
      </c>
      <c r="N1240" s="22" t="n">
        <v>0</v>
      </c>
      <c r="O1240" s="22" t="n">
        <v>0</v>
      </c>
      <c r="P1240" s="22" t="n">
        <v>0</v>
      </c>
      <c r="Q1240" s="22" t="n">
        <v>0</v>
      </c>
      <c r="R1240" s="22" t="n">
        <v>0</v>
      </c>
      <c r="S1240" s="22" t="n">
        <v>0</v>
      </c>
      <c r="T1240" s="22" t="n">
        <v>0</v>
      </c>
      <c r="U1240" s="3">
        <f>IF(OR(N1240=1,Q1240=1),1,0)</f>
        <v/>
      </c>
      <c r="V1240" s="3">
        <f>IF(OR(T1240=1,P1240=1),1,0)</f>
        <v/>
      </c>
      <c r="W1240" s="3">
        <f>IF(OR(J1240=1),1,0)</f>
        <v/>
      </c>
      <c r="X1240" s="3">
        <f>IF(OR(I1240=1,H1240=1),1,0)</f>
        <v/>
      </c>
      <c r="Y1240" s="3">
        <f>IF(OR(G1240=1),1,0)</f>
        <v/>
      </c>
      <c r="Z1240" s="3">
        <f>IF(OR(F1240=1),1,0)</f>
        <v/>
      </c>
      <c r="AA1240" s="3">
        <f>IF(OR(M1240=1),1,0)</f>
        <v/>
      </c>
    </row>
    <row r="1241">
      <c r="A1241" s="22" t="inlineStr">
        <is>
          <t>12f9a1dd5f3e78131074d0cf7e22aa5ad74c625f</t>
        </is>
      </c>
      <c r="B1241" s="22" t="inlineStr">
        <is>
          <t>2026-08</t>
        </is>
      </c>
      <c r="C1241" s="22" t="inlineStr">
        <is>
          <t>Instagram</t>
        </is>
      </c>
      <c r="D1241" s="22" t="n">
        <v>0</v>
      </c>
      <c r="E1241" s="22" t="inlineStr">
        <is>
          <t>Instagram: Instagram: remedyblog</t>
        </is>
      </c>
      <c r="F1241" s="22" t="inlineStr">
        <is>
          <t>instagram:Instagram: remedyblog</t>
        </is>
      </c>
      <c r="G1241" s="22" t="n">
        <v>-0.738</v>
      </c>
      <c r="H1241" s="22" t="n">
        <v>1</v>
      </c>
      <c r="I1241" s="22" t="n">
        <v>0</v>
      </c>
      <c r="J1241" s="22" t="n">
        <v>0</v>
      </c>
      <c r="K1241" s="22" t="n">
        <v>0</v>
      </c>
      <c r="L1241" s="22" t="n">
        <v>0</v>
      </c>
      <c r="M1241" s="22" t="n">
        <v>0</v>
      </c>
      <c r="N1241" s="22" t="n">
        <v>0</v>
      </c>
      <c r="O1241" s="22" t="n">
        <v>0</v>
      </c>
      <c r="P1241" s="22" t="n">
        <v>0</v>
      </c>
      <c r="Q1241" s="22" t="n">
        <v>0</v>
      </c>
      <c r="R1241" s="22" t="n">
        <v>0</v>
      </c>
      <c r="S1241" s="22" t="n">
        <v>0</v>
      </c>
      <c r="T1241" s="22" t="n">
        <v>0</v>
      </c>
      <c r="U1241" s="3">
        <f>IF(OR(N1241=1,Q1241=1),1,0)</f>
        <v/>
      </c>
      <c r="V1241" s="3">
        <f>IF(OR(T1241=1,P1241=1),1,0)</f>
        <v/>
      </c>
      <c r="W1241" s="3">
        <f>IF(OR(J1241=1),1,0)</f>
        <v/>
      </c>
      <c r="X1241" s="3">
        <f>IF(OR(I1241=1,H1241=1),1,0)</f>
        <v/>
      </c>
      <c r="Y1241" s="3">
        <f>IF(OR(G1241=1),1,0)</f>
        <v/>
      </c>
      <c r="Z1241" s="3">
        <f>IF(OR(F1241=1),1,0)</f>
        <v/>
      </c>
      <c r="AA1241" s="3">
        <f>IF(OR(M1241=1),1,0)</f>
        <v/>
      </c>
    </row>
    <row r="1242">
      <c r="A1242" s="22" t="inlineStr">
        <is>
          <t>f2f66ca24d2a070386f74043f31d935b6f3b98cb</t>
        </is>
      </c>
      <c r="B1242" s="22" t="inlineStr">
        <is>
          <t>2026-08</t>
        </is>
      </c>
      <c r="C1242" s="22" t="inlineStr">
        <is>
          <t>Instagram</t>
        </is>
      </c>
      <c r="D1242" s="22" t="n">
        <v>0</v>
      </c>
      <c r="E1242" s="22" t="inlineStr">
        <is>
          <t>Instagram: Instagram: remedyblog</t>
        </is>
      </c>
      <c r="F1242" s="22" t="inlineStr">
        <is>
          <t>instagram:Instagram: remedyblog</t>
        </is>
      </c>
      <c r="G1242" s="22" t="n">
        <v>-0.749</v>
      </c>
      <c r="H1242" s="22" t="n">
        <v>1</v>
      </c>
      <c r="I1242" s="22" t="n">
        <v>0</v>
      </c>
      <c r="J1242" s="22" t="n">
        <v>0</v>
      </c>
      <c r="K1242" s="22" t="n">
        <v>0</v>
      </c>
      <c r="L1242" s="22" t="n">
        <v>0</v>
      </c>
      <c r="M1242" s="22" t="n">
        <v>0</v>
      </c>
      <c r="N1242" s="22" t="n">
        <v>1</v>
      </c>
      <c r="O1242" s="22" t="n">
        <v>0</v>
      </c>
      <c r="P1242" s="22" t="n">
        <v>0</v>
      </c>
      <c r="Q1242" s="22" t="n">
        <v>0</v>
      </c>
      <c r="R1242" s="22" t="n">
        <v>0</v>
      </c>
      <c r="S1242" s="22" t="n">
        <v>0</v>
      </c>
      <c r="T1242" s="22" t="n">
        <v>0</v>
      </c>
      <c r="U1242" s="3">
        <f>IF(OR(N1242=1,Q1242=1),1,0)</f>
        <v/>
      </c>
      <c r="V1242" s="3">
        <f>IF(OR(T1242=1,P1242=1),1,0)</f>
        <v/>
      </c>
      <c r="W1242" s="3">
        <f>IF(OR(J1242=1),1,0)</f>
        <v/>
      </c>
      <c r="X1242" s="3">
        <f>IF(OR(I1242=1,H1242=1),1,0)</f>
        <v/>
      </c>
      <c r="Y1242" s="3">
        <f>IF(OR(G1242=1),1,0)</f>
        <v/>
      </c>
      <c r="Z1242" s="3">
        <f>IF(OR(F1242=1),1,0)</f>
        <v/>
      </c>
      <c r="AA1242" s="3">
        <f>IF(OR(M1242=1),1,0)</f>
        <v/>
      </c>
    </row>
    <row r="1243">
      <c r="A1243" s="22" t="inlineStr">
        <is>
          <t>c0962af5eb3e2c7377c381c855dbf51af7cbc6e0</t>
        </is>
      </c>
      <c r="B1243" s="22" t="inlineStr">
        <is>
          <t>2026-08</t>
        </is>
      </c>
      <c r="C1243" s="22" t="inlineStr">
        <is>
          <t>Instagram</t>
        </is>
      </c>
      <c r="D1243" s="22" t="n">
        <v>0</v>
      </c>
      <c r="E1243" s="22" t="inlineStr">
        <is>
          <t>Instagram: Instagram: remedyblog</t>
        </is>
      </c>
      <c r="F1243" s="22" t="inlineStr">
        <is>
          <t>instagram:Instagram: remedyblog</t>
        </is>
      </c>
      <c r="G1243" s="22" t="n">
        <v>0.439</v>
      </c>
      <c r="H1243" s="22" t="n">
        <v>0</v>
      </c>
      <c r="I1243" s="22" t="n">
        <v>1</v>
      </c>
      <c r="J1243" s="22" t="n">
        <v>0</v>
      </c>
      <c r="K1243" s="22" t="n">
        <v>0</v>
      </c>
      <c r="L1243" s="22" t="n">
        <v>0</v>
      </c>
      <c r="M1243" s="22" t="n">
        <v>0</v>
      </c>
      <c r="N1243" s="22" t="n">
        <v>0</v>
      </c>
      <c r="O1243" s="22" t="n">
        <v>0</v>
      </c>
      <c r="P1243" s="22" t="n">
        <v>0</v>
      </c>
      <c r="Q1243" s="22" t="n">
        <v>0</v>
      </c>
      <c r="R1243" s="22" t="n">
        <v>0</v>
      </c>
      <c r="S1243" s="22" t="n">
        <v>0</v>
      </c>
      <c r="T1243" s="22" t="n">
        <v>0</v>
      </c>
      <c r="U1243" s="3">
        <f>IF(OR(N1243=1,Q1243=1),1,0)</f>
        <v/>
      </c>
      <c r="V1243" s="3">
        <f>IF(OR(T1243=1,P1243=1),1,0)</f>
        <v/>
      </c>
      <c r="W1243" s="3">
        <f>IF(OR(J1243=1),1,0)</f>
        <v/>
      </c>
      <c r="X1243" s="3">
        <f>IF(OR(I1243=1,H1243=1),1,0)</f>
        <v/>
      </c>
      <c r="Y1243" s="3">
        <f>IF(OR(G1243=1),1,0)</f>
        <v/>
      </c>
      <c r="Z1243" s="3">
        <f>IF(OR(F1243=1),1,0)</f>
        <v/>
      </c>
      <c r="AA1243" s="3">
        <f>IF(OR(M1243=1),1,0)</f>
        <v/>
      </c>
    </row>
    <row r="1244">
      <c r="A1244" s="22" t="inlineStr">
        <is>
          <t>d0e204155238d252d5a764a816197b0158c90ee7</t>
        </is>
      </c>
      <c r="B1244" s="22" t="inlineStr">
        <is>
          <t>2026-08</t>
        </is>
      </c>
      <c r="C1244" s="22" t="inlineStr">
        <is>
          <t>Instagram</t>
        </is>
      </c>
      <c r="D1244" s="22" t="n">
        <v>0</v>
      </c>
      <c r="E1244" s="22" t="inlineStr">
        <is>
          <t>Instagram: Instagram: remedyblog</t>
        </is>
      </c>
      <c r="F1244" s="22" t="inlineStr">
        <is>
          <t>instagram:Instagram: remedyblog</t>
        </is>
      </c>
      <c r="G1244" s="22" t="n">
        <v>0</v>
      </c>
      <c r="H1244" s="22" t="n">
        <v>0</v>
      </c>
      <c r="I1244" s="22" t="n">
        <v>0</v>
      </c>
      <c r="J1244" s="22" t="n">
        <v>0</v>
      </c>
      <c r="K1244" s="22" t="n">
        <v>1</v>
      </c>
      <c r="L1244" s="22" t="n">
        <v>0</v>
      </c>
      <c r="M1244" s="22" t="n">
        <v>0</v>
      </c>
      <c r="N1244" s="22" t="n">
        <v>0</v>
      </c>
      <c r="O1244" s="22" t="n">
        <v>0</v>
      </c>
      <c r="P1244" s="22" t="n">
        <v>0</v>
      </c>
      <c r="Q1244" s="22" t="n">
        <v>0</v>
      </c>
      <c r="R1244" s="22" t="n">
        <v>0</v>
      </c>
      <c r="S1244" s="22" t="n">
        <v>0</v>
      </c>
      <c r="T1244" s="22" t="n">
        <v>0</v>
      </c>
      <c r="U1244" s="3">
        <f>IF(OR(N1244=1,Q1244=1),1,0)</f>
        <v/>
      </c>
      <c r="V1244" s="3">
        <f>IF(OR(T1244=1,P1244=1),1,0)</f>
        <v/>
      </c>
      <c r="W1244" s="3">
        <f>IF(OR(J1244=1),1,0)</f>
        <v/>
      </c>
      <c r="X1244" s="3">
        <f>IF(OR(I1244=1,H1244=1),1,0)</f>
        <v/>
      </c>
      <c r="Y1244" s="3">
        <f>IF(OR(G1244=1),1,0)</f>
        <v/>
      </c>
      <c r="Z1244" s="3">
        <f>IF(OR(F1244=1),1,0)</f>
        <v/>
      </c>
      <c r="AA1244" s="3">
        <f>IF(OR(M1244=1),1,0)</f>
        <v/>
      </c>
    </row>
    <row r="1245">
      <c r="A1245" s="22" t="inlineStr">
        <is>
          <t>374f1cb08e557afc66ed5e287e31935056748ece</t>
        </is>
      </c>
      <c r="B1245" s="22" t="inlineStr">
        <is>
          <t>2026-09</t>
        </is>
      </c>
      <c r="C1245" s="22" t="inlineStr">
        <is>
          <t>Instagram</t>
        </is>
      </c>
      <c r="D1245" s="22" t="n">
        <v>0</v>
      </c>
      <c r="E1245" s="22" t="inlineStr">
        <is>
          <t>Instagram: Instagram: dataphyteng</t>
        </is>
      </c>
      <c r="F1245" s="22" t="inlineStr">
        <is>
          <t>instagram:Instagram: dataphyteng</t>
        </is>
      </c>
      <c r="G1245" s="22" t="n">
        <v>-0.402</v>
      </c>
      <c r="H1245" s="22" t="n">
        <v>0</v>
      </c>
      <c r="I1245" s="22" t="n">
        <v>0</v>
      </c>
      <c r="J1245" s="22" t="n">
        <v>0</v>
      </c>
      <c r="K1245" s="22" t="n">
        <v>0</v>
      </c>
      <c r="L1245" s="22" t="n">
        <v>0</v>
      </c>
      <c r="M1245" s="22" t="n">
        <v>0</v>
      </c>
      <c r="N1245" s="22" t="n">
        <v>0</v>
      </c>
      <c r="O1245" s="22" t="n">
        <v>0</v>
      </c>
      <c r="P1245" s="22" t="n">
        <v>0</v>
      </c>
      <c r="Q1245" s="22" t="n">
        <v>0</v>
      </c>
      <c r="R1245" s="22" t="n">
        <v>0</v>
      </c>
      <c r="S1245" s="22" t="n">
        <v>0</v>
      </c>
      <c r="T1245" s="22" t="n">
        <v>0</v>
      </c>
      <c r="U1245" s="3">
        <f>IF(OR(N1245=1,Q1245=1),1,0)</f>
        <v/>
      </c>
      <c r="V1245" s="3">
        <f>IF(OR(T1245=1,P1245=1),1,0)</f>
        <v/>
      </c>
      <c r="W1245" s="3">
        <f>IF(OR(J1245=1),1,0)</f>
        <v/>
      </c>
      <c r="X1245" s="3">
        <f>IF(OR(I1245=1,H1245=1),1,0)</f>
        <v/>
      </c>
      <c r="Y1245" s="3">
        <f>IF(OR(G1245=1),1,0)</f>
        <v/>
      </c>
      <c r="Z1245" s="3">
        <f>IF(OR(F1245=1),1,0)</f>
        <v/>
      </c>
      <c r="AA1245" s="3">
        <f>IF(OR(M1245=1),1,0)</f>
        <v/>
      </c>
    </row>
    <row r="1246">
      <c r="A1246" s="22" t="inlineStr">
        <is>
          <t>5a5a286dee6b566832f3208d670d688a681d317d</t>
        </is>
      </c>
      <c r="B1246" s="22" t="inlineStr">
        <is>
          <t>2026-09</t>
        </is>
      </c>
      <c r="C1246" s="22" t="inlineStr">
        <is>
          <t>Instagram</t>
        </is>
      </c>
      <c r="D1246" s="22" t="n">
        <v>0</v>
      </c>
      <c r="E1246" s="22" t="inlineStr">
        <is>
          <t>Instagram: Instagram: dataphyteng</t>
        </is>
      </c>
      <c r="F1246" s="22" t="inlineStr">
        <is>
          <t>instagram:Instagram: dataphyteng</t>
        </is>
      </c>
      <c r="G1246" s="22" t="n">
        <v>0.188</v>
      </c>
      <c r="H1246" s="22" t="n">
        <v>1</v>
      </c>
      <c r="I1246" s="22" t="n">
        <v>0</v>
      </c>
      <c r="J1246" s="22" t="n">
        <v>0</v>
      </c>
      <c r="K1246" s="22" t="n">
        <v>0</v>
      </c>
      <c r="L1246" s="22" t="n">
        <v>0</v>
      </c>
      <c r="M1246" s="22" t="n">
        <v>0</v>
      </c>
      <c r="N1246" s="22" t="n">
        <v>0</v>
      </c>
      <c r="O1246" s="22" t="n">
        <v>0</v>
      </c>
      <c r="P1246" s="22" t="n">
        <v>0</v>
      </c>
      <c r="Q1246" s="22" t="n">
        <v>0</v>
      </c>
      <c r="R1246" s="22" t="n">
        <v>0</v>
      </c>
      <c r="S1246" s="22" t="n">
        <v>0</v>
      </c>
      <c r="T1246" s="22" t="n">
        <v>0</v>
      </c>
      <c r="U1246" s="3">
        <f>IF(OR(N1246=1,Q1246=1),1,0)</f>
        <v/>
      </c>
      <c r="V1246" s="3">
        <f>IF(OR(T1246=1,P1246=1),1,0)</f>
        <v/>
      </c>
      <c r="W1246" s="3">
        <f>IF(OR(J1246=1),1,0)</f>
        <v/>
      </c>
      <c r="X1246" s="3">
        <f>IF(OR(I1246=1,H1246=1),1,0)</f>
        <v/>
      </c>
      <c r="Y1246" s="3">
        <f>IF(OR(G1246=1),1,0)</f>
        <v/>
      </c>
      <c r="Z1246" s="3">
        <f>IF(OR(F1246=1),1,0)</f>
        <v/>
      </c>
      <c r="AA1246" s="3">
        <f>IF(OR(M1246=1),1,0)</f>
        <v/>
      </c>
    </row>
    <row r="1247">
      <c r="A1247" s="22" t="inlineStr">
        <is>
          <t>35fac6e68bf8ea4becc7113af053dc16fec68233</t>
        </is>
      </c>
      <c r="B1247" s="22" t="inlineStr">
        <is>
          <t>2026-02</t>
        </is>
      </c>
      <c r="C1247" s="22" t="inlineStr">
        <is>
          <t>Instagram</t>
        </is>
      </c>
      <c r="D1247" s="22" t="n">
        <v>0</v>
      </c>
      <c r="E1247" s="22" t="inlineStr">
        <is>
          <t>Instagram: Instagram: mazitundeednut</t>
        </is>
      </c>
      <c r="F1247" s="22" t="inlineStr">
        <is>
          <t>instagram:Instagram: mazitundeednut</t>
        </is>
      </c>
      <c r="G1247" s="22" t="n">
        <v>-0.103</v>
      </c>
      <c r="H1247" s="22" t="n">
        <v>1</v>
      </c>
      <c r="I1247" s="22" t="n">
        <v>0</v>
      </c>
      <c r="J1247" s="22" t="n">
        <v>0</v>
      </c>
      <c r="K1247" s="22" t="n">
        <v>0</v>
      </c>
      <c r="L1247" s="22" t="n">
        <v>0</v>
      </c>
      <c r="M1247" s="22" t="n">
        <v>0</v>
      </c>
      <c r="N1247" s="22" t="n">
        <v>0</v>
      </c>
      <c r="O1247" s="22" t="n">
        <v>0</v>
      </c>
      <c r="P1247" s="22" t="n">
        <v>0</v>
      </c>
      <c r="Q1247" s="22" t="n">
        <v>0</v>
      </c>
      <c r="R1247" s="22" t="n">
        <v>0</v>
      </c>
      <c r="S1247" s="22" t="n">
        <v>0</v>
      </c>
      <c r="T1247" s="22" t="n">
        <v>0</v>
      </c>
      <c r="U1247" s="3">
        <f>IF(OR(N1247=1,Q1247=1),1,0)</f>
        <v/>
      </c>
      <c r="V1247" s="3">
        <f>IF(OR(T1247=1,P1247=1),1,0)</f>
        <v/>
      </c>
      <c r="W1247" s="3">
        <f>IF(OR(J1247=1),1,0)</f>
        <v/>
      </c>
      <c r="X1247" s="3">
        <f>IF(OR(I1247=1,H1247=1),1,0)</f>
        <v/>
      </c>
      <c r="Y1247" s="3">
        <f>IF(OR(G1247=1),1,0)</f>
        <v/>
      </c>
      <c r="Z1247" s="3">
        <f>IF(OR(F1247=1),1,0)</f>
        <v/>
      </c>
      <c r="AA1247" s="3">
        <f>IF(OR(M1247=1),1,0)</f>
        <v/>
      </c>
    </row>
    <row r="1248">
      <c r="A1248" s="22" t="inlineStr">
        <is>
          <t>224e9793e4fdd7f0166e202100f7f6df73265d2c</t>
        </is>
      </c>
      <c r="B1248" s="22" t="inlineStr">
        <is>
          <t>2026-02</t>
        </is>
      </c>
      <c r="C1248" s="22" t="inlineStr">
        <is>
          <t>Instagram</t>
        </is>
      </c>
      <c r="D1248" s="22" t="n">
        <v>0</v>
      </c>
      <c r="E1248" s="22" t="inlineStr">
        <is>
          <t>Instagram: Instagram: mazitundeednut</t>
        </is>
      </c>
      <c r="F1248" s="22" t="inlineStr">
        <is>
          <t>instagram:Instagram: mazitundeednut</t>
        </is>
      </c>
      <c r="G1248" s="22" t="n">
        <v>-0.202</v>
      </c>
      <c r="H1248" s="22" t="n">
        <v>0</v>
      </c>
      <c r="I1248" s="22" t="n">
        <v>0</v>
      </c>
      <c r="J1248" s="22" t="n">
        <v>0</v>
      </c>
      <c r="K1248" s="22" t="n">
        <v>0</v>
      </c>
      <c r="L1248" s="22" t="n">
        <v>0</v>
      </c>
      <c r="M1248" s="22" t="n">
        <v>0</v>
      </c>
      <c r="N1248" s="22" t="n">
        <v>0</v>
      </c>
      <c r="O1248" s="22" t="n">
        <v>0</v>
      </c>
      <c r="P1248" s="22" t="n">
        <v>1</v>
      </c>
      <c r="Q1248" s="22" t="n">
        <v>0</v>
      </c>
      <c r="R1248" s="22" t="n">
        <v>0</v>
      </c>
      <c r="S1248" s="22" t="n">
        <v>0</v>
      </c>
      <c r="T1248" s="22" t="n">
        <v>0</v>
      </c>
      <c r="U1248" s="3">
        <f>IF(OR(N1248=1,Q1248=1),1,0)</f>
        <v/>
      </c>
      <c r="V1248" s="3">
        <f>IF(OR(T1248=1,P1248=1),1,0)</f>
        <v/>
      </c>
      <c r="W1248" s="3">
        <f>IF(OR(J1248=1),1,0)</f>
        <v/>
      </c>
      <c r="X1248" s="3">
        <f>IF(OR(I1248=1,H1248=1),1,0)</f>
        <v/>
      </c>
      <c r="Y1248" s="3">
        <f>IF(OR(G1248=1),1,0)</f>
        <v/>
      </c>
      <c r="Z1248" s="3">
        <f>IF(OR(F1248=1),1,0)</f>
        <v/>
      </c>
      <c r="AA1248" s="3">
        <f>IF(OR(M1248=1),1,0)</f>
        <v/>
      </c>
    </row>
    <row r="1249">
      <c r="A1249" s="22" t="inlineStr">
        <is>
          <t>93a02ead5dd64b964f616a24ee9459b36dda9411</t>
        </is>
      </c>
      <c r="B1249" s="22" t="inlineStr">
        <is>
          <t>2026-02</t>
        </is>
      </c>
      <c r="C1249" s="22" t="inlineStr">
        <is>
          <t>Instagram</t>
        </is>
      </c>
      <c r="D1249" s="22" t="n">
        <v>0</v>
      </c>
      <c r="E1249" s="22" t="inlineStr">
        <is>
          <t>Instagram: Instagram: mazitundeednut</t>
        </is>
      </c>
      <c r="F1249" s="22" t="inlineStr">
        <is>
          <t>instagram:Instagram: mazitundeednut</t>
        </is>
      </c>
      <c r="G1249" s="22" t="n">
        <v>0.862</v>
      </c>
      <c r="H1249" s="22" t="n">
        <v>1</v>
      </c>
      <c r="I1249" s="22" t="n">
        <v>0</v>
      </c>
      <c r="J1249" s="22" t="n">
        <v>0</v>
      </c>
      <c r="K1249" s="22" t="n">
        <v>0</v>
      </c>
      <c r="L1249" s="22" t="n">
        <v>0</v>
      </c>
      <c r="M1249" s="22" t="n">
        <v>0</v>
      </c>
      <c r="N1249" s="22" t="n">
        <v>0</v>
      </c>
      <c r="O1249" s="22" t="n">
        <v>0</v>
      </c>
      <c r="P1249" s="22" t="n">
        <v>0</v>
      </c>
      <c r="Q1249" s="22" t="n">
        <v>0</v>
      </c>
      <c r="R1249" s="22" t="n">
        <v>0</v>
      </c>
      <c r="S1249" s="22" t="n">
        <v>0</v>
      </c>
      <c r="T1249" s="22" t="n">
        <v>0</v>
      </c>
      <c r="U1249" s="3">
        <f>IF(OR(N1249=1,Q1249=1),1,0)</f>
        <v/>
      </c>
      <c r="V1249" s="3">
        <f>IF(OR(T1249=1,P1249=1),1,0)</f>
        <v/>
      </c>
      <c r="W1249" s="3">
        <f>IF(OR(J1249=1),1,0)</f>
        <v/>
      </c>
      <c r="X1249" s="3">
        <f>IF(OR(I1249=1,H1249=1),1,0)</f>
        <v/>
      </c>
      <c r="Y1249" s="3">
        <f>IF(OR(G1249=1),1,0)</f>
        <v/>
      </c>
      <c r="Z1249" s="3">
        <f>IF(OR(F1249=1),1,0)</f>
        <v/>
      </c>
      <c r="AA1249" s="3">
        <f>IF(OR(M1249=1),1,0)</f>
        <v/>
      </c>
    </row>
    <row r="1250">
      <c r="A1250" s="22" t="inlineStr">
        <is>
          <t>399f02b5ec036e2c82c9a48f1f6e033e782fb055</t>
        </is>
      </c>
      <c r="B1250" s="22" t="inlineStr">
        <is>
          <t>2026-02</t>
        </is>
      </c>
      <c r="C1250" s="22" t="inlineStr">
        <is>
          <t>Instagram</t>
        </is>
      </c>
      <c r="D1250" s="22" t="n">
        <v>0</v>
      </c>
      <c r="E1250" s="22" t="inlineStr">
        <is>
          <t>Instagram: Instagram: mazitundeednut</t>
        </is>
      </c>
      <c r="F1250" s="22" t="inlineStr">
        <is>
          <t>instagram:Instagram: mazitundeednut</t>
        </is>
      </c>
      <c r="G1250" s="22" t="n">
        <v>0</v>
      </c>
      <c r="H1250" s="22" t="n">
        <v>0</v>
      </c>
      <c r="I1250" s="22" t="n">
        <v>0</v>
      </c>
      <c r="J1250" s="22" t="n">
        <v>0</v>
      </c>
      <c r="K1250" s="22" t="n">
        <v>0</v>
      </c>
      <c r="L1250" s="22" t="n">
        <v>0</v>
      </c>
      <c r="M1250" s="22" t="n">
        <v>0</v>
      </c>
      <c r="N1250" s="22" t="n">
        <v>0</v>
      </c>
      <c r="O1250" s="22" t="n">
        <v>1</v>
      </c>
      <c r="P1250" s="22" t="n">
        <v>0</v>
      </c>
      <c r="Q1250" s="22" t="n">
        <v>0</v>
      </c>
      <c r="R1250" s="22" t="n">
        <v>0</v>
      </c>
      <c r="S1250" s="22" t="n">
        <v>0</v>
      </c>
      <c r="T1250" s="22" t="n">
        <v>0</v>
      </c>
      <c r="U1250" s="3">
        <f>IF(OR(N1250=1,Q1250=1),1,0)</f>
        <v/>
      </c>
      <c r="V1250" s="3">
        <f>IF(OR(T1250=1,P1250=1),1,0)</f>
        <v/>
      </c>
      <c r="W1250" s="3">
        <f>IF(OR(J1250=1),1,0)</f>
        <v/>
      </c>
      <c r="X1250" s="3">
        <f>IF(OR(I1250=1,H1250=1),1,0)</f>
        <v/>
      </c>
      <c r="Y1250" s="3">
        <f>IF(OR(G1250=1),1,0)</f>
        <v/>
      </c>
      <c r="Z1250" s="3">
        <f>IF(OR(F1250=1),1,0)</f>
        <v/>
      </c>
      <c r="AA1250" s="3">
        <f>IF(OR(M1250=1),1,0)</f>
        <v/>
      </c>
    </row>
    <row r="1251">
      <c r="A1251" s="22" t="inlineStr">
        <is>
          <t>3231f650eca602e5b7a4070510220082ca423d98</t>
        </is>
      </c>
      <c r="B1251" s="22" t="inlineStr">
        <is>
          <t>2026-02</t>
        </is>
      </c>
      <c r="C1251" s="22" t="inlineStr">
        <is>
          <t>Instagram</t>
        </is>
      </c>
      <c r="D1251" s="22" t="n">
        <v>0</v>
      </c>
      <c r="E1251" s="22" t="inlineStr">
        <is>
          <t>Instagram: Instagram: mazitundeednut</t>
        </is>
      </c>
      <c r="F1251" s="22" t="inlineStr">
        <is>
          <t>instagram:Instagram: mazitundeednut</t>
        </is>
      </c>
      <c r="G1251" s="22" t="n">
        <v>-0.153</v>
      </c>
      <c r="H1251" s="22" t="n">
        <v>1</v>
      </c>
      <c r="I1251" s="22" t="n">
        <v>0</v>
      </c>
      <c r="J1251" s="22" t="n">
        <v>0</v>
      </c>
      <c r="K1251" s="22" t="n">
        <v>0</v>
      </c>
      <c r="L1251" s="22" t="n">
        <v>0</v>
      </c>
      <c r="M1251" s="22" t="n">
        <v>0</v>
      </c>
      <c r="N1251" s="22" t="n">
        <v>0</v>
      </c>
      <c r="O1251" s="22" t="n">
        <v>0</v>
      </c>
      <c r="P1251" s="22" t="n">
        <v>0</v>
      </c>
      <c r="Q1251" s="22" t="n">
        <v>0</v>
      </c>
      <c r="R1251" s="22" t="n">
        <v>0</v>
      </c>
      <c r="S1251" s="22" t="n">
        <v>0</v>
      </c>
      <c r="T1251" s="22" t="n">
        <v>0</v>
      </c>
      <c r="U1251" s="3">
        <f>IF(OR(N1251=1,Q1251=1),1,0)</f>
        <v/>
      </c>
      <c r="V1251" s="3">
        <f>IF(OR(T1251=1,P1251=1),1,0)</f>
        <v/>
      </c>
      <c r="W1251" s="3">
        <f>IF(OR(J1251=1),1,0)</f>
        <v/>
      </c>
      <c r="X1251" s="3">
        <f>IF(OR(I1251=1,H1251=1),1,0)</f>
        <v/>
      </c>
      <c r="Y1251" s="3">
        <f>IF(OR(G1251=1),1,0)</f>
        <v/>
      </c>
      <c r="Z1251" s="3">
        <f>IF(OR(F1251=1),1,0)</f>
        <v/>
      </c>
      <c r="AA1251" s="3">
        <f>IF(OR(M1251=1),1,0)</f>
        <v/>
      </c>
    </row>
    <row r="1252">
      <c r="A1252" s="22" t="inlineStr">
        <is>
          <t>6cd37e1fe3fdf6ac04f3f477b3490edb971c7f6c</t>
        </is>
      </c>
      <c r="B1252" s="22" t="inlineStr">
        <is>
          <t>2026-02</t>
        </is>
      </c>
      <c r="C1252" s="22" t="inlineStr">
        <is>
          <t>Instagram</t>
        </is>
      </c>
      <c r="D1252" s="22" t="n">
        <v>0</v>
      </c>
      <c r="E1252" s="22" t="inlineStr">
        <is>
          <t>Instagram: Instagram: mazitundeednut</t>
        </is>
      </c>
      <c r="F1252" s="22" t="inlineStr">
        <is>
          <t>instagram:Instagram: mazitundeednut</t>
        </is>
      </c>
      <c r="G1252" s="22" t="n">
        <v>0</v>
      </c>
      <c r="H1252" s="22" t="n">
        <v>0</v>
      </c>
      <c r="I1252" s="22" t="n">
        <v>0</v>
      </c>
      <c r="J1252" s="22" t="n">
        <v>0</v>
      </c>
      <c r="K1252" s="22" t="n">
        <v>0</v>
      </c>
      <c r="L1252" s="22" t="n">
        <v>0</v>
      </c>
      <c r="M1252" s="22" t="n">
        <v>0</v>
      </c>
      <c r="N1252" s="22" t="n">
        <v>0</v>
      </c>
      <c r="O1252" s="22" t="n">
        <v>0</v>
      </c>
      <c r="P1252" s="22" t="n">
        <v>1</v>
      </c>
      <c r="Q1252" s="22" t="n">
        <v>0</v>
      </c>
      <c r="R1252" s="22" t="n">
        <v>0</v>
      </c>
      <c r="S1252" s="22" t="n">
        <v>0</v>
      </c>
      <c r="T1252" s="22" t="n">
        <v>0</v>
      </c>
      <c r="U1252" s="3">
        <f>IF(OR(N1252=1,Q1252=1),1,0)</f>
        <v/>
      </c>
      <c r="V1252" s="3">
        <f>IF(OR(T1252=1,P1252=1),1,0)</f>
        <v/>
      </c>
      <c r="W1252" s="3">
        <f>IF(OR(J1252=1),1,0)</f>
        <v/>
      </c>
      <c r="X1252" s="3">
        <f>IF(OR(I1252=1,H1252=1),1,0)</f>
        <v/>
      </c>
      <c r="Y1252" s="3">
        <f>IF(OR(G1252=1),1,0)</f>
        <v/>
      </c>
      <c r="Z1252" s="3">
        <f>IF(OR(F1252=1),1,0)</f>
        <v/>
      </c>
      <c r="AA1252" s="3">
        <f>IF(OR(M1252=1),1,0)</f>
        <v/>
      </c>
    </row>
    <row r="1253">
      <c r="A1253" s="22" t="inlineStr">
        <is>
          <t>1e7069d50e78e880dc263a922268272d685f8653</t>
        </is>
      </c>
      <c r="B1253" s="22" t="inlineStr">
        <is>
          <t>2026-02</t>
        </is>
      </c>
      <c r="C1253" s="22" t="inlineStr">
        <is>
          <t>Instagram</t>
        </is>
      </c>
      <c r="D1253" s="22" t="n">
        <v>0</v>
      </c>
      <c r="E1253" s="22" t="inlineStr">
        <is>
          <t>Instagram: Instagram: mazitundeednut</t>
        </is>
      </c>
      <c r="F1253" s="22" t="inlineStr">
        <is>
          <t>instagram:Instagram: mazitundeednut</t>
        </is>
      </c>
      <c r="G1253" s="22" t="n">
        <v>0.5570000000000001</v>
      </c>
      <c r="H1253" s="22" t="n">
        <v>0</v>
      </c>
      <c r="I1253" s="22" t="n">
        <v>0</v>
      </c>
      <c r="J1253" s="22" t="n">
        <v>0</v>
      </c>
      <c r="K1253" s="22" t="n">
        <v>0</v>
      </c>
      <c r="L1253" s="22" t="n">
        <v>0</v>
      </c>
      <c r="M1253" s="22" t="n">
        <v>0</v>
      </c>
      <c r="N1253" s="22" t="n">
        <v>0</v>
      </c>
      <c r="O1253" s="22" t="n">
        <v>0</v>
      </c>
      <c r="P1253" s="22" t="n">
        <v>1</v>
      </c>
      <c r="Q1253" s="22" t="n">
        <v>0</v>
      </c>
      <c r="R1253" s="22" t="n">
        <v>0</v>
      </c>
      <c r="S1253" s="22" t="n">
        <v>0</v>
      </c>
      <c r="T1253" s="22" t="n">
        <v>0</v>
      </c>
      <c r="U1253" s="3">
        <f>IF(OR(N1253=1,Q1253=1),1,0)</f>
        <v/>
      </c>
      <c r="V1253" s="3">
        <f>IF(OR(T1253=1,P1253=1),1,0)</f>
        <v/>
      </c>
      <c r="W1253" s="3">
        <f>IF(OR(J1253=1),1,0)</f>
        <v/>
      </c>
      <c r="X1253" s="3">
        <f>IF(OR(I1253=1,H1253=1),1,0)</f>
        <v/>
      </c>
      <c r="Y1253" s="3">
        <f>IF(OR(G1253=1),1,0)</f>
        <v/>
      </c>
      <c r="Z1253" s="3">
        <f>IF(OR(F1253=1),1,0)</f>
        <v/>
      </c>
      <c r="AA1253" s="3">
        <f>IF(OR(M1253=1),1,0)</f>
        <v/>
      </c>
    </row>
    <row r="1254">
      <c r="A1254" s="22" t="inlineStr">
        <is>
          <t>9630fd5a993a822261dc996aa16f513bc41b1816</t>
        </is>
      </c>
      <c r="B1254" s="22" t="inlineStr">
        <is>
          <t>2026-02</t>
        </is>
      </c>
      <c r="C1254" s="22" t="inlineStr">
        <is>
          <t>Instagram</t>
        </is>
      </c>
      <c r="D1254" s="22" t="n">
        <v>0</v>
      </c>
      <c r="E1254" s="22" t="inlineStr">
        <is>
          <t>Instagram: Instagram: mazitundeednut</t>
        </is>
      </c>
      <c r="F1254" s="22" t="inlineStr">
        <is>
          <t>instagram:Instagram: mazitundeednut</t>
        </is>
      </c>
      <c r="G1254" s="22" t="n">
        <v>-0.202</v>
      </c>
      <c r="H1254" s="22" t="n">
        <v>0</v>
      </c>
      <c r="I1254" s="22" t="n">
        <v>0</v>
      </c>
      <c r="J1254" s="22" t="n">
        <v>0</v>
      </c>
      <c r="K1254" s="22" t="n">
        <v>0</v>
      </c>
      <c r="L1254" s="22" t="n">
        <v>0</v>
      </c>
      <c r="M1254" s="22" t="n">
        <v>0</v>
      </c>
      <c r="N1254" s="22" t="n">
        <v>0</v>
      </c>
      <c r="O1254" s="22" t="n">
        <v>0</v>
      </c>
      <c r="P1254" s="22" t="n">
        <v>1</v>
      </c>
      <c r="Q1254" s="22" t="n">
        <v>0</v>
      </c>
      <c r="R1254" s="22" t="n">
        <v>0</v>
      </c>
      <c r="S1254" s="22" t="n">
        <v>0</v>
      </c>
      <c r="T1254" s="22" t="n">
        <v>0</v>
      </c>
      <c r="U1254" s="3">
        <f>IF(OR(N1254=1,Q1254=1),1,0)</f>
        <v/>
      </c>
      <c r="V1254" s="3">
        <f>IF(OR(T1254=1,P1254=1),1,0)</f>
        <v/>
      </c>
      <c r="W1254" s="3">
        <f>IF(OR(J1254=1),1,0)</f>
        <v/>
      </c>
      <c r="X1254" s="3">
        <f>IF(OR(I1254=1,H1254=1),1,0)</f>
        <v/>
      </c>
      <c r="Y1254" s="3">
        <f>IF(OR(G1254=1),1,0)</f>
        <v/>
      </c>
      <c r="Z1254" s="3">
        <f>IF(OR(F1254=1),1,0)</f>
        <v/>
      </c>
      <c r="AA1254" s="3">
        <f>IF(OR(M1254=1),1,0)</f>
        <v/>
      </c>
    </row>
    <row r="1255">
      <c r="A1255" s="22" t="inlineStr">
        <is>
          <t>1a68582486aa88923d9f0de4ff08f4dc6a0368ae</t>
        </is>
      </c>
      <c r="B1255" s="22" t="inlineStr">
        <is>
          <t>2026-02</t>
        </is>
      </c>
      <c r="C1255" s="22" t="inlineStr">
        <is>
          <t>Instagram</t>
        </is>
      </c>
      <c r="D1255" s="22" t="n">
        <v>0</v>
      </c>
      <c r="E1255" s="22" t="inlineStr">
        <is>
          <t>Instagram: Instagram: mazitundeednut</t>
        </is>
      </c>
      <c r="F1255" s="22" t="inlineStr">
        <is>
          <t>instagram:Instagram: mazitundeednut</t>
        </is>
      </c>
      <c r="G1255" s="22" t="n">
        <v>-0.296</v>
      </c>
      <c r="H1255" s="22" t="n">
        <v>0</v>
      </c>
      <c r="I1255" s="22" t="n">
        <v>0</v>
      </c>
      <c r="J1255" s="22" t="n">
        <v>0</v>
      </c>
      <c r="K1255" s="22" t="n">
        <v>0</v>
      </c>
      <c r="L1255" s="22" t="n">
        <v>0</v>
      </c>
      <c r="M1255" s="22" t="n">
        <v>0</v>
      </c>
      <c r="N1255" s="22" t="n">
        <v>1</v>
      </c>
      <c r="O1255" s="22" t="n">
        <v>0</v>
      </c>
      <c r="P1255" s="22" t="n">
        <v>0</v>
      </c>
      <c r="Q1255" s="22" t="n">
        <v>0</v>
      </c>
      <c r="R1255" s="22" t="n">
        <v>0</v>
      </c>
      <c r="S1255" s="22" t="n">
        <v>0</v>
      </c>
      <c r="T1255" s="22" t="n">
        <v>0</v>
      </c>
      <c r="U1255" s="3">
        <f>IF(OR(N1255=1,Q1255=1),1,0)</f>
        <v/>
      </c>
      <c r="V1255" s="3">
        <f>IF(OR(T1255=1,P1255=1),1,0)</f>
        <v/>
      </c>
      <c r="W1255" s="3">
        <f>IF(OR(J1255=1),1,0)</f>
        <v/>
      </c>
      <c r="X1255" s="3">
        <f>IF(OR(I1255=1,H1255=1),1,0)</f>
        <v/>
      </c>
      <c r="Y1255" s="3">
        <f>IF(OR(G1255=1),1,0)</f>
        <v/>
      </c>
      <c r="Z1255" s="3">
        <f>IF(OR(F1255=1),1,0)</f>
        <v/>
      </c>
      <c r="AA1255" s="3">
        <f>IF(OR(M1255=1),1,0)</f>
        <v/>
      </c>
    </row>
    <row r="1256">
      <c r="A1256" s="22" t="inlineStr">
        <is>
          <t>3b5ba89f08813e8b1ecb3831b46bddbfd139b9a0</t>
        </is>
      </c>
      <c r="B1256" s="22" t="inlineStr">
        <is>
          <t>2026-02</t>
        </is>
      </c>
      <c r="C1256" s="22" t="inlineStr">
        <is>
          <t>Instagram</t>
        </is>
      </c>
      <c r="D1256" s="22" t="n">
        <v>0</v>
      </c>
      <c r="E1256" s="22" t="inlineStr">
        <is>
          <t>Instagram: Instagram: mazitundeednut</t>
        </is>
      </c>
      <c r="F1256" s="22" t="inlineStr">
        <is>
          <t>instagram:Instagram: mazitundeednut</t>
        </is>
      </c>
      <c r="G1256" s="22" t="n">
        <v>-0.511</v>
      </c>
      <c r="H1256" s="22" t="n">
        <v>1</v>
      </c>
      <c r="I1256" s="22" t="n">
        <v>0</v>
      </c>
      <c r="J1256" s="22" t="n">
        <v>0</v>
      </c>
      <c r="K1256" s="22" t="n">
        <v>0</v>
      </c>
      <c r="L1256" s="22" t="n">
        <v>0</v>
      </c>
      <c r="M1256" s="22" t="n">
        <v>0</v>
      </c>
      <c r="N1256" s="22" t="n">
        <v>0</v>
      </c>
      <c r="O1256" s="22" t="n">
        <v>0</v>
      </c>
      <c r="P1256" s="22" t="n">
        <v>0</v>
      </c>
      <c r="Q1256" s="22" t="n">
        <v>0</v>
      </c>
      <c r="R1256" s="22" t="n">
        <v>0</v>
      </c>
      <c r="S1256" s="22" t="n">
        <v>0</v>
      </c>
      <c r="T1256" s="22" t="n">
        <v>0</v>
      </c>
      <c r="U1256" s="3">
        <f>IF(OR(N1256=1,Q1256=1),1,0)</f>
        <v/>
      </c>
      <c r="V1256" s="3">
        <f>IF(OR(T1256=1,P1256=1),1,0)</f>
        <v/>
      </c>
      <c r="W1256" s="3">
        <f>IF(OR(J1256=1),1,0)</f>
        <v/>
      </c>
      <c r="X1256" s="3">
        <f>IF(OR(I1256=1,H1256=1),1,0)</f>
        <v/>
      </c>
      <c r="Y1256" s="3">
        <f>IF(OR(G1256=1),1,0)</f>
        <v/>
      </c>
      <c r="Z1256" s="3">
        <f>IF(OR(F1256=1),1,0)</f>
        <v/>
      </c>
      <c r="AA1256" s="3">
        <f>IF(OR(M1256=1),1,0)</f>
        <v/>
      </c>
    </row>
    <row r="1257">
      <c r="A1257" s="22" t="inlineStr">
        <is>
          <t>4342404e4d8cf8c3d53c3fb25738f21702c99159</t>
        </is>
      </c>
      <c r="B1257" s="22" t="inlineStr">
        <is>
          <t>2026-02</t>
        </is>
      </c>
      <c r="C1257" s="22" t="inlineStr">
        <is>
          <t>Instagram</t>
        </is>
      </c>
      <c r="D1257" s="22" t="n">
        <v>0</v>
      </c>
      <c r="E1257" s="22" t="inlineStr">
        <is>
          <t>Instagram: Instagram: mazitundeednut</t>
        </is>
      </c>
      <c r="F1257" s="22" t="inlineStr">
        <is>
          <t>instagram:Instagram: mazitundeednut</t>
        </is>
      </c>
      <c r="G1257" s="22" t="n">
        <v>-0.296</v>
      </c>
      <c r="H1257" s="22" t="n">
        <v>0</v>
      </c>
      <c r="I1257" s="22" t="n">
        <v>0</v>
      </c>
      <c r="J1257" s="22" t="n">
        <v>0</v>
      </c>
      <c r="K1257" s="22" t="n">
        <v>0</v>
      </c>
      <c r="L1257" s="22" t="n">
        <v>0</v>
      </c>
      <c r="M1257" s="22" t="n">
        <v>0</v>
      </c>
      <c r="N1257" s="22" t="n">
        <v>0</v>
      </c>
      <c r="O1257" s="22" t="n">
        <v>0</v>
      </c>
      <c r="P1257" s="22" t="n">
        <v>1</v>
      </c>
      <c r="Q1257" s="22" t="n">
        <v>0</v>
      </c>
      <c r="R1257" s="22" t="n">
        <v>0</v>
      </c>
      <c r="S1257" s="22" t="n">
        <v>0</v>
      </c>
      <c r="T1257" s="22" t="n">
        <v>0</v>
      </c>
      <c r="U1257" s="3">
        <f>IF(OR(N1257=1,Q1257=1),1,0)</f>
        <v/>
      </c>
      <c r="V1257" s="3">
        <f>IF(OR(T1257=1,P1257=1),1,0)</f>
        <v/>
      </c>
      <c r="W1257" s="3">
        <f>IF(OR(J1257=1),1,0)</f>
        <v/>
      </c>
      <c r="X1257" s="3">
        <f>IF(OR(I1257=1,H1257=1),1,0)</f>
        <v/>
      </c>
      <c r="Y1257" s="3">
        <f>IF(OR(G1257=1),1,0)</f>
        <v/>
      </c>
      <c r="Z1257" s="3">
        <f>IF(OR(F1257=1),1,0)</f>
        <v/>
      </c>
      <c r="AA1257" s="3">
        <f>IF(OR(M1257=1),1,0)</f>
        <v/>
      </c>
    </row>
    <row r="1258">
      <c r="A1258" s="22" t="inlineStr">
        <is>
          <t>235ce7240faaa6bc4483799556f30bf9aca6eb1a</t>
        </is>
      </c>
      <c r="B1258" s="22" t="inlineStr">
        <is>
          <t>2026-02</t>
        </is>
      </c>
      <c r="C1258" s="22" t="inlineStr">
        <is>
          <t>Instagram</t>
        </is>
      </c>
      <c r="D1258" s="22" t="n">
        <v>0</v>
      </c>
      <c r="E1258" s="22" t="inlineStr">
        <is>
          <t>Instagram: Instagram: mazitundeednut</t>
        </is>
      </c>
      <c r="F1258" s="22" t="inlineStr">
        <is>
          <t>instagram:Instagram: mazitundeednut</t>
        </is>
      </c>
      <c r="G1258" s="22" t="n">
        <v>-0.296</v>
      </c>
      <c r="H1258" s="22" t="n">
        <v>0</v>
      </c>
      <c r="I1258" s="22" t="n">
        <v>0</v>
      </c>
      <c r="J1258" s="22" t="n">
        <v>0</v>
      </c>
      <c r="K1258" s="22" t="n">
        <v>0</v>
      </c>
      <c r="L1258" s="22" t="n">
        <v>0</v>
      </c>
      <c r="M1258" s="22" t="n">
        <v>0</v>
      </c>
      <c r="N1258" s="22" t="n">
        <v>0</v>
      </c>
      <c r="O1258" s="22" t="n">
        <v>0</v>
      </c>
      <c r="P1258" s="22" t="n">
        <v>1</v>
      </c>
      <c r="Q1258" s="22" t="n">
        <v>0</v>
      </c>
      <c r="R1258" s="22" t="n">
        <v>0</v>
      </c>
      <c r="S1258" s="22" t="n">
        <v>0</v>
      </c>
      <c r="T1258" s="22" t="n">
        <v>0</v>
      </c>
      <c r="U1258" s="3">
        <f>IF(OR(N1258=1,Q1258=1),1,0)</f>
        <v/>
      </c>
      <c r="V1258" s="3">
        <f>IF(OR(T1258=1,P1258=1),1,0)</f>
        <v/>
      </c>
      <c r="W1258" s="3">
        <f>IF(OR(J1258=1),1,0)</f>
        <v/>
      </c>
      <c r="X1258" s="3">
        <f>IF(OR(I1258=1,H1258=1),1,0)</f>
        <v/>
      </c>
      <c r="Y1258" s="3">
        <f>IF(OR(G1258=1),1,0)</f>
        <v/>
      </c>
      <c r="Z1258" s="3">
        <f>IF(OR(F1258=1),1,0)</f>
        <v/>
      </c>
      <c r="AA1258" s="3">
        <f>IF(OR(M1258=1),1,0)</f>
        <v/>
      </c>
    </row>
    <row r="1259">
      <c r="A1259" s="22" t="inlineStr">
        <is>
          <t>0156e21a2500ad9b66926524f3c86a3df5b0da15</t>
        </is>
      </c>
      <c r="B1259" s="22" t="inlineStr">
        <is>
          <t>2026-02</t>
        </is>
      </c>
      <c r="C1259" s="22" t="inlineStr">
        <is>
          <t>Instagram</t>
        </is>
      </c>
      <c r="D1259" s="22" t="n">
        <v>0</v>
      </c>
      <c r="E1259" s="22" t="inlineStr">
        <is>
          <t>Instagram: Instagram: mazitundeednut</t>
        </is>
      </c>
      <c r="F1259" s="22" t="inlineStr">
        <is>
          <t>instagram:Instagram: mazitundeednut</t>
        </is>
      </c>
      <c r="G1259" s="22" t="n">
        <v>-0.586</v>
      </c>
      <c r="H1259" s="22" t="n">
        <v>1</v>
      </c>
      <c r="I1259" s="22" t="n">
        <v>0</v>
      </c>
      <c r="J1259" s="22" t="n">
        <v>0</v>
      </c>
      <c r="K1259" s="22" t="n">
        <v>0</v>
      </c>
      <c r="L1259" s="22" t="n">
        <v>0</v>
      </c>
      <c r="M1259" s="22" t="n">
        <v>0</v>
      </c>
      <c r="N1259" s="22" t="n">
        <v>0</v>
      </c>
      <c r="O1259" s="22" t="n">
        <v>0</v>
      </c>
      <c r="P1259" s="22" t="n">
        <v>0</v>
      </c>
      <c r="Q1259" s="22" t="n">
        <v>0</v>
      </c>
      <c r="R1259" s="22" t="n">
        <v>0</v>
      </c>
      <c r="S1259" s="22" t="n">
        <v>0</v>
      </c>
      <c r="T1259" s="22" t="n">
        <v>0</v>
      </c>
      <c r="U1259" s="3">
        <f>IF(OR(N1259=1,Q1259=1),1,0)</f>
        <v/>
      </c>
      <c r="V1259" s="3">
        <f>IF(OR(T1259=1,P1259=1),1,0)</f>
        <v/>
      </c>
      <c r="W1259" s="3">
        <f>IF(OR(J1259=1),1,0)</f>
        <v/>
      </c>
      <c r="X1259" s="3">
        <f>IF(OR(I1259=1,H1259=1),1,0)</f>
        <v/>
      </c>
      <c r="Y1259" s="3">
        <f>IF(OR(G1259=1),1,0)</f>
        <v/>
      </c>
      <c r="Z1259" s="3">
        <f>IF(OR(F1259=1),1,0)</f>
        <v/>
      </c>
      <c r="AA1259" s="3">
        <f>IF(OR(M1259=1),1,0)</f>
        <v/>
      </c>
    </row>
    <row r="1260">
      <c r="A1260" s="22" t="inlineStr">
        <is>
          <t>12fd759a7704127f8cc77f1eae326382a836eeea</t>
        </is>
      </c>
      <c r="B1260" s="22" t="inlineStr">
        <is>
          <t>2026-02</t>
        </is>
      </c>
      <c r="C1260" s="22" t="inlineStr">
        <is>
          <t>Instagram</t>
        </is>
      </c>
      <c r="D1260" s="22" t="n">
        <v>0</v>
      </c>
      <c r="E1260" s="22" t="inlineStr">
        <is>
          <t>Instagram: Instagram: mazitundeednut</t>
        </is>
      </c>
      <c r="F1260" s="22" t="inlineStr">
        <is>
          <t>instagram:Instagram: mazitundeednut</t>
        </is>
      </c>
      <c r="G1260" s="22" t="n">
        <v>-0.128</v>
      </c>
      <c r="H1260" s="22" t="n">
        <v>0</v>
      </c>
      <c r="I1260" s="22" t="n">
        <v>0</v>
      </c>
      <c r="J1260" s="22" t="n">
        <v>0</v>
      </c>
      <c r="K1260" s="22" t="n">
        <v>0</v>
      </c>
      <c r="L1260" s="22" t="n">
        <v>0</v>
      </c>
      <c r="M1260" s="22" t="n">
        <v>0</v>
      </c>
      <c r="N1260" s="22" t="n">
        <v>0</v>
      </c>
      <c r="O1260" s="22" t="n">
        <v>0</v>
      </c>
      <c r="P1260" s="22" t="n">
        <v>1</v>
      </c>
      <c r="Q1260" s="22" t="n">
        <v>0</v>
      </c>
      <c r="R1260" s="22" t="n">
        <v>0</v>
      </c>
      <c r="S1260" s="22" t="n">
        <v>0</v>
      </c>
      <c r="T1260" s="22" t="n">
        <v>0</v>
      </c>
      <c r="U1260" s="3">
        <f>IF(OR(N1260=1,Q1260=1),1,0)</f>
        <v/>
      </c>
      <c r="V1260" s="3">
        <f>IF(OR(T1260=1,P1260=1),1,0)</f>
        <v/>
      </c>
      <c r="W1260" s="3">
        <f>IF(OR(J1260=1),1,0)</f>
        <v/>
      </c>
      <c r="X1260" s="3">
        <f>IF(OR(I1260=1,H1260=1),1,0)</f>
        <v/>
      </c>
      <c r="Y1260" s="3">
        <f>IF(OR(G1260=1),1,0)</f>
        <v/>
      </c>
      <c r="Z1260" s="3">
        <f>IF(OR(F1260=1),1,0)</f>
        <v/>
      </c>
      <c r="AA1260" s="3">
        <f>IF(OR(M1260=1),1,0)</f>
        <v/>
      </c>
    </row>
    <row r="1261">
      <c r="A1261" s="22" t="inlineStr">
        <is>
          <t>ef41f482b964093935f427672beaf16d4987aa6b</t>
        </is>
      </c>
      <c r="B1261" s="22" t="inlineStr">
        <is>
          <t>2026-02</t>
        </is>
      </c>
      <c r="C1261" s="22" t="inlineStr">
        <is>
          <t>Instagram</t>
        </is>
      </c>
      <c r="D1261" s="22" t="n">
        <v>0</v>
      </c>
      <c r="E1261" s="22" t="inlineStr">
        <is>
          <t>Instagram: Instagram: mazitundeednut</t>
        </is>
      </c>
      <c r="F1261" s="22" t="inlineStr">
        <is>
          <t>instagram:Instagram: mazitundeednut</t>
        </is>
      </c>
      <c r="G1261" s="22" t="n">
        <v>-0.369</v>
      </c>
      <c r="H1261" s="22" t="n">
        <v>0</v>
      </c>
      <c r="I1261" s="22" t="n">
        <v>0</v>
      </c>
      <c r="J1261" s="22" t="n">
        <v>0</v>
      </c>
      <c r="K1261" s="22" t="n">
        <v>0</v>
      </c>
      <c r="L1261" s="22" t="n">
        <v>0</v>
      </c>
      <c r="M1261" s="22" t="n">
        <v>0</v>
      </c>
      <c r="N1261" s="22" t="n">
        <v>0</v>
      </c>
      <c r="O1261" s="22" t="n">
        <v>0</v>
      </c>
      <c r="P1261" s="22" t="n">
        <v>1</v>
      </c>
      <c r="Q1261" s="22" t="n">
        <v>0</v>
      </c>
      <c r="R1261" s="22" t="n">
        <v>0</v>
      </c>
      <c r="S1261" s="22" t="n">
        <v>0</v>
      </c>
      <c r="T1261" s="22" t="n">
        <v>0</v>
      </c>
      <c r="U1261" s="3">
        <f>IF(OR(N1261=1,Q1261=1),1,0)</f>
        <v/>
      </c>
      <c r="V1261" s="3">
        <f>IF(OR(T1261=1,P1261=1),1,0)</f>
        <v/>
      </c>
      <c r="W1261" s="3">
        <f>IF(OR(J1261=1),1,0)</f>
        <v/>
      </c>
      <c r="X1261" s="3">
        <f>IF(OR(I1261=1,H1261=1),1,0)</f>
        <v/>
      </c>
      <c r="Y1261" s="3">
        <f>IF(OR(G1261=1),1,0)</f>
        <v/>
      </c>
      <c r="Z1261" s="3">
        <f>IF(OR(F1261=1),1,0)</f>
        <v/>
      </c>
      <c r="AA1261" s="3">
        <f>IF(OR(M1261=1),1,0)</f>
        <v/>
      </c>
    </row>
    <row r="1262">
      <c r="A1262" s="22" t="inlineStr">
        <is>
          <t>522f834a55a4031d9924e129ed2aec3278c30479</t>
        </is>
      </c>
      <c r="B1262" s="22" t="inlineStr">
        <is>
          <t>2026-02</t>
        </is>
      </c>
      <c r="C1262" s="22" t="inlineStr">
        <is>
          <t>Instagram</t>
        </is>
      </c>
      <c r="D1262" s="22" t="n">
        <v>0</v>
      </c>
      <c r="E1262" s="22" t="inlineStr">
        <is>
          <t>Instagram: Instagram: mazitundeednut</t>
        </is>
      </c>
      <c r="F1262" s="22" t="inlineStr">
        <is>
          <t>instagram:Instagram: mazitundeednut</t>
        </is>
      </c>
      <c r="G1262" s="22" t="n">
        <v>-0.585</v>
      </c>
      <c r="H1262" s="22" t="n">
        <v>1</v>
      </c>
      <c r="I1262" s="22" t="n">
        <v>0</v>
      </c>
      <c r="J1262" s="22" t="n">
        <v>0</v>
      </c>
      <c r="K1262" s="22" t="n">
        <v>0</v>
      </c>
      <c r="L1262" s="22" t="n">
        <v>0</v>
      </c>
      <c r="M1262" s="22" t="n">
        <v>0</v>
      </c>
      <c r="N1262" s="22" t="n">
        <v>0</v>
      </c>
      <c r="O1262" s="22" t="n">
        <v>0</v>
      </c>
      <c r="P1262" s="22" t="n">
        <v>0</v>
      </c>
      <c r="Q1262" s="22" t="n">
        <v>0</v>
      </c>
      <c r="R1262" s="22" t="n">
        <v>0</v>
      </c>
      <c r="S1262" s="22" t="n">
        <v>0</v>
      </c>
      <c r="T1262" s="22" t="n">
        <v>0</v>
      </c>
      <c r="U1262" s="3">
        <f>IF(OR(N1262=1,Q1262=1),1,0)</f>
        <v/>
      </c>
      <c r="V1262" s="3">
        <f>IF(OR(T1262=1,P1262=1),1,0)</f>
        <v/>
      </c>
      <c r="W1262" s="3">
        <f>IF(OR(J1262=1),1,0)</f>
        <v/>
      </c>
      <c r="X1262" s="3">
        <f>IF(OR(I1262=1,H1262=1),1,0)</f>
        <v/>
      </c>
      <c r="Y1262" s="3">
        <f>IF(OR(G1262=1),1,0)</f>
        <v/>
      </c>
      <c r="Z1262" s="3">
        <f>IF(OR(F1262=1),1,0)</f>
        <v/>
      </c>
      <c r="AA1262" s="3">
        <f>IF(OR(M1262=1),1,0)</f>
        <v/>
      </c>
    </row>
    <row r="1263">
      <c r="A1263" s="22" t="inlineStr">
        <is>
          <t>563fb76f3e95128a860bdaf4f7a9d53625280bca</t>
        </is>
      </c>
      <c r="B1263" s="22" t="inlineStr">
        <is>
          <t>2026-02</t>
        </is>
      </c>
      <c r="C1263" s="22" t="inlineStr">
        <is>
          <t>Instagram</t>
        </is>
      </c>
      <c r="D1263" s="22" t="n">
        <v>0</v>
      </c>
      <c r="E1263" s="22" t="inlineStr">
        <is>
          <t>Instagram: Instagram: mazitundeednut</t>
        </is>
      </c>
      <c r="F1263" s="22" t="inlineStr">
        <is>
          <t>instagram:Instagram: mazitundeednut</t>
        </is>
      </c>
      <c r="G1263" s="22" t="n">
        <v>0</v>
      </c>
      <c r="H1263" s="22" t="n">
        <v>0</v>
      </c>
      <c r="I1263" s="22" t="n">
        <v>0</v>
      </c>
      <c r="J1263" s="22" t="n">
        <v>0</v>
      </c>
      <c r="K1263" s="22" t="n">
        <v>0</v>
      </c>
      <c r="L1263" s="22" t="n">
        <v>0</v>
      </c>
      <c r="M1263" s="22" t="n">
        <v>0</v>
      </c>
      <c r="N1263" s="22" t="n">
        <v>0</v>
      </c>
      <c r="O1263" s="22" t="n">
        <v>0</v>
      </c>
      <c r="P1263" s="22" t="n">
        <v>1</v>
      </c>
      <c r="Q1263" s="22" t="n">
        <v>0</v>
      </c>
      <c r="R1263" s="22" t="n">
        <v>0</v>
      </c>
      <c r="S1263" s="22" t="n">
        <v>0</v>
      </c>
      <c r="T1263" s="22" t="n">
        <v>0</v>
      </c>
      <c r="U1263" s="3">
        <f>IF(OR(N1263=1,Q1263=1),1,0)</f>
        <v/>
      </c>
      <c r="V1263" s="3">
        <f>IF(OR(T1263=1,P1263=1),1,0)</f>
        <v/>
      </c>
      <c r="W1263" s="3">
        <f>IF(OR(J1263=1),1,0)</f>
        <v/>
      </c>
      <c r="X1263" s="3">
        <f>IF(OR(I1263=1,H1263=1),1,0)</f>
        <v/>
      </c>
      <c r="Y1263" s="3">
        <f>IF(OR(G1263=1),1,0)</f>
        <v/>
      </c>
      <c r="Z1263" s="3">
        <f>IF(OR(F1263=1),1,0)</f>
        <v/>
      </c>
      <c r="AA1263" s="3">
        <f>IF(OR(M1263=1),1,0)</f>
        <v/>
      </c>
    </row>
    <row r="1264">
      <c r="A1264" s="22" t="inlineStr">
        <is>
          <t>eef98d7cec04ac402086b0a9fa848c7f1ae3495e</t>
        </is>
      </c>
      <c r="B1264" s="22" t="inlineStr">
        <is>
          <t>2026-02</t>
        </is>
      </c>
      <c r="C1264" s="22" t="inlineStr">
        <is>
          <t>Instagram</t>
        </is>
      </c>
      <c r="D1264" s="22" t="n">
        <v>0</v>
      </c>
      <c r="E1264" s="22" t="inlineStr">
        <is>
          <t>Instagram: Instagram: mazitundeednut</t>
        </is>
      </c>
      <c r="F1264" s="22" t="inlineStr">
        <is>
          <t>instagram:Instagram: mazitundeednut</t>
        </is>
      </c>
      <c r="G1264" s="22" t="n">
        <v>0.747</v>
      </c>
      <c r="H1264" s="22" t="n">
        <v>0</v>
      </c>
      <c r="I1264" s="22" t="n">
        <v>0</v>
      </c>
      <c r="J1264" s="22" t="n">
        <v>0</v>
      </c>
      <c r="K1264" s="22" t="n">
        <v>0</v>
      </c>
      <c r="L1264" s="22" t="n">
        <v>0</v>
      </c>
      <c r="M1264" s="22" t="n">
        <v>0</v>
      </c>
      <c r="N1264" s="22" t="n">
        <v>1</v>
      </c>
      <c r="O1264" s="22" t="n">
        <v>0</v>
      </c>
      <c r="P1264" s="22" t="n">
        <v>0</v>
      </c>
      <c r="Q1264" s="22" t="n">
        <v>0</v>
      </c>
      <c r="R1264" s="22" t="n">
        <v>0</v>
      </c>
      <c r="S1264" s="22" t="n">
        <v>0</v>
      </c>
      <c r="T1264" s="22" t="n">
        <v>0</v>
      </c>
      <c r="U1264" s="3">
        <f>IF(OR(N1264=1,Q1264=1),1,0)</f>
        <v/>
      </c>
      <c r="V1264" s="3">
        <f>IF(OR(T1264=1,P1264=1),1,0)</f>
        <v/>
      </c>
      <c r="W1264" s="3">
        <f>IF(OR(J1264=1),1,0)</f>
        <v/>
      </c>
      <c r="X1264" s="3">
        <f>IF(OR(I1264=1,H1264=1),1,0)</f>
        <v/>
      </c>
      <c r="Y1264" s="3">
        <f>IF(OR(G1264=1),1,0)</f>
        <v/>
      </c>
      <c r="Z1264" s="3">
        <f>IF(OR(F1264=1),1,0)</f>
        <v/>
      </c>
      <c r="AA1264" s="3">
        <f>IF(OR(M1264=1),1,0)</f>
        <v/>
      </c>
    </row>
    <row r="1265">
      <c r="A1265" s="22" t="inlineStr">
        <is>
          <t>5cf9e9f6f4457e0b3b596848239bd864b8d68ddc</t>
        </is>
      </c>
      <c r="B1265" s="22" t="inlineStr">
        <is>
          <t>2026-02</t>
        </is>
      </c>
      <c r="C1265" s="22" t="inlineStr">
        <is>
          <t>Instagram</t>
        </is>
      </c>
      <c r="D1265" s="22" t="n">
        <v>0</v>
      </c>
      <c r="E1265" s="22" t="inlineStr">
        <is>
          <t>Instagram: Instagram: mazitundeednut</t>
        </is>
      </c>
      <c r="F1265" s="22" t="inlineStr">
        <is>
          <t>instagram:Instagram: mazitundeednut</t>
        </is>
      </c>
      <c r="G1265" s="22" t="n">
        <v>0</v>
      </c>
      <c r="H1265" s="22" t="n">
        <v>1</v>
      </c>
      <c r="I1265" s="22" t="n">
        <v>0</v>
      </c>
      <c r="J1265" s="22" t="n">
        <v>0</v>
      </c>
      <c r="K1265" s="22" t="n">
        <v>0</v>
      </c>
      <c r="L1265" s="22" t="n">
        <v>0</v>
      </c>
      <c r="M1265" s="22" t="n">
        <v>0</v>
      </c>
      <c r="N1265" s="22" t="n">
        <v>0</v>
      </c>
      <c r="O1265" s="22" t="n">
        <v>0</v>
      </c>
      <c r="P1265" s="22" t="n">
        <v>0</v>
      </c>
      <c r="Q1265" s="22" t="n">
        <v>0</v>
      </c>
      <c r="R1265" s="22" t="n">
        <v>0</v>
      </c>
      <c r="S1265" s="22" t="n">
        <v>0</v>
      </c>
      <c r="T1265" s="22" t="n">
        <v>0</v>
      </c>
      <c r="U1265" s="3">
        <f>IF(OR(N1265=1,Q1265=1),1,0)</f>
        <v/>
      </c>
      <c r="V1265" s="3">
        <f>IF(OR(T1265=1,P1265=1),1,0)</f>
        <v/>
      </c>
      <c r="W1265" s="3">
        <f>IF(OR(J1265=1),1,0)</f>
        <v/>
      </c>
      <c r="X1265" s="3">
        <f>IF(OR(I1265=1,H1265=1),1,0)</f>
        <v/>
      </c>
      <c r="Y1265" s="3">
        <f>IF(OR(G1265=1),1,0)</f>
        <v/>
      </c>
      <c r="Z1265" s="3">
        <f>IF(OR(F1265=1),1,0)</f>
        <v/>
      </c>
      <c r="AA1265" s="3">
        <f>IF(OR(M1265=1),1,0)</f>
        <v/>
      </c>
    </row>
    <row r="1266">
      <c r="A1266" s="22" t="inlineStr">
        <is>
          <t>b59a22fb81b0d1dafdf41bc2388e517eaaeee770</t>
        </is>
      </c>
      <c r="B1266" s="22" t="inlineStr">
        <is>
          <t>2026-02</t>
        </is>
      </c>
      <c r="C1266" s="22" t="inlineStr">
        <is>
          <t>Instagram</t>
        </is>
      </c>
      <c r="D1266" s="22" t="n">
        <v>0</v>
      </c>
      <c r="E1266" s="22" t="inlineStr">
        <is>
          <t>Instagram: Instagram: mazitundeednut</t>
        </is>
      </c>
      <c r="F1266" s="22" t="inlineStr">
        <is>
          <t>instagram:Instagram: mazitundeednut</t>
        </is>
      </c>
      <c r="G1266" s="22" t="n">
        <v>0.612</v>
      </c>
      <c r="H1266" s="22" t="n">
        <v>0</v>
      </c>
      <c r="I1266" s="22" t="n">
        <v>0</v>
      </c>
      <c r="J1266" s="22" t="n">
        <v>0</v>
      </c>
      <c r="K1266" s="22" t="n">
        <v>0</v>
      </c>
      <c r="L1266" s="22" t="n">
        <v>0</v>
      </c>
      <c r="M1266" s="22" t="n">
        <v>0</v>
      </c>
      <c r="N1266" s="22" t="n">
        <v>0</v>
      </c>
      <c r="O1266" s="22" t="n">
        <v>0</v>
      </c>
      <c r="P1266" s="22" t="n">
        <v>1</v>
      </c>
      <c r="Q1266" s="22" t="n">
        <v>0</v>
      </c>
      <c r="R1266" s="22" t="n">
        <v>0</v>
      </c>
      <c r="S1266" s="22" t="n">
        <v>0</v>
      </c>
      <c r="T1266" s="22" t="n">
        <v>0</v>
      </c>
      <c r="U1266" s="3">
        <f>IF(OR(N1266=1,Q1266=1),1,0)</f>
        <v/>
      </c>
      <c r="V1266" s="3">
        <f>IF(OR(T1266=1,P1266=1),1,0)</f>
        <v/>
      </c>
      <c r="W1266" s="3">
        <f>IF(OR(J1266=1),1,0)</f>
        <v/>
      </c>
      <c r="X1266" s="3">
        <f>IF(OR(I1266=1,H1266=1),1,0)</f>
        <v/>
      </c>
      <c r="Y1266" s="3">
        <f>IF(OR(G1266=1),1,0)</f>
        <v/>
      </c>
      <c r="Z1266" s="3">
        <f>IF(OR(F1266=1),1,0)</f>
        <v/>
      </c>
      <c r="AA1266" s="3">
        <f>IF(OR(M1266=1),1,0)</f>
        <v/>
      </c>
    </row>
    <row r="1267">
      <c r="A1267" s="22" t="inlineStr">
        <is>
          <t>4733c1b6f56404137362d19ac6140d3f7ea4c915</t>
        </is>
      </c>
      <c r="B1267" s="22" t="inlineStr">
        <is>
          <t>2026-02</t>
        </is>
      </c>
      <c r="C1267" s="22" t="inlineStr">
        <is>
          <t>Instagram</t>
        </is>
      </c>
      <c r="D1267" s="22" t="n">
        <v>0</v>
      </c>
      <c r="E1267" s="22" t="inlineStr">
        <is>
          <t>Instagram: Instagram: mazitundeednut</t>
        </is>
      </c>
      <c r="F1267" s="22" t="inlineStr">
        <is>
          <t>instagram:Instagram: mazitundeednut</t>
        </is>
      </c>
      <c r="G1267" s="22" t="n">
        <v>0.92</v>
      </c>
      <c r="H1267" s="22" t="n">
        <v>0</v>
      </c>
      <c r="I1267" s="22" t="n">
        <v>0</v>
      </c>
      <c r="J1267" s="22" t="n">
        <v>0</v>
      </c>
      <c r="K1267" s="22" t="n">
        <v>0</v>
      </c>
      <c r="L1267" s="22" t="n">
        <v>0</v>
      </c>
      <c r="M1267" s="22" t="n">
        <v>0</v>
      </c>
      <c r="N1267" s="22" t="n">
        <v>0</v>
      </c>
      <c r="O1267" s="22" t="n">
        <v>0</v>
      </c>
      <c r="P1267" s="22" t="n">
        <v>0</v>
      </c>
      <c r="Q1267" s="22" t="n">
        <v>0</v>
      </c>
      <c r="R1267" s="22" t="n">
        <v>0</v>
      </c>
      <c r="S1267" s="22" t="n">
        <v>0</v>
      </c>
      <c r="T1267" s="22" t="n">
        <v>1</v>
      </c>
      <c r="U1267" s="3">
        <f>IF(OR(N1267=1,Q1267=1),1,0)</f>
        <v/>
      </c>
      <c r="V1267" s="3">
        <f>IF(OR(T1267=1,P1267=1),1,0)</f>
        <v/>
      </c>
      <c r="W1267" s="3">
        <f>IF(OR(J1267=1),1,0)</f>
        <v/>
      </c>
      <c r="X1267" s="3">
        <f>IF(OR(I1267=1,H1267=1),1,0)</f>
        <v/>
      </c>
      <c r="Y1267" s="3">
        <f>IF(OR(G1267=1),1,0)</f>
        <v/>
      </c>
      <c r="Z1267" s="3">
        <f>IF(OR(F1267=1),1,0)</f>
        <v/>
      </c>
      <c r="AA1267" s="3">
        <f>IF(OR(M1267=1),1,0)</f>
        <v/>
      </c>
    </row>
    <row r="1268">
      <c r="A1268" s="22" t="inlineStr">
        <is>
          <t>1deb513cf64401ce8a3bcd7b20f29a9302cd77e3</t>
        </is>
      </c>
      <c r="B1268" s="22" t="inlineStr">
        <is>
          <t>2026-02</t>
        </is>
      </c>
      <c r="C1268" s="22" t="inlineStr">
        <is>
          <t>Instagram</t>
        </is>
      </c>
      <c r="D1268" s="22" t="n">
        <v>0</v>
      </c>
      <c r="E1268" s="22" t="inlineStr">
        <is>
          <t>Instagram: Instagram: mazitundeednut</t>
        </is>
      </c>
      <c r="F1268" s="22" t="inlineStr">
        <is>
          <t>instagram:Instagram: mazitundeednut</t>
        </is>
      </c>
      <c r="G1268" s="22" t="n">
        <v>0</v>
      </c>
      <c r="H1268" s="22" t="n">
        <v>0</v>
      </c>
      <c r="I1268" s="22" t="n">
        <v>0</v>
      </c>
      <c r="J1268" s="22" t="n">
        <v>0</v>
      </c>
      <c r="K1268" s="22" t="n">
        <v>0</v>
      </c>
      <c r="L1268" s="22" t="n">
        <v>0</v>
      </c>
      <c r="M1268" s="22" t="n">
        <v>0</v>
      </c>
      <c r="N1268" s="22" t="n">
        <v>0</v>
      </c>
      <c r="O1268" s="22" t="n">
        <v>0</v>
      </c>
      <c r="P1268" s="22" t="n">
        <v>1</v>
      </c>
      <c r="Q1268" s="22" t="n">
        <v>0</v>
      </c>
      <c r="R1268" s="22" t="n">
        <v>0</v>
      </c>
      <c r="S1268" s="22" t="n">
        <v>0</v>
      </c>
      <c r="T1268" s="22" t="n">
        <v>0</v>
      </c>
      <c r="U1268" s="3">
        <f>IF(OR(N1268=1,Q1268=1),1,0)</f>
        <v/>
      </c>
      <c r="V1268" s="3">
        <f>IF(OR(T1268=1,P1268=1),1,0)</f>
        <v/>
      </c>
      <c r="W1268" s="3">
        <f>IF(OR(J1268=1),1,0)</f>
        <v/>
      </c>
      <c r="X1268" s="3">
        <f>IF(OR(I1268=1,H1268=1),1,0)</f>
        <v/>
      </c>
      <c r="Y1268" s="3">
        <f>IF(OR(G1268=1),1,0)</f>
        <v/>
      </c>
      <c r="Z1268" s="3">
        <f>IF(OR(F1268=1),1,0)</f>
        <v/>
      </c>
      <c r="AA1268" s="3">
        <f>IF(OR(M1268=1),1,0)</f>
        <v/>
      </c>
    </row>
    <row r="1269">
      <c r="A1269" s="22" t="inlineStr">
        <is>
          <t>d233ee694ab8f934a409ca8416eb6a552849ab86</t>
        </is>
      </c>
      <c r="B1269" s="22" t="inlineStr">
        <is>
          <t>2026-02</t>
        </is>
      </c>
      <c r="C1269" s="22" t="inlineStr">
        <is>
          <t>Instagram</t>
        </is>
      </c>
      <c r="D1269" s="22" t="n">
        <v>0</v>
      </c>
      <c r="E1269" s="22" t="inlineStr">
        <is>
          <t>Instagram: Instagram: mazitundeednut</t>
        </is>
      </c>
      <c r="F1269" s="22" t="inlineStr">
        <is>
          <t>instagram:Instagram: mazitundeednut</t>
        </is>
      </c>
      <c r="G1269" s="22" t="n">
        <v>0</v>
      </c>
      <c r="H1269" s="22" t="n">
        <v>1</v>
      </c>
      <c r="I1269" s="22" t="n">
        <v>0</v>
      </c>
      <c r="J1269" s="22" t="n">
        <v>0</v>
      </c>
      <c r="K1269" s="22" t="n">
        <v>0</v>
      </c>
      <c r="L1269" s="22" t="n">
        <v>0</v>
      </c>
      <c r="M1269" s="22" t="n">
        <v>0</v>
      </c>
      <c r="N1269" s="22" t="n">
        <v>0</v>
      </c>
      <c r="O1269" s="22" t="n">
        <v>0</v>
      </c>
      <c r="P1269" s="22" t="n">
        <v>0</v>
      </c>
      <c r="Q1269" s="22" t="n">
        <v>0</v>
      </c>
      <c r="R1269" s="22" t="n">
        <v>0</v>
      </c>
      <c r="S1269" s="22" t="n">
        <v>0</v>
      </c>
      <c r="T1269" s="22" t="n">
        <v>0</v>
      </c>
      <c r="U1269" s="3">
        <f>IF(OR(N1269=1,Q1269=1),1,0)</f>
        <v/>
      </c>
      <c r="V1269" s="3">
        <f>IF(OR(T1269=1,P1269=1),1,0)</f>
        <v/>
      </c>
      <c r="W1269" s="3">
        <f>IF(OR(J1269=1),1,0)</f>
        <v/>
      </c>
      <c r="X1269" s="3">
        <f>IF(OR(I1269=1,H1269=1),1,0)</f>
        <v/>
      </c>
      <c r="Y1269" s="3">
        <f>IF(OR(G1269=1),1,0)</f>
        <v/>
      </c>
      <c r="Z1269" s="3">
        <f>IF(OR(F1269=1),1,0)</f>
        <v/>
      </c>
      <c r="AA1269" s="3">
        <f>IF(OR(M1269=1),1,0)</f>
        <v/>
      </c>
    </row>
    <row r="1270">
      <c r="A1270" s="22" t="inlineStr">
        <is>
          <t>deb3709bcff3b1cf789a931d94390519eac45779</t>
        </is>
      </c>
      <c r="B1270" s="22" t="inlineStr">
        <is>
          <t>2026-02</t>
        </is>
      </c>
      <c r="C1270" s="22" t="inlineStr">
        <is>
          <t>Instagram</t>
        </is>
      </c>
      <c r="D1270" s="22" t="n">
        <v>0</v>
      </c>
      <c r="E1270" s="22" t="inlineStr">
        <is>
          <t>Instagram: Instagram: mazitundeednut</t>
        </is>
      </c>
      <c r="F1270" s="22" t="inlineStr">
        <is>
          <t>instagram:Instagram: mazitundeednut</t>
        </is>
      </c>
      <c r="G1270" s="22" t="n">
        <v>0.612</v>
      </c>
      <c r="H1270" s="22" t="n">
        <v>1</v>
      </c>
      <c r="I1270" s="22" t="n">
        <v>0</v>
      </c>
      <c r="J1270" s="22" t="n">
        <v>1</v>
      </c>
      <c r="K1270" s="22" t="n">
        <v>0</v>
      </c>
      <c r="L1270" s="22" t="n">
        <v>0</v>
      </c>
      <c r="M1270" s="22" t="n">
        <v>0</v>
      </c>
      <c r="N1270" s="22" t="n">
        <v>0</v>
      </c>
      <c r="O1270" s="22" t="n">
        <v>0</v>
      </c>
      <c r="P1270" s="22" t="n">
        <v>0</v>
      </c>
      <c r="Q1270" s="22" t="n">
        <v>0</v>
      </c>
      <c r="R1270" s="22" t="n">
        <v>0</v>
      </c>
      <c r="S1270" s="22" t="n">
        <v>0</v>
      </c>
      <c r="T1270" s="22" t="n">
        <v>0</v>
      </c>
      <c r="U1270" s="3">
        <f>IF(OR(N1270=1,Q1270=1),1,0)</f>
        <v/>
      </c>
      <c r="V1270" s="3">
        <f>IF(OR(T1270=1,P1270=1),1,0)</f>
        <v/>
      </c>
      <c r="W1270" s="3">
        <f>IF(OR(J1270=1),1,0)</f>
        <v/>
      </c>
      <c r="X1270" s="3">
        <f>IF(OR(I1270=1,H1270=1),1,0)</f>
        <v/>
      </c>
      <c r="Y1270" s="3">
        <f>IF(OR(G1270=1),1,0)</f>
        <v/>
      </c>
      <c r="Z1270" s="3">
        <f>IF(OR(F1270=1),1,0)</f>
        <v/>
      </c>
      <c r="AA1270" s="3">
        <f>IF(OR(M1270=1),1,0)</f>
        <v/>
      </c>
    </row>
    <row r="1271">
      <c r="A1271" s="22" t="inlineStr">
        <is>
          <t>8e868aa5aba01cbb3a122617f3eed397d17b9ff7</t>
        </is>
      </c>
      <c r="B1271" s="22" t="inlineStr">
        <is>
          <t>2026-02</t>
        </is>
      </c>
      <c r="C1271" s="22" t="inlineStr">
        <is>
          <t>Instagram</t>
        </is>
      </c>
      <c r="D1271" s="22" t="n">
        <v>0</v>
      </c>
      <c r="E1271" s="22" t="inlineStr">
        <is>
          <t>Instagram: Instagram: mazitundeednut</t>
        </is>
      </c>
      <c r="F1271" s="22" t="inlineStr">
        <is>
          <t>instagram:Instagram: mazitundeednut</t>
        </is>
      </c>
      <c r="G1271" s="22" t="n">
        <v>-0.434</v>
      </c>
      <c r="H1271" s="22" t="n">
        <v>0</v>
      </c>
      <c r="I1271" s="22" t="n">
        <v>0</v>
      </c>
      <c r="J1271" s="22" t="n">
        <v>0</v>
      </c>
      <c r="K1271" s="22" t="n">
        <v>0</v>
      </c>
      <c r="L1271" s="22" t="n">
        <v>0</v>
      </c>
      <c r="M1271" s="22" t="n">
        <v>0</v>
      </c>
      <c r="N1271" s="22" t="n">
        <v>0</v>
      </c>
      <c r="O1271" s="22" t="n">
        <v>0</v>
      </c>
      <c r="P1271" s="22" t="n">
        <v>1</v>
      </c>
      <c r="Q1271" s="22" t="n">
        <v>0</v>
      </c>
      <c r="R1271" s="22" t="n">
        <v>0</v>
      </c>
      <c r="S1271" s="22" t="n">
        <v>0</v>
      </c>
      <c r="T1271" s="22" t="n">
        <v>0</v>
      </c>
      <c r="U1271" s="3">
        <f>IF(OR(N1271=1,Q1271=1),1,0)</f>
        <v/>
      </c>
      <c r="V1271" s="3">
        <f>IF(OR(T1271=1,P1271=1),1,0)</f>
        <v/>
      </c>
      <c r="W1271" s="3">
        <f>IF(OR(J1271=1),1,0)</f>
        <v/>
      </c>
      <c r="X1271" s="3">
        <f>IF(OR(I1271=1,H1271=1),1,0)</f>
        <v/>
      </c>
      <c r="Y1271" s="3">
        <f>IF(OR(G1271=1),1,0)</f>
        <v/>
      </c>
      <c r="Z1271" s="3">
        <f>IF(OR(F1271=1),1,0)</f>
        <v/>
      </c>
      <c r="AA1271" s="3">
        <f>IF(OR(M1271=1),1,0)</f>
        <v/>
      </c>
    </row>
    <row r="1272">
      <c r="A1272" s="22" t="inlineStr">
        <is>
          <t>70ac94eedd8209b71004fd7f25340575d517801b</t>
        </is>
      </c>
      <c r="B1272" s="22" t="inlineStr">
        <is>
          <t>2026-02</t>
        </is>
      </c>
      <c r="C1272" s="22" t="inlineStr">
        <is>
          <t>Instagram</t>
        </is>
      </c>
      <c r="D1272" s="22" t="n">
        <v>0</v>
      </c>
      <c r="E1272" s="22" t="inlineStr">
        <is>
          <t>Instagram: Instagram: mazitundeednut</t>
        </is>
      </c>
      <c r="F1272" s="22" t="inlineStr">
        <is>
          <t>instagram:Instagram: mazitundeednut</t>
        </is>
      </c>
      <c r="G1272" s="22" t="n">
        <v>0.5</v>
      </c>
      <c r="H1272" s="22" t="n">
        <v>0</v>
      </c>
      <c r="I1272" s="22" t="n">
        <v>1</v>
      </c>
      <c r="J1272" s="22" t="n">
        <v>0</v>
      </c>
      <c r="K1272" s="22" t="n">
        <v>0</v>
      </c>
      <c r="L1272" s="22" t="n">
        <v>0</v>
      </c>
      <c r="M1272" s="22" t="n">
        <v>0</v>
      </c>
      <c r="N1272" s="22" t="n">
        <v>0</v>
      </c>
      <c r="O1272" s="22" t="n">
        <v>0</v>
      </c>
      <c r="P1272" s="22" t="n">
        <v>0</v>
      </c>
      <c r="Q1272" s="22" t="n">
        <v>0</v>
      </c>
      <c r="R1272" s="22" t="n">
        <v>0</v>
      </c>
      <c r="S1272" s="22" t="n">
        <v>0</v>
      </c>
      <c r="T1272" s="22" t="n">
        <v>0</v>
      </c>
      <c r="U1272" s="3">
        <f>IF(OR(N1272=1,Q1272=1),1,0)</f>
        <v/>
      </c>
      <c r="V1272" s="3">
        <f>IF(OR(T1272=1,P1272=1),1,0)</f>
        <v/>
      </c>
      <c r="W1272" s="3">
        <f>IF(OR(J1272=1),1,0)</f>
        <v/>
      </c>
      <c r="X1272" s="3">
        <f>IF(OR(I1272=1,H1272=1),1,0)</f>
        <v/>
      </c>
      <c r="Y1272" s="3">
        <f>IF(OR(G1272=1),1,0)</f>
        <v/>
      </c>
      <c r="Z1272" s="3">
        <f>IF(OR(F1272=1),1,0)</f>
        <v/>
      </c>
      <c r="AA1272" s="3">
        <f>IF(OR(M1272=1),1,0)</f>
        <v/>
      </c>
    </row>
    <row r="1273">
      <c r="A1273" s="22" t="inlineStr">
        <is>
          <t>11d04fb913e5b8bad51fd70351e2e0d942594576</t>
        </is>
      </c>
      <c r="B1273" s="22" t="inlineStr">
        <is>
          <t>2026-09</t>
        </is>
      </c>
      <c r="C1273" s="22" t="inlineStr">
        <is>
          <t>Instagram</t>
        </is>
      </c>
      <c r="D1273" s="22" t="n">
        <v>1</v>
      </c>
      <c r="E1273" s="22" t="inlineStr">
        <is>
          <t>Instagram: Instagram search: INEC 2027</t>
        </is>
      </c>
      <c r="F1273" s="22" t="inlineStr">
        <is>
          <t>instagram:Instagram search: INEC 2027</t>
        </is>
      </c>
      <c r="G1273" s="22" t="n">
        <v>-0.886</v>
      </c>
      <c r="H1273" s="22" t="n">
        <v>1</v>
      </c>
      <c r="I1273" s="22" t="n">
        <v>0</v>
      </c>
      <c r="J1273" s="22" t="n">
        <v>0</v>
      </c>
      <c r="K1273" s="22" t="n">
        <v>0</v>
      </c>
      <c r="L1273" s="22" t="n">
        <v>0</v>
      </c>
      <c r="M1273" s="22" t="n">
        <v>0</v>
      </c>
      <c r="N1273" s="22" t="n">
        <v>0</v>
      </c>
      <c r="O1273" s="22" t="n">
        <v>1</v>
      </c>
      <c r="P1273" s="22" t="n">
        <v>0</v>
      </c>
      <c r="Q1273" s="22" t="n">
        <v>0</v>
      </c>
      <c r="R1273" s="22" t="n">
        <v>0</v>
      </c>
      <c r="S1273" s="22" t="n">
        <v>0</v>
      </c>
      <c r="T1273" s="22" t="n">
        <v>0</v>
      </c>
      <c r="U1273" s="3">
        <f>IF(OR(N1273=1,Q1273=1),1,0)</f>
        <v/>
      </c>
      <c r="V1273" s="3">
        <f>IF(OR(T1273=1,P1273=1),1,0)</f>
        <v/>
      </c>
      <c r="W1273" s="3">
        <f>IF(OR(J1273=1),1,0)</f>
        <v/>
      </c>
      <c r="X1273" s="3">
        <f>IF(OR(I1273=1,H1273=1),1,0)</f>
        <v/>
      </c>
      <c r="Y1273" s="3">
        <f>IF(OR(G1273=1),1,0)</f>
        <v/>
      </c>
      <c r="Z1273" s="3">
        <f>IF(OR(F1273=1),1,0)</f>
        <v/>
      </c>
      <c r="AA1273" s="3">
        <f>IF(OR(M1273=1),1,0)</f>
        <v/>
      </c>
    </row>
    <row r="1274">
      <c r="A1274" s="22" t="inlineStr">
        <is>
          <t>2729aae2f7087dd5ecadd7b95b9a013d49e3d211</t>
        </is>
      </c>
      <c r="B1274" s="22" t="inlineStr">
        <is>
          <t>2026-09</t>
        </is>
      </c>
      <c r="C1274" s="22" t="inlineStr">
        <is>
          <t>Instagram</t>
        </is>
      </c>
      <c r="D1274" s="22" t="n">
        <v>1</v>
      </c>
      <c r="E1274" s="22" t="inlineStr">
        <is>
          <t>Instagram: Instagram search: INEC 2027</t>
        </is>
      </c>
      <c r="F1274" s="22" t="inlineStr">
        <is>
          <t>instagram:Instagram search: INEC 2027</t>
        </is>
      </c>
      <c r="G1274" s="22" t="n">
        <v>-0.418</v>
      </c>
      <c r="H1274" s="22" t="n">
        <v>0</v>
      </c>
      <c r="I1274" s="22" t="n">
        <v>0</v>
      </c>
      <c r="J1274" s="22" t="n">
        <v>0</v>
      </c>
      <c r="K1274" s="22" t="n">
        <v>0</v>
      </c>
      <c r="L1274" s="22" t="n">
        <v>0</v>
      </c>
      <c r="M1274" s="22" t="n">
        <v>0</v>
      </c>
      <c r="N1274" s="22" t="n">
        <v>0</v>
      </c>
      <c r="O1274" s="22" t="n">
        <v>0</v>
      </c>
      <c r="P1274" s="22" t="n">
        <v>1</v>
      </c>
      <c r="Q1274" s="22" t="n">
        <v>0</v>
      </c>
      <c r="R1274" s="22" t="n">
        <v>0</v>
      </c>
      <c r="S1274" s="22" t="n">
        <v>0</v>
      </c>
      <c r="T1274" s="22" t="n">
        <v>0</v>
      </c>
      <c r="U1274" s="3">
        <f>IF(OR(N1274=1,Q1274=1),1,0)</f>
        <v/>
      </c>
      <c r="V1274" s="3">
        <f>IF(OR(T1274=1,P1274=1),1,0)</f>
        <v/>
      </c>
      <c r="W1274" s="3">
        <f>IF(OR(J1274=1),1,0)</f>
        <v/>
      </c>
      <c r="X1274" s="3">
        <f>IF(OR(I1274=1,H1274=1),1,0)</f>
        <v/>
      </c>
      <c r="Y1274" s="3">
        <f>IF(OR(G1274=1),1,0)</f>
        <v/>
      </c>
      <c r="Z1274" s="3">
        <f>IF(OR(F1274=1),1,0)</f>
        <v/>
      </c>
      <c r="AA1274" s="3">
        <f>IF(OR(M1274=1),1,0)</f>
        <v/>
      </c>
    </row>
    <row r="1275">
      <c r="A1275" s="22" t="inlineStr">
        <is>
          <t>06ee62a99774d41782b26ea9df757133f8f9889e</t>
        </is>
      </c>
      <c r="B1275" s="22" t="inlineStr">
        <is>
          <t>2026-09</t>
        </is>
      </c>
      <c r="C1275" s="22" t="inlineStr">
        <is>
          <t>Instagram</t>
        </is>
      </c>
      <c r="D1275" s="22" t="n">
        <v>1</v>
      </c>
      <c r="E1275" s="22" t="inlineStr">
        <is>
          <t>Instagram: Instagram search: INEC 2027</t>
        </is>
      </c>
      <c r="F1275" s="22" t="inlineStr">
        <is>
          <t>instagram:Instagram search: INEC 2027</t>
        </is>
      </c>
      <c r="G1275" s="22" t="n">
        <v>-0.676</v>
      </c>
      <c r="H1275" s="22" t="n">
        <v>1</v>
      </c>
      <c r="I1275" s="22" t="n">
        <v>0</v>
      </c>
      <c r="J1275" s="22" t="n">
        <v>0</v>
      </c>
      <c r="K1275" s="22" t="n">
        <v>0</v>
      </c>
      <c r="L1275" s="22" t="n">
        <v>0</v>
      </c>
      <c r="M1275" s="22" t="n">
        <v>0</v>
      </c>
      <c r="N1275" s="22" t="n">
        <v>0</v>
      </c>
      <c r="O1275" s="22" t="n">
        <v>0</v>
      </c>
      <c r="P1275" s="22" t="n">
        <v>0</v>
      </c>
      <c r="Q1275" s="22" t="n">
        <v>0</v>
      </c>
      <c r="R1275" s="22" t="n">
        <v>0</v>
      </c>
      <c r="S1275" s="22" t="n">
        <v>0</v>
      </c>
      <c r="T1275" s="22" t="n">
        <v>0</v>
      </c>
      <c r="U1275" s="3">
        <f>IF(OR(N1275=1,Q1275=1),1,0)</f>
        <v/>
      </c>
      <c r="V1275" s="3">
        <f>IF(OR(T1275=1,P1275=1),1,0)</f>
        <v/>
      </c>
      <c r="W1275" s="3">
        <f>IF(OR(J1275=1),1,0)</f>
        <v/>
      </c>
      <c r="X1275" s="3">
        <f>IF(OR(I1275=1,H1275=1),1,0)</f>
        <v/>
      </c>
      <c r="Y1275" s="3">
        <f>IF(OR(G1275=1),1,0)</f>
        <v/>
      </c>
      <c r="Z1275" s="3">
        <f>IF(OR(F1275=1),1,0)</f>
        <v/>
      </c>
      <c r="AA1275" s="3">
        <f>IF(OR(M1275=1),1,0)</f>
        <v/>
      </c>
    </row>
    <row r="1276">
      <c r="A1276" s="22" t="inlineStr">
        <is>
          <t>9e62ab0de7bf1a615a4ac1e0373ab1f723708017</t>
        </is>
      </c>
      <c r="B1276" s="22" t="inlineStr">
        <is>
          <t>2026-10</t>
        </is>
      </c>
      <c r="C1276" s="22" t="inlineStr">
        <is>
          <t>Instagram</t>
        </is>
      </c>
      <c r="D1276" s="22" t="n">
        <v>1</v>
      </c>
      <c r="E1276" s="22" t="inlineStr">
        <is>
          <t>Instagram: Instagram search: INEC 2027</t>
        </is>
      </c>
      <c r="F1276" s="22" t="inlineStr">
        <is>
          <t>instagram:Instagram search: INEC 2027</t>
        </is>
      </c>
      <c r="G1276" s="22" t="n">
        <v>0</v>
      </c>
      <c r="H1276" s="22" t="n">
        <v>0</v>
      </c>
      <c r="I1276" s="22" t="n">
        <v>0</v>
      </c>
      <c r="J1276" s="22" t="n">
        <v>0</v>
      </c>
      <c r="K1276" s="22" t="n">
        <v>0</v>
      </c>
      <c r="L1276" s="22" t="n">
        <v>0</v>
      </c>
      <c r="M1276" s="22" t="n">
        <v>0</v>
      </c>
      <c r="N1276" s="22" t="n">
        <v>0</v>
      </c>
      <c r="O1276" s="22" t="n">
        <v>1</v>
      </c>
      <c r="P1276" s="22" t="n">
        <v>0</v>
      </c>
      <c r="Q1276" s="22" t="n">
        <v>0</v>
      </c>
      <c r="R1276" s="22" t="n">
        <v>0</v>
      </c>
      <c r="S1276" s="22" t="n">
        <v>0</v>
      </c>
      <c r="T1276" s="22" t="n">
        <v>0</v>
      </c>
      <c r="U1276" s="3">
        <f>IF(OR(N1276=1,Q1276=1),1,0)</f>
        <v/>
      </c>
      <c r="V1276" s="3">
        <f>IF(OR(T1276=1,P1276=1),1,0)</f>
        <v/>
      </c>
      <c r="W1276" s="3">
        <f>IF(OR(J1276=1),1,0)</f>
        <v/>
      </c>
      <c r="X1276" s="3">
        <f>IF(OR(I1276=1,H1276=1),1,0)</f>
        <v/>
      </c>
      <c r="Y1276" s="3">
        <f>IF(OR(G1276=1),1,0)</f>
        <v/>
      </c>
      <c r="Z1276" s="3">
        <f>IF(OR(F1276=1),1,0)</f>
        <v/>
      </c>
      <c r="AA1276" s="3">
        <f>IF(OR(M1276=1),1,0)</f>
        <v/>
      </c>
    </row>
    <row r="1277">
      <c r="A1277" s="22" t="inlineStr">
        <is>
          <t>424d0d998886a012f551063bdd88d397719a5d9e</t>
        </is>
      </c>
      <c r="B1277" s="22" t="inlineStr">
        <is>
          <t>2026-10</t>
        </is>
      </c>
      <c r="C1277" s="22" t="inlineStr">
        <is>
          <t>Instagram</t>
        </is>
      </c>
      <c r="D1277" s="22" t="n">
        <v>1</v>
      </c>
      <c r="E1277" s="22" t="inlineStr">
        <is>
          <t>Instagram: Instagram search: INEC 2027</t>
        </is>
      </c>
      <c r="F1277" s="22" t="inlineStr">
        <is>
          <t>instagram:Instagram search: INEC 2027</t>
        </is>
      </c>
      <c r="G1277" s="22" t="n">
        <v>0.873</v>
      </c>
      <c r="H1277" s="22" t="n">
        <v>1</v>
      </c>
      <c r="I1277" s="22" t="n">
        <v>0</v>
      </c>
      <c r="J1277" s="22" t="n">
        <v>0</v>
      </c>
      <c r="K1277" s="22" t="n">
        <v>0</v>
      </c>
      <c r="L1277" s="22" t="n">
        <v>0</v>
      </c>
      <c r="M1277" s="22" t="n">
        <v>0</v>
      </c>
      <c r="N1277" s="22" t="n">
        <v>0</v>
      </c>
      <c r="O1277" s="22" t="n">
        <v>0</v>
      </c>
      <c r="P1277" s="22" t="n">
        <v>0</v>
      </c>
      <c r="Q1277" s="22" t="n">
        <v>0</v>
      </c>
      <c r="R1277" s="22" t="n">
        <v>0</v>
      </c>
      <c r="S1277" s="22" t="n">
        <v>0</v>
      </c>
      <c r="T1277" s="22" t="n">
        <v>0</v>
      </c>
      <c r="U1277" s="3">
        <f>IF(OR(N1277=1,Q1277=1),1,0)</f>
        <v/>
      </c>
      <c r="V1277" s="3">
        <f>IF(OR(T1277=1,P1277=1),1,0)</f>
        <v/>
      </c>
      <c r="W1277" s="3">
        <f>IF(OR(J1277=1),1,0)</f>
        <v/>
      </c>
      <c r="X1277" s="3">
        <f>IF(OR(I1277=1,H1277=1),1,0)</f>
        <v/>
      </c>
      <c r="Y1277" s="3">
        <f>IF(OR(G1277=1),1,0)</f>
        <v/>
      </c>
      <c r="Z1277" s="3">
        <f>IF(OR(F1277=1),1,0)</f>
        <v/>
      </c>
      <c r="AA1277" s="3">
        <f>IF(OR(M1277=1),1,0)</f>
        <v/>
      </c>
    </row>
    <row r="1278">
      <c r="A1278" s="22" t="inlineStr">
        <is>
          <t>798af72f4778f316342abf1cb5a1c6e2414ad198</t>
        </is>
      </c>
      <c r="B1278" s="22" t="inlineStr">
        <is>
          <t>2026-09</t>
        </is>
      </c>
      <c r="C1278" s="22" t="inlineStr">
        <is>
          <t>Instagram</t>
        </is>
      </c>
      <c r="D1278" s="22" t="n">
        <v>1</v>
      </c>
      <c r="E1278" s="22" t="inlineStr">
        <is>
          <t>Instagram: Instagram search: INEC 2027</t>
        </is>
      </c>
      <c r="F1278" s="22" t="inlineStr">
        <is>
          <t>instagram:Instagram search: INEC 2027</t>
        </is>
      </c>
      <c r="G1278" s="22" t="n">
        <v>-0.296</v>
      </c>
      <c r="H1278" s="22" t="n">
        <v>0</v>
      </c>
      <c r="I1278" s="22" t="n">
        <v>0</v>
      </c>
      <c r="J1278" s="22" t="n">
        <v>0</v>
      </c>
      <c r="K1278" s="22" t="n">
        <v>0</v>
      </c>
      <c r="L1278" s="22" t="n">
        <v>0</v>
      </c>
      <c r="M1278" s="22" t="n">
        <v>0</v>
      </c>
      <c r="N1278" s="22" t="n">
        <v>0</v>
      </c>
      <c r="O1278" s="22" t="n">
        <v>1</v>
      </c>
      <c r="P1278" s="22" t="n">
        <v>0</v>
      </c>
      <c r="Q1278" s="22" t="n">
        <v>0</v>
      </c>
      <c r="R1278" s="22" t="n">
        <v>0</v>
      </c>
      <c r="S1278" s="22" t="n">
        <v>0</v>
      </c>
      <c r="T1278" s="22" t="n">
        <v>0</v>
      </c>
      <c r="U1278" s="3">
        <f>IF(OR(N1278=1,Q1278=1),1,0)</f>
        <v/>
      </c>
      <c r="V1278" s="3">
        <f>IF(OR(T1278=1,P1278=1),1,0)</f>
        <v/>
      </c>
      <c r="W1278" s="3">
        <f>IF(OR(J1278=1),1,0)</f>
        <v/>
      </c>
      <c r="X1278" s="3">
        <f>IF(OR(I1278=1,H1278=1),1,0)</f>
        <v/>
      </c>
      <c r="Y1278" s="3">
        <f>IF(OR(G1278=1),1,0)</f>
        <v/>
      </c>
      <c r="Z1278" s="3">
        <f>IF(OR(F1278=1),1,0)</f>
        <v/>
      </c>
      <c r="AA1278" s="3">
        <f>IF(OR(M1278=1),1,0)</f>
        <v/>
      </c>
    </row>
    <row r="1279">
      <c r="A1279" s="22" t="inlineStr">
        <is>
          <t>0bce5cc26e1b6abce1ba937916a6e9db5e3ff1fe</t>
        </is>
      </c>
      <c r="B1279" s="22" t="inlineStr">
        <is>
          <t>2026-10</t>
        </is>
      </c>
      <c r="C1279" s="22" t="inlineStr">
        <is>
          <t>Instagram</t>
        </is>
      </c>
      <c r="D1279" s="22" t="n">
        <v>1</v>
      </c>
      <c r="E1279" s="22" t="inlineStr">
        <is>
          <t>Instagram: Instagram search: INEC 2027</t>
        </is>
      </c>
      <c r="F1279" s="22" t="inlineStr">
        <is>
          <t>instagram:Instagram search: INEC 2027</t>
        </is>
      </c>
      <c r="G1279" s="22" t="n">
        <v>-0.641</v>
      </c>
      <c r="H1279" s="22" t="n">
        <v>1</v>
      </c>
      <c r="I1279" s="22" t="n">
        <v>0</v>
      </c>
      <c r="J1279" s="22" t="n">
        <v>0</v>
      </c>
      <c r="K1279" s="22" t="n">
        <v>0</v>
      </c>
      <c r="L1279" s="22" t="n">
        <v>0</v>
      </c>
      <c r="M1279" s="22" t="n">
        <v>0</v>
      </c>
      <c r="N1279" s="22" t="n">
        <v>0</v>
      </c>
      <c r="O1279" s="22" t="n">
        <v>0</v>
      </c>
      <c r="P1279" s="22" t="n">
        <v>0</v>
      </c>
      <c r="Q1279" s="22" t="n">
        <v>0</v>
      </c>
      <c r="R1279" s="22" t="n">
        <v>0</v>
      </c>
      <c r="S1279" s="22" t="n">
        <v>0</v>
      </c>
      <c r="T1279" s="22" t="n">
        <v>0</v>
      </c>
      <c r="U1279" s="3">
        <f>IF(OR(N1279=1,Q1279=1),1,0)</f>
        <v/>
      </c>
      <c r="V1279" s="3">
        <f>IF(OR(T1279=1,P1279=1),1,0)</f>
        <v/>
      </c>
      <c r="W1279" s="3">
        <f>IF(OR(J1279=1),1,0)</f>
        <v/>
      </c>
      <c r="X1279" s="3">
        <f>IF(OR(I1279=1,H1279=1),1,0)</f>
        <v/>
      </c>
      <c r="Y1279" s="3">
        <f>IF(OR(G1279=1),1,0)</f>
        <v/>
      </c>
      <c r="Z1279" s="3">
        <f>IF(OR(F1279=1),1,0)</f>
        <v/>
      </c>
      <c r="AA1279" s="3">
        <f>IF(OR(M1279=1),1,0)</f>
        <v/>
      </c>
    </row>
    <row r="1280">
      <c r="A1280" s="22" t="inlineStr">
        <is>
          <t>80dff6940d38796023db16117b3a0bc399410471</t>
        </is>
      </c>
      <c r="B1280" s="22" t="inlineStr">
        <is>
          <t>2026-09</t>
        </is>
      </c>
      <c r="C1280" s="22" t="inlineStr">
        <is>
          <t>Instagram</t>
        </is>
      </c>
      <c r="D1280" s="22" t="n">
        <v>1</v>
      </c>
      <c r="E1280" s="22" t="inlineStr">
        <is>
          <t>Instagram: Instagram search: INEC 2027</t>
        </is>
      </c>
      <c r="F1280" s="22" t="inlineStr">
        <is>
          <t>instagram:Instagram search: INEC 2027</t>
        </is>
      </c>
      <c r="G1280" s="22" t="n">
        <v>-0.542</v>
      </c>
      <c r="H1280" s="22" t="n">
        <v>1</v>
      </c>
      <c r="I1280" s="22" t="n">
        <v>0</v>
      </c>
      <c r="J1280" s="22" t="n">
        <v>0</v>
      </c>
      <c r="K1280" s="22" t="n">
        <v>0</v>
      </c>
      <c r="L1280" s="22" t="n">
        <v>0</v>
      </c>
      <c r="M1280" s="22" t="n">
        <v>0</v>
      </c>
      <c r="N1280" s="22" t="n">
        <v>0</v>
      </c>
      <c r="O1280" s="22" t="n">
        <v>0</v>
      </c>
      <c r="P1280" s="22" t="n">
        <v>0</v>
      </c>
      <c r="Q1280" s="22" t="n">
        <v>0</v>
      </c>
      <c r="R1280" s="22" t="n">
        <v>0</v>
      </c>
      <c r="S1280" s="22" t="n">
        <v>0</v>
      </c>
      <c r="T1280" s="22" t="n">
        <v>0</v>
      </c>
      <c r="U1280" s="3">
        <f>IF(OR(N1280=1,Q1280=1),1,0)</f>
        <v/>
      </c>
      <c r="V1280" s="3">
        <f>IF(OR(T1280=1,P1280=1),1,0)</f>
        <v/>
      </c>
      <c r="W1280" s="3">
        <f>IF(OR(J1280=1),1,0)</f>
        <v/>
      </c>
      <c r="X1280" s="3">
        <f>IF(OR(I1280=1,H1280=1),1,0)</f>
        <v/>
      </c>
      <c r="Y1280" s="3">
        <f>IF(OR(G1280=1),1,0)</f>
        <v/>
      </c>
      <c r="Z1280" s="3">
        <f>IF(OR(F1280=1),1,0)</f>
        <v/>
      </c>
      <c r="AA1280" s="3">
        <f>IF(OR(M1280=1),1,0)</f>
        <v/>
      </c>
    </row>
    <row r="1281">
      <c r="A1281" s="22" t="inlineStr">
        <is>
          <t>d1ae3ceccea9dfcf1f35d16dd146bc0d7594b79d</t>
        </is>
      </c>
      <c r="B1281" s="22" t="inlineStr">
        <is>
          <t>2026-09</t>
        </is>
      </c>
      <c r="C1281" s="22" t="inlineStr">
        <is>
          <t>Instagram</t>
        </is>
      </c>
      <c r="D1281" s="22" t="n">
        <v>1</v>
      </c>
      <c r="E1281" s="22" t="inlineStr">
        <is>
          <t>Instagram: Instagram search: INEC 2027</t>
        </is>
      </c>
      <c r="F1281" s="22" t="inlineStr">
        <is>
          <t>instagram:Instagram search: INEC 2027</t>
        </is>
      </c>
      <c r="G1281" s="22" t="n">
        <v>0.709</v>
      </c>
      <c r="H1281" s="22" t="n">
        <v>1</v>
      </c>
      <c r="I1281" s="22" t="n">
        <v>0</v>
      </c>
      <c r="J1281" s="22" t="n">
        <v>0</v>
      </c>
      <c r="K1281" s="22" t="n">
        <v>0</v>
      </c>
      <c r="L1281" s="22" t="n">
        <v>0</v>
      </c>
      <c r="M1281" s="22" t="n">
        <v>0</v>
      </c>
      <c r="N1281" s="22" t="n">
        <v>0</v>
      </c>
      <c r="O1281" s="22" t="n">
        <v>0</v>
      </c>
      <c r="P1281" s="22" t="n">
        <v>0</v>
      </c>
      <c r="Q1281" s="22" t="n">
        <v>0</v>
      </c>
      <c r="R1281" s="22" t="n">
        <v>0</v>
      </c>
      <c r="S1281" s="22" t="n">
        <v>0</v>
      </c>
      <c r="T1281" s="22" t="n">
        <v>0</v>
      </c>
      <c r="U1281" s="3">
        <f>IF(OR(N1281=1,Q1281=1),1,0)</f>
        <v/>
      </c>
      <c r="V1281" s="3">
        <f>IF(OR(T1281=1,P1281=1),1,0)</f>
        <v/>
      </c>
      <c r="W1281" s="3">
        <f>IF(OR(J1281=1),1,0)</f>
        <v/>
      </c>
      <c r="X1281" s="3">
        <f>IF(OR(I1281=1,H1281=1),1,0)</f>
        <v/>
      </c>
      <c r="Y1281" s="3">
        <f>IF(OR(G1281=1),1,0)</f>
        <v/>
      </c>
      <c r="Z1281" s="3">
        <f>IF(OR(F1281=1),1,0)</f>
        <v/>
      </c>
      <c r="AA1281" s="3">
        <f>IF(OR(M1281=1),1,0)</f>
        <v/>
      </c>
    </row>
    <row r="1282">
      <c r="A1282" s="22" t="inlineStr">
        <is>
          <t>aa8fb90f37e68bc19d9af68340e027b866a3ae9f</t>
        </is>
      </c>
      <c r="B1282" s="22" t="inlineStr">
        <is>
          <t>2026-10</t>
        </is>
      </c>
      <c r="C1282" s="22" t="inlineStr">
        <is>
          <t>Instagram</t>
        </is>
      </c>
      <c r="D1282" s="22" t="n">
        <v>1</v>
      </c>
      <c r="E1282" s="22" t="inlineStr">
        <is>
          <t>Instagram: Instagram search: INEC 2027</t>
        </is>
      </c>
      <c r="F1282" s="22" t="inlineStr">
        <is>
          <t>instagram:Instagram search: INEC 2027</t>
        </is>
      </c>
      <c r="G1282" s="22" t="n">
        <v>-0.541</v>
      </c>
      <c r="H1282" s="22" t="n">
        <v>0</v>
      </c>
      <c r="I1282" s="22" t="n">
        <v>0</v>
      </c>
      <c r="J1282" s="22" t="n">
        <v>0</v>
      </c>
      <c r="K1282" s="22" t="n">
        <v>0</v>
      </c>
      <c r="L1282" s="22" t="n">
        <v>0</v>
      </c>
      <c r="M1282" s="22" t="n">
        <v>0</v>
      </c>
      <c r="N1282" s="22" t="n">
        <v>0</v>
      </c>
      <c r="O1282" s="22" t="n">
        <v>1</v>
      </c>
      <c r="P1282" s="22" t="n">
        <v>0</v>
      </c>
      <c r="Q1282" s="22" t="n">
        <v>0</v>
      </c>
      <c r="R1282" s="22" t="n">
        <v>0</v>
      </c>
      <c r="S1282" s="22" t="n">
        <v>0</v>
      </c>
      <c r="T1282" s="22" t="n">
        <v>0</v>
      </c>
      <c r="U1282" s="3">
        <f>IF(OR(N1282=1,Q1282=1),1,0)</f>
        <v/>
      </c>
      <c r="V1282" s="3">
        <f>IF(OR(T1282=1,P1282=1),1,0)</f>
        <v/>
      </c>
      <c r="W1282" s="3">
        <f>IF(OR(J1282=1),1,0)</f>
        <v/>
      </c>
      <c r="X1282" s="3">
        <f>IF(OR(I1282=1,H1282=1),1,0)</f>
        <v/>
      </c>
      <c r="Y1282" s="3">
        <f>IF(OR(G1282=1),1,0)</f>
        <v/>
      </c>
      <c r="Z1282" s="3">
        <f>IF(OR(F1282=1),1,0)</f>
        <v/>
      </c>
      <c r="AA1282" s="3">
        <f>IF(OR(M1282=1),1,0)</f>
        <v/>
      </c>
    </row>
    <row r="1283">
      <c r="A1283" s="22" t="inlineStr">
        <is>
          <t>aac84d632f9e702d596efb01e6ec410dfb0f644c</t>
        </is>
      </c>
      <c r="B1283" s="22" t="inlineStr">
        <is>
          <t>2026-10</t>
        </is>
      </c>
      <c r="C1283" s="22" t="inlineStr">
        <is>
          <t>Instagram</t>
        </is>
      </c>
      <c r="D1283" s="22" t="n">
        <v>1</v>
      </c>
      <c r="E1283" s="22" t="inlineStr">
        <is>
          <t>Instagram: Instagram search: INEC 2027</t>
        </is>
      </c>
      <c r="F1283" s="22" t="inlineStr">
        <is>
          <t>instagram:Instagram search: INEC 2027</t>
        </is>
      </c>
      <c r="G1283" s="22" t="n">
        <v>-0.923</v>
      </c>
      <c r="H1283" s="22" t="n">
        <v>1</v>
      </c>
      <c r="I1283" s="22" t="n">
        <v>0</v>
      </c>
      <c r="J1283" s="22" t="n">
        <v>0</v>
      </c>
      <c r="K1283" s="22" t="n">
        <v>0</v>
      </c>
      <c r="L1283" s="22" t="n">
        <v>0</v>
      </c>
      <c r="M1283" s="22" t="n">
        <v>0</v>
      </c>
      <c r="N1283" s="22" t="n">
        <v>0</v>
      </c>
      <c r="O1283" s="22" t="n">
        <v>0</v>
      </c>
      <c r="P1283" s="22" t="n">
        <v>0</v>
      </c>
      <c r="Q1283" s="22" t="n">
        <v>0</v>
      </c>
      <c r="R1283" s="22" t="n">
        <v>0</v>
      </c>
      <c r="S1283" s="22" t="n">
        <v>0</v>
      </c>
      <c r="T1283" s="22" t="n">
        <v>0</v>
      </c>
      <c r="U1283" s="3">
        <f>IF(OR(N1283=1,Q1283=1),1,0)</f>
        <v/>
      </c>
      <c r="V1283" s="3">
        <f>IF(OR(T1283=1,P1283=1),1,0)</f>
        <v/>
      </c>
      <c r="W1283" s="3">
        <f>IF(OR(J1283=1),1,0)</f>
        <v/>
      </c>
      <c r="X1283" s="3">
        <f>IF(OR(I1283=1,H1283=1),1,0)</f>
        <v/>
      </c>
      <c r="Y1283" s="3">
        <f>IF(OR(G1283=1),1,0)</f>
        <v/>
      </c>
      <c r="Z1283" s="3">
        <f>IF(OR(F1283=1),1,0)</f>
        <v/>
      </c>
      <c r="AA1283" s="3">
        <f>IF(OR(M1283=1),1,0)</f>
        <v/>
      </c>
    </row>
    <row r="1284">
      <c r="A1284" s="22" t="inlineStr">
        <is>
          <t>a59bbf5a5af837f1972369a726a3f4bf69e4f220</t>
        </is>
      </c>
      <c r="B1284" s="22" t="inlineStr">
        <is>
          <t>2026-10</t>
        </is>
      </c>
      <c r="C1284" s="22" t="inlineStr">
        <is>
          <t>Instagram</t>
        </is>
      </c>
      <c r="D1284" s="22" t="n">
        <v>1</v>
      </c>
      <c r="E1284" s="22" t="inlineStr">
        <is>
          <t>Instagram: Instagram search: INEC 2027</t>
        </is>
      </c>
      <c r="F1284" s="22" t="inlineStr">
        <is>
          <t>instagram:Instagram search: INEC 2027</t>
        </is>
      </c>
      <c r="G1284" s="22" t="n">
        <v>-0.8129999999999999</v>
      </c>
      <c r="H1284" s="22" t="n">
        <v>1</v>
      </c>
      <c r="I1284" s="22" t="n">
        <v>0</v>
      </c>
      <c r="J1284" s="22" t="n">
        <v>0</v>
      </c>
      <c r="K1284" s="22" t="n">
        <v>0</v>
      </c>
      <c r="L1284" s="22" t="n">
        <v>0</v>
      </c>
      <c r="M1284" s="22" t="n">
        <v>0</v>
      </c>
      <c r="N1284" s="22" t="n">
        <v>0</v>
      </c>
      <c r="O1284" s="22" t="n">
        <v>0</v>
      </c>
      <c r="P1284" s="22" t="n">
        <v>0</v>
      </c>
      <c r="Q1284" s="22" t="n">
        <v>0</v>
      </c>
      <c r="R1284" s="22" t="n">
        <v>0</v>
      </c>
      <c r="S1284" s="22" t="n">
        <v>0</v>
      </c>
      <c r="T1284" s="22" t="n">
        <v>0</v>
      </c>
      <c r="U1284" s="3">
        <f>IF(OR(N1284=1,Q1284=1),1,0)</f>
        <v/>
      </c>
      <c r="V1284" s="3">
        <f>IF(OR(T1284=1,P1284=1),1,0)</f>
        <v/>
      </c>
      <c r="W1284" s="3">
        <f>IF(OR(J1284=1),1,0)</f>
        <v/>
      </c>
      <c r="X1284" s="3">
        <f>IF(OR(I1284=1,H1284=1),1,0)</f>
        <v/>
      </c>
      <c r="Y1284" s="3">
        <f>IF(OR(G1284=1),1,0)</f>
        <v/>
      </c>
      <c r="Z1284" s="3">
        <f>IF(OR(F1284=1),1,0)</f>
        <v/>
      </c>
      <c r="AA1284" s="3">
        <f>IF(OR(M1284=1),1,0)</f>
        <v/>
      </c>
    </row>
    <row r="1285">
      <c r="A1285" s="22" t="inlineStr">
        <is>
          <t>82290c5b916d122e50ea9c43f88fad82cb5904a8</t>
        </is>
      </c>
      <c r="B1285" s="22" t="inlineStr">
        <is>
          <t>2026-09</t>
        </is>
      </c>
      <c r="C1285" s="22" t="inlineStr">
        <is>
          <t>Instagram</t>
        </is>
      </c>
      <c r="D1285" s="22" t="n">
        <v>1</v>
      </c>
      <c r="E1285" s="22" t="inlineStr">
        <is>
          <t>Instagram: Instagram search: INEC 2027</t>
        </is>
      </c>
      <c r="F1285" s="22" t="inlineStr">
        <is>
          <t>instagram:Instagram search: INEC 2027</t>
        </is>
      </c>
      <c r="G1285" s="22" t="n">
        <v>0.6909999999999999</v>
      </c>
      <c r="H1285" s="22" t="n">
        <v>0</v>
      </c>
      <c r="I1285" s="22" t="n">
        <v>0</v>
      </c>
      <c r="J1285" s="22" t="n">
        <v>0</v>
      </c>
      <c r="K1285" s="22" t="n">
        <v>1</v>
      </c>
      <c r="L1285" s="22" t="n">
        <v>0</v>
      </c>
      <c r="M1285" s="22" t="n">
        <v>0</v>
      </c>
      <c r="N1285" s="22" t="n">
        <v>0</v>
      </c>
      <c r="O1285" s="22" t="n">
        <v>0</v>
      </c>
      <c r="P1285" s="22" t="n">
        <v>0</v>
      </c>
      <c r="Q1285" s="22" t="n">
        <v>0</v>
      </c>
      <c r="R1285" s="22" t="n">
        <v>0</v>
      </c>
      <c r="S1285" s="22" t="n">
        <v>0</v>
      </c>
      <c r="T1285" s="22" t="n">
        <v>0</v>
      </c>
      <c r="U1285" s="3">
        <f>IF(OR(N1285=1,Q1285=1),1,0)</f>
        <v/>
      </c>
      <c r="V1285" s="3">
        <f>IF(OR(T1285=1,P1285=1),1,0)</f>
        <v/>
      </c>
      <c r="W1285" s="3">
        <f>IF(OR(J1285=1),1,0)</f>
        <v/>
      </c>
      <c r="X1285" s="3">
        <f>IF(OR(I1285=1,H1285=1),1,0)</f>
        <v/>
      </c>
      <c r="Y1285" s="3">
        <f>IF(OR(G1285=1),1,0)</f>
        <v/>
      </c>
      <c r="Z1285" s="3">
        <f>IF(OR(F1285=1),1,0)</f>
        <v/>
      </c>
      <c r="AA1285" s="3">
        <f>IF(OR(M1285=1),1,0)</f>
        <v/>
      </c>
    </row>
    <row r="1286">
      <c r="A1286" s="22" t="inlineStr">
        <is>
          <t>7995bbfe58a03bd0cbfdefb278045400a069d32e</t>
        </is>
      </c>
      <c r="B1286" s="22" t="inlineStr">
        <is>
          <t>2026-09</t>
        </is>
      </c>
      <c r="C1286" s="22" t="inlineStr">
        <is>
          <t>Instagram</t>
        </is>
      </c>
      <c r="D1286" s="22" t="n">
        <v>1</v>
      </c>
      <c r="E1286" s="22" t="inlineStr">
        <is>
          <t>Instagram: Instagram search: INEC 2027</t>
        </is>
      </c>
      <c r="F1286" s="22" t="inlineStr">
        <is>
          <t>instagram:Instagram search: INEC 2027</t>
        </is>
      </c>
      <c r="G1286" s="22" t="n">
        <v>-0.738</v>
      </c>
      <c r="H1286" s="22" t="n">
        <v>1</v>
      </c>
      <c r="I1286" s="22" t="n">
        <v>0</v>
      </c>
      <c r="J1286" s="22" t="n">
        <v>0</v>
      </c>
      <c r="K1286" s="22" t="n">
        <v>0</v>
      </c>
      <c r="L1286" s="22" t="n">
        <v>0</v>
      </c>
      <c r="M1286" s="22" t="n">
        <v>0</v>
      </c>
      <c r="N1286" s="22" t="n">
        <v>0</v>
      </c>
      <c r="O1286" s="22" t="n">
        <v>0</v>
      </c>
      <c r="P1286" s="22" t="n">
        <v>0</v>
      </c>
      <c r="Q1286" s="22" t="n">
        <v>0</v>
      </c>
      <c r="R1286" s="22" t="n">
        <v>0</v>
      </c>
      <c r="S1286" s="22" t="n">
        <v>0</v>
      </c>
      <c r="T1286" s="22" t="n">
        <v>0</v>
      </c>
      <c r="U1286" s="3">
        <f>IF(OR(N1286=1,Q1286=1),1,0)</f>
        <v/>
      </c>
      <c r="V1286" s="3">
        <f>IF(OR(T1286=1,P1286=1),1,0)</f>
        <v/>
      </c>
      <c r="W1286" s="3">
        <f>IF(OR(J1286=1),1,0)</f>
        <v/>
      </c>
      <c r="X1286" s="3">
        <f>IF(OR(I1286=1,H1286=1),1,0)</f>
        <v/>
      </c>
      <c r="Y1286" s="3">
        <f>IF(OR(G1286=1),1,0)</f>
        <v/>
      </c>
      <c r="Z1286" s="3">
        <f>IF(OR(F1286=1),1,0)</f>
        <v/>
      </c>
      <c r="AA1286" s="3">
        <f>IF(OR(M1286=1),1,0)</f>
        <v/>
      </c>
    </row>
    <row r="1287">
      <c r="A1287" s="22" t="inlineStr">
        <is>
          <t>b8477e46a0f9caaa039fc76582c47cb8511fa17a</t>
        </is>
      </c>
      <c r="B1287" s="22" t="inlineStr">
        <is>
          <t>2026-09</t>
        </is>
      </c>
      <c r="C1287" s="22" t="inlineStr">
        <is>
          <t>Instagram</t>
        </is>
      </c>
      <c r="D1287" s="22" t="n">
        <v>1</v>
      </c>
      <c r="E1287" s="22" t="inlineStr">
        <is>
          <t>Instagram: Instagram search: INEC 2027</t>
        </is>
      </c>
      <c r="F1287" s="22" t="inlineStr">
        <is>
          <t>instagram:Instagram search: INEC 2027</t>
        </is>
      </c>
      <c r="G1287" s="22" t="n">
        <v>-0.536</v>
      </c>
      <c r="H1287" s="22" t="n">
        <v>0</v>
      </c>
      <c r="I1287" s="22" t="n">
        <v>0</v>
      </c>
      <c r="J1287" s="22" t="n">
        <v>0</v>
      </c>
      <c r="K1287" s="22" t="n">
        <v>0</v>
      </c>
      <c r="L1287" s="22" t="n">
        <v>0</v>
      </c>
      <c r="M1287" s="22" t="n">
        <v>0</v>
      </c>
      <c r="N1287" s="22" t="n">
        <v>0</v>
      </c>
      <c r="O1287" s="22" t="n">
        <v>0</v>
      </c>
      <c r="P1287" s="22" t="n">
        <v>1</v>
      </c>
      <c r="Q1287" s="22" t="n">
        <v>0</v>
      </c>
      <c r="R1287" s="22" t="n">
        <v>0</v>
      </c>
      <c r="S1287" s="22" t="n">
        <v>0</v>
      </c>
      <c r="T1287" s="22" t="n">
        <v>0</v>
      </c>
      <c r="U1287" s="3">
        <f>IF(OR(N1287=1,Q1287=1),1,0)</f>
        <v/>
      </c>
      <c r="V1287" s="3">
        <f>IF(OR(T1287=1,P1287=1),1,0)</f>
        <v/>
      </c>
      <c r="W1287" s="3">
        <f>IF(OR(J1287=1),1,0)</f>
        <v/>
      </c>
      <c r="X1287" s="3">
        <f>IF(OR(I1287=1,H1287=1),1,0)</f>
        <v/>
      </c>
      <c r="Y1287" s="3">
        <f>IF(OR(G1287=1),1,0)</f>
        <v/>
      </c>
      <c r="Z1287" s="3">
        <f>IF(OR(F1287=1),1,0)</f>
        <v/>
      </c>
      <c r="AA1287" s="3">
        <f>IF(OR(M1287=1),1,0)</f>
        <v/>
      </c>
    </row>
    <row r="1288">
      <c r="A1288" s="22" t="inlineStr">
        <is>
          <t>114be175d0bd2d827e41511718eaafb1fba87956</t>
        </is>
      </c>
      <c r="B1288" s="22" t="inlineStr">
        <is>
          <t>2026-10</t>
        </is>
      </c>
      <c r="C1288" s="22" t="inlineStr">
        <is>
          <t>Instagram</t>
        </is>
      </c>
      <c r="D1288" s="22" t="n">
        <v>1</v>
      </c>
      <c r="E1288" s="22" t="inlineStr">
        <is>
          <t>Instagram: Instagram search: INEC 2027</t>
        </is>
      </c>
      <c r="F1288" s="22" t="inlineStr">
        <is>
          <t>instagram:Instagram search: INEC 2027</t>
        </is>
      </c>
      <c r="G1288" s="22" t="n">
        <v>0.394</v>
      </c>
      <c r="H1288" s="22" t="n">
        <v>0</v>
      </c>
      <c r="I1288" s="22" t="n">
        <v>0</v>
      </c>
      <c r="J1288" s="22" t="n">
        <v>0</v>
      </c>
      <c r="K1288" s="22" t="n">
        <v>0</v>
      </c>
      <c r="L1288" s="22" t="n">
        <v>0</v>
      </c>
      <c r="M1288" s="22" t="n">
        <v>0</v>
      </c>
      <c r="N1288" s="22" t="n">
        <v>0</v>
      </c>
      <c r="O1288" s="22" t="n">
        <v>0</v>
      </c>
      <c r="P1288" s="22" t="n">
        <v>1</v>
      </c>
      <c r="Q1288" s="22" t="n">
        <v>0</v>
      </c>
      <c r="R1288" s="22" t="n">
        <v>0</v>
      </c>
      <c r="S1288" s="22" t="n">
        <v>0</v>
      </c>
      <c r="T1288" s="22" t="n">
        <v>0</v>
      </c>
      <c r="U1288" s="3">
        <f>IF(OR(N1288=1,Q1288=1),1,0)</f>
        <v/>
      </c>
      <c r="V1288" s="3">
        <f>IF(OR(T1288=1,P1288=1),1,0)</f>
        <v/>
      </c>
      <c r="W1288" s="3">
        <f>IF(OR(J1288=1),1,0)</f>
        <v/>
      </c>
      <c r="X1288" s="3">
        <f>IF(OR(I1288=1,H1288=1),1,0)</f>
        <v/>
      </c>
      <c r="Y1288" s="3">
        <f>IF(OR(G1288=1),1,0)</f>
        <v/>
      </c>
      <c r="Z1288" s="3">
        <f>IF(OR(F1288=1),1,0)</f>
        <v/>
      </c>
      <c r="AA1288" s="3">
        <f>IF(OR(M1288=1),1,0)</f>
        <v/>
      </c>
    </row>
    <row r="1289">
      <c r="A1289" s="22" t="inlineStr">
        <is>
          <t>d16ed71a964cfabc677c448caf1b0369fd43982a</t>
        </is>
      </c>
      <c r="B1289" s="22" t="inlineStr">
        <is>
          <t>2026-10</t>
        </is>
      </c>
      <c r="C1289" s="22" t="inlineStr">
        <is>
          <t>Instagram</t>
        </is>
      </c>
      <c r="D1289" s="22" t="n">
        <v>1</v>
      </c>
      <c r="E1289" s="22" t="inlineStr">
        <is>
          <t>Instagram: Instagram search: INEC 2027</t>
        </is>
      </c>
      <c r="F1289" s="22" t="inlineStr">
        <is>
          <t>instagram:Instagram search: INEC 2027</t>
        </is>
      </c>
      <c r="G1289" s="22" t="n">
        <v>-0.115</v>
      </c>
      <c r="H1289" s="22" t="n">
        <v>0</v>
      </c>
      <c r="I1289" s="22" t="n">
        <v>0</v>
      </c>
      <c r="J1289" s="22" t="n">
        <v>0</v>
      </c>
      <c r="K1289" s="22" t="n">
        <v>0</v>
      </c>
      <c r="L1289" s="22" t="n">
        <v>0</v>
      </c>
      <c r="M1289" s="22" t="n">
        <v>0</v>
      </c>
      <c r="N1289" s="22" t="n">
        <v>0</v>
      </c>
      <c r="O1289" s="22" t="n">
        <v>0</v>
      </c>
      <c r="P1289" s="22" t="n">
        <v>1</v>
      </c>
      <c r="Q1289" s="22" t="n">
        <v>0</v>
      </c>
      <c r="R1289" s="22" t="n">
        <v>0</v>
      </c>
      <c r="S1289" s="22" t="n">
        <v>0</v>
      </c>
      <c r="T1289" s="22" t="n">
        <v>0</v>
      </c>
      <c r="U1289" s="3">
        <f>IF(OR(N1289=1,Q1289=1),1,0)</f>
        <v/>
      </c>
      <c r="V1289" s="3">
        <f>IF(OR(T1289=1,P1289=1),1,0)</f>
        <v/>
      </c>
      <c r="W1289" s="3">
        <f>IF(OR(J1289=1),1,0)</f>
        <v/>
      </c>
      <c r="X1289" s="3">
        <f>IF(OR(I1289=1,H1289=1),1,0)</f>
        <v/>
      </c>
      <c r="Y1289" s="3">
        <f>IF(OR(G1289=1),1,0)</f>
        <v/>
      </c>
      <c r="Z1289" s="3">
        <f>IF(OR(F1289=1),1,0)</f>
        <v/>
      </c>
      <c r="AA1289" s="3">
        <f>IF(OR(M1289=1),1,0)</f>
        <v/>
      </c>
    </row>
    <row r="1290">
      <c r="A1290" s="22" t="inlineStr">
        <is>
          <t>418b2bfd93cd190f83faef0ab988c0dc050e6d18</t>
        </is>
      </c>
      <c r="B1290" s="22" t="inlineStr">
        <is>
          <t>2026-10</t>
        </is>
      </c>
      <c r="C1290" s="22" t="inlineStr">
        <is>
          <t>Instagram</t>
        </is>
      </c>
      <c r="D1290" s="22" t="n">
        <v>1</v>
      </c>
      <c r="E1290" s="22" t="inlineStr">
        <is>
          <t>Instagram: Instagram search: INEC 2027</t>
        </is>
      </c>
      <c r="F1290" s="22" t="inlineStr">
        <is>
          <t>instagram:Instagram search: INEC 2027</t>
        </is>
      </c>
      <c r="G1290" s="22" t="n">
        <v>-0.542</v>
      </c>
      <c r="H1290" s="22" t="n">
        <v>1</v>
      </c>
      <c r="I1290" s="22" t="n">
        <v>0</v>
      </c>
      <c r="J1290" s="22" t="n">
        <v>0</v>
      </c>
      <c r="K1290" s="22" t="n">
        <v>0</v>
      </c>
      <c r="L1290" s="22" t="n">
        <v>0</v>
      </c>
      <c r="M1290" s="22" t="n">
        <v>0</v>
      </c>
      <c r="N1290" s="22" t="n">
        <v>0</v>
      </c>
      <c r="O1290" s="22" t="n">
        <v>0</v>
      </c>
      <c r="P1290" s="22" t="n">
        <v>0</v>
      </c>
      <c r="Q1290" s="22" t="n">
        <v>0</v>
      </c>
      <c r="R1290" s="22" t="n">
        <v>0</v>
      </c>
      <c r="S1290" s="22" t="n">
        <v>0</v>
      </c>
      <c r="T1290" s="22" t="n">
        <v>0</v>
      </c>
      <c r="U1290" s="3">
        <f>IF(OR(N1290=1,Q1290=1),1,0)</f>
        <v/>
      </c>
      <c r="V1290" s="3">
        <f>IF(OR(T1290=1,P1290=1),1,0)</f>
        <v/>
      </c>
      <c r="W1290" s="3">
        <f>IF(OR(J1290=1),1,0)</f>
        <v/>
      </c>
      <c r="X1290" s="3">
        <f>IF(OR(I1290=1,H1290=1),1,0)</f>
        <v/>
      </c>
      <c r="Y1290" s="3">
        <f>IF(OR(G1290=1),1,0)</f>
        <v/>
      </c>
      <c r="Z1290" s="3">
        <f>IF(OR(F1290=1),1,0)</f>
        <v/>
      </c>
      <c r="AA1290" s="3">
        <f>IF(OR(M1290=1),1,0)</f>
        <v/>
      </c>
    </row>
    <row r="1291">
      <c r="A1291" s="22" t="inlineStr">
        <is>
          <t>9685242eeedb7d0e3d939cc48f5d19f1ee5369c6</t>
        </is>
      </c>
      <c r="B1291" s="22" t="inlineStr">
        <is>
          <t>2026-10</t>
        </is>
      </c>
      <c r="C1291" s="22" t="inlineStr">
        <is>
          <t>Instagram</t>
        </is>
      </c>
      <c r="D1291" s="22" t="n">
        <v>1</v>
      </c>
      <c r="E1291" s="22" t="inlineStr">
        <is>
          <t>Instagram: Instagram search: INEC 2027</t>
        </is>
      </c>
      <c r="F1291" s="22" t="inlineStr">
        <is>
          <t>instagram:Instagram search: INEC 2027</t>
        </is>
      </c>
      <c r="G1291" s="22" t="n">
        <v>-0.296</v>
      </c>
      <c r="H1291" s="22" t="n">
        <v>1</v>
      </c>
      <c r="I1291" s="22" t="n">
        <v>0</v>
      </c>
      <c r="J1291" s="22" t="n">
        <v>0</v>
      </c>
      <c r="K1291" s="22" t="n">
        <v>0</v>
      </c>
      <c r="L1291" s="22" t="n">
        <v>0</v>
      </c>
      <c r="M1291" s="22" t="n">
        <v>0</v>
      </c>
      <c r="N1291" s="22" t="n">
        <v>0</v>
      </c>
      <c r="O1291" s="22" t="n">
        <v>0</v>
      </c>
      <c r="P1291" s="22" t="n">
        <v>0</v>
      </c>
      <c r="Q1291" s="22" t="n">
        <v>0</v>
      </c>
      <c r="R1291" s="22" t="n">
        <v>0</v>
      </c>
      <c r="S1291" s="22" t="n">
        <v>0</v>
      </c>
      <c r="T1291" s="22" t="n">
        <v>0</v>
      </c>
      <c r="U1291" s="3">
        <f>IF(OR(N1291=1,Q1291=1),1,0)</f>
        <v/>
      </c>
      <c r="V1291" s="3">
        <f>IF(OR(T1291=1,P1291=1),1,0)</f>
        <v/>
      </c>
      <c r="W1291" s="3">
        <f>IF(OR(J1291=1),1,0)</f>
        <v/>
      </c>
      <c r="X1291" s="3">
        <f>IF(OR(I1291=1,H1291=1),1,0)</f>
        <v/>
      </c>
      <c r="Y1291" s="3">
        <f>IF(OR(G1291=1),1,0)</f>
        <v/>
      </c>
      <c r="Z1291" s="3">
        <f>IF(OR(F1291=1),1,0)</f>
        <v/>
      </c>
      <c r="AA1291" s="3">
        <f>IF(OR(M1291=1),1,0)</f>
        <v/>
      </c>
    </row>
    <row r="1292">
      <c r="A1292" s="22" t="inlineStr">
        <is>
          <t>5a6e491123b05373924d5b2659940a8d7b5ecb1c</t>
        </is>
      </c>
      <c r="B1292" s="22" t="inlineStr">
        <is>
          <t>2026-10</t>
        </is>
      </c>
      <c r="C1292" s="22" t="inlineStr">
        <is>
          <t>Instagram</t>
        </is>
      </c>
      <c r="D1292" s="22" t="n">
        <v>1</v>
      </c>
      <c r="E1292" s="22" t="inlineStr">
        <is>
          <t>Instagram: Instagram search: INEC 2027</t>
        </is>
      </c>
      <c r="F1292" s="22" t="inlineStr">
        <is>
          <t>instagram:Instagram search: INEC 2027</t>
        </is>
      </c>
      <c r="G1292" s="22" t="n">
        <v>-0.8129999999999999</v>
      </c>
      <c r="H1292" s="22" t="n">
        <v>1</v>
      </c>
      <c r="I1292" s="22" t="n">
        <v>0</v>
      </c>
      <c r="J1292" s="22" t="n">
        <v>0</v>
      </c>
      <c r="K1292" s="22" t="n">
        <v>0</v>
      </c>
      <c r="L1292" s="22" t="n">
        <v>0</v>
      </c>
      <c r="M1292" s="22" t="n">
        <v>0</v>
      </c>
      <c r="N1292" s="22" t="n">
        <v>0</v>
      </c>
      <c r="O1292" s="22" t="n">
        <v>0</v>
      </c>
      <c r="P1292" s="22" t="n">
        <v>0</v>
      </c>
      <c r="Q1292" s="22" t="n">
        <v>0</v>
      </c>
      <c r="R1292" s="22" t="n">
        <v>0</v>
      </c>
      <c r="S1292" s="22" t="n">
        <v>0</v>
      </c>
      <c r="T1292" s="22" t="n">
        <v>0</v>
      </c>
      <c r="U1292" s="3">
        <f>IF(OR(N1292=1,Q1292=1),1,0)</f>
        <v/>
      </c>
      <c r="V1292" s="3">
        <f>IF(OR(T1292=1,P1292=1),1,0)</f>
        <v/>
      </c>
      <c r="W1292" s="3">
        <f>IF(OR(J1292=1),1,0)</f>
        <v/>
      </c>
      <c r="X1292" s="3">
        <f>IF(OR(I1292=1,H1292=1),1,0)</f>
        <v/>
      </c>
      <c r="Y1292" s="3">
        <f>IF(OR(G1292=1),1,0)</f>
        <v/>
      </c>
      <c r="Z1292" s="3">
        <f>IF(OR(F1292=1),1,0)</f>
        <v/>
      </c>
      <c r="AA1292" s="3">
        <f>IF(OR(M1292=1),1,0)</f>
        <v/>
      </c>
    </row>
    <row r="1293">
      <c r="A1293" s="22" t="inlineStr">
        <is>
          <t>978f48bd014e820f8b2f9d8ca738e2eb2f74bc26</t>
        </is>
      </c>
      <c r="B1293" s="22" t="inlineStr">
        <is>
          <t>2026-10</t>
        </is>
      </c>
      <c r="C1293" s="22" t="inlineStr">
        <is>
          <t>Instagram</t>
        </is>
      </c>
      <c r="D1293" s="22" t="n">
        <v>1</v>
      </c>
      <c r="E1293" s="22" t="inlineStr">
        <is>
          <t>Instagram: Instagram search: INEC 2027</t>
        </is>
      </c>
      <c r="F1293" s="22" t="inlineStr">
        <is>
          <t>instagram:Instagram search: INEC 2027</t>
        </is>
      </c>
      <c r="G1293" s="22" t="n">
        <v>-0.948</v>
      </c>
      <c r="H1293" s="22" t="n">
        <v>1</v>
      </c>
      <c r="I1293" s="22" t="n">
        <v>0</v>
      </c>
      <c r="J1293" s="22" t="n">
        <v>0</v>
      </c>
      <c r="K1293" s="22" t="n">
        <v>0</v>
      </c>
      <c r="L1293" s="22" t="n">
        <v>0</v>
      </c>
      <c r="M1293" s="22" t="n">
        <v>0</v>
      </c>
      <c r="N1293" s="22" t="n">
        <v>0</v>
      </c>
      <c r="O1293" s="22" t="n">
        <v>0</v>
      </c>
      <c r="P1293" s="22" t="n">
        <v>0</v>
      </c>
      <c r="Q1293" s="22" t="n">
        <v>0</v>
      </c>
      <c r="R1293" s="22" t="n">
        <v>0</v>
      </c>
      <c r="S1293" s="22" t="n">
        <v>0</v>
      </c>
      <c r="T1293" s="22" t="n">
        <v>0</v>
      </c>
      <c r="U1293" s="3">
        <f>IF(OR(N1293=1,Q1293=1),1,0)</f>
        <v/>
      </c>
      <c r="V1293" s="3">
        <f>IF(OR(T1293=1,P1293=1),1,0)</f>
        <v/>
      </c>
      <c r="W1293" s="3">
        <f>IF(OR(J1293=1),1,0)</f>
        <v/>
      </c>
      <c r="X1293" s="3">
        <f>IF(OR(I1293=1,H1293=1),1,0)</f>
        <v/>
      </c>
      <c r="Y1293" s="3">
        <f>IF(OR(G1293=1),1,0)</f>
        <v/>
      </c>
      <c r="Z1293" s="3">
        <f>IF(OR(F1293=1),1,0)</f>
        <v/>
      </c>
      <c r="AA1293" s="3">
        <f>IF(OR(M1293=1),1,0)</f>
        <v/>
      </c>
    </row>
    <row r="1294">
      <c r="A1294" s="22" t="inlineStr">
        <is>
          <t>d8fd3c85188aff016518c1431a35d9b2d4b284a9</t>
        </is>
      </c>
      <c r="B1294" s="22" t="inlineStr">
        <is>
          <t>2026-10</t>
        </is>
      </c>
      <c r="C1294" s="22" t="inlineStr">
        <is>
          <t>Instagram</t>
        </is>
      </c>
      <c r="D1294" s="22" t="n">
        <v>1</v>
      </c>
      <c r="E1294" s="22" t="inlineStr">
        <is>
          <t>Instagram: Instagram search: INEC 2027</t>
        </is>
      </c>
      <c r="F1294" s="22" t="inlineStr">
        <is>
          <t>instagram:Instagram search: INEC 2027</t>
        </is>
      </c>
      <c r="G1294" s="22" t="n">
        <v>-0.542</v>
      </c>
      <c r="H1294" s="22" t="n">
        <v>0</v>
      </c>
      <c r="I1294" s="22" t="n">
        <v>0</v>
      </c>
      <c r="J1294" s="22" t="n">
        <v>0</v>
      </c>
      <c r="K1294" s="22" t="n">
        <v>1</v>
      </c>
      <c r="L1294" s="22" t="n">
        <v>0</v>
      </c>
      <c r="M1294" s="22" t="n">
        <v>0</v>
      </c>
      <c r="N1294" s="22" t="n">
        <v>0</v>
      </c>
      <c r="O1294" s="22" t="n">
        <v>0</v>
      </c>
      <c r="P1294" s="22" t="n">
        <v>0</v>
      </c>
      <c r="Q1294" s="22" t="n">
        <v>0</v>
      </c>
      <c r="R1294" s="22" t="n">
        <v>0</v>
      </c>
      <c r="S1294" s="22" t="n">
        <v>0</v>
      </c>
      <c r="T1294" s="22" t="n">
        <v>0</v>
      </c>
      <c r="U1294" s="3">
        <f>IF(OR(N1294=1,Q1294=1),1,0)</f>
        <v/>
      </c>
      <c r="V1294" s="3">
        <f>IF(OR(T1294=1,P1294=1),1,0)</f>
        <v/>
      </c>
      <c r="W1294" s="3">
        <f>IF(OR(J1294=1),1,0)</f>
        <v/>
      </c>
      <c r="X1294" s="3">
        <f>IF(OR(I1294=1,H1294=1),1,0)</f>
        <v/>
      </c>
      <c r="Y1294" s="3">
        <f>IF(OR(G1294=1),1,0)</f>
        <v/>
      </c>
      <c r="Z1294" s="3">
        <f>IF(OR(F1294=1),1,0)</f>
        <v/>
      </c>
      <c r="AA1294" s="3">
        <f>IF(OR(M1294=1),1,0)</f>
        <v/>
      </c>
    </row>
    <row r="1295">
      <c r="A1295" s="22" t="inlineStr">
        <is>
          <t>33f373a435db3878232482a3fdf045ea26d27256</t>
        </is>
      </c>
      <c r="B1295" s="22" t="inlineStr">
        <is>
          <t>2026-10</t>
        </is>
      </c>
      <c r="C1295" s="22" t="inlineStr">
        <is>
          <t>Instagram</t>
        </is>
      </c>
      <c r="D1295" s="22" t="n">
        <v>1</v>
      </c>
      <c r="E1295" s="22" t="inlineStr">
        <is>
          <t>Instagram: Instagram search: INEC 2027</t>
        </is>
      </c>
      <c r="F1295" s="22" t="inlineStr">
        <is>
          <t>instagram:Instagram search: INEC 2027</t>
        </is>
      </c>
      <c r="G1295" s="22" t="n">
        <v>-0.226</v>
      </c>
      <c r="H1295" s="22" t="n">
        <v>1</v>
      </c>
      <c r="I1295" s="22" t="n">
        <v>0</v>
      </c>
      <c r="J1295" s="22" t="n">
        <v>0</v>
      </c>
      <c r="K1295" s="22" t="n">
        <v>0</v>
      </c>
      <c r="L1295" s="22" t="n">
        <v>0</v>
      </c>
      <c r="M1295" s="22" t="n">
        <v>0</v>
      </c>
      <c r="N1295" s="22" t="n">
        <v>0</v>
      </c>
      <c r="O1295" s="22" t="n">
        <v>0</v>
      </c>
      <c r="P1295" s="22" t="n">
        <v>0</v>
      </c>
      <c r="Q1295" s="22" t="n">
        <v>0</v>
      </c>
      <c r="R1295" s="22" t="n">
        <v>0</v>
      </c>
      <c r="S1295" s="22" t="n">
        <v>0</v>
      </c>
      <c r="T1295" s="22" t="n">
        <v>0</v>
      </c>
      <c r="U1295" s="3">
        <f>IF(OR(N1295=1,Q1295=1),1,0)</f>
        <v/>
      </c>
      <c r="V1295" s="3">
        <f>IF(OR(T1295=1,P1295=1),1,0)</f>
        <v/>
      </c>
      <c r="W1295" s="3">
        <f>IF(OR(J1295=1),1,0)</f>
        <v/>
      </c>
      <c r="X1295" s="3">
        <f>IF(OR(I1295=1,H1295=1),1,0)</f>
        <v/>
      </c>
      <c r="Y1295" s="3">
        <f>IF(OR(G1295=1),1,0)</f>
        <v/>
      </c>
      <c r="Z1295" s="3">
        <f>IF(OR(F1295=1),1,0)</f>
        <v/>
      </c>
      <c r="AA1295" s="3">
        <f>IF(OR(M1295=1),1,0)</f>
        <v/>
      </c>
    </row>
    <row r="1296">
      <c r="A1296" s="22" t="inlineStr">
        <is>
          <t>536559543b800a235563521df8a9c1a8d91530df</t>
        </is>
      </c>
      <c r="B1296" s="22" t="inlineStr">
        <is>
          <t>2026-10</t>
        </is>
      </c>
      <c r="C1296" s="22" t="inlineStr">
        <is>
          <t>Instagram</t>
        </is>
      </c>
      <c r="D1296" s="22" t="n">
        <v>1</v>
      </c>
      <c r="E1296" s="22" t="inlineStr">
        <is>
          <t>Instagram: Instagram search: INEC 2027</t>
        </is>
      </c>
      <c r="F1296" s="22" t="inlineStr">
        <is>
          <t>instagram:Instagram search: INEC 2027</t>
        </is>
      </c>
      <c r="G1296" s="22" t="n">
        <v>-0.6909999999999999</v>
      </c>
      <c r="H1296" s="22" t="n">
        <v>1</v>
      </c>
      <c r="I1296" s="22" t="n">
        <v>0</v>
      </c>
      <c r="J1296" s="22" t="n">
        <v>0</v>
      </c>
      <c r="K1296" s="22" t="n">
        <v>0</v>
      </c>
      <c r="L1296" s="22" t="n">
        <v>0</v>
      </c>
      <c r="M1296" s="22" t="n">
        <v>0</v>
      </c>
      <c r="N1296" s="22" t="n">
        <v>0</v>
      </c>
      <c r="O1296" s="22" t="n">
        <v>1</v>
      </c>
      <c r="P1296" s="22" t="n">
        <v>0</v>
      </c>
      <c r="Q1296" s="22" t="n">
        <v>0</v>
      </c>
      <c r="R1296" s="22" t="n">
        <v>0</v>
      </c>
      <c r="S1296" s="22" t="n">
        <v>0</v>
      </c>
      <c r="T1296" s="22" t="n">
        <v>0</v>
      </c>
      <c r="U1296" s="3">
        <f>IF(OR(N1296=1,Q1296=1),1,0)</f>
        <v/>
      </c>
      <c r="V1296" s="3">
        <f>IF(OR(T1296=1,P1296=1),1,0)</f>
        <v/>
      </c>
      <c r="W1296" s="3">
        <f>IF(OR(J1296=1),1,0)</f>
        <v/>
      </c>
      <c r="X1296" s="3">
        <f>IF(OR(I1296=1,H1296=1),1,0)</f>
        <v/>
      </c>
      <c r="Y1296" s="3">
        <f>IF(OR(G1296=1),1,0)</f>
        <v/>
      </c>
      <c r="Z1296" s="3">
        <f>IF(OR(F1296=1),1,0)</f>
        <v/>
      </c>
      <c r="AA1296" s="3">
        <f>IF(OR(M1296=1),1,0)</f>
        <v/>
      </c>
    </row>
    <row r="1297">
      <c r="A1297" s="22" t="inlineStr">
        <is>
          <t>a22a141161ee5095308e602144761ec81e93d86e</t>
        </is>
      </c>
      <c r="B1297" s="22" t="inlineStr">
        <is>
          <t>2026-10</t>
        </is>
      </c>
      <c r="C1297" s="22" t="inlineStr">
        <is>
          <t>Instagram</t>
        </is>
      </c>
      <c r="D1297" s="22" t="n">
        <v>1</v>
      </c>
      <c r="E1297" s="22" t="inlineStr">
        <is>
          <t>Instagram: Instagram search: INEC 2027</t>
        </is>
      </c>
      <c r="F1297" s="22" t="inlineStr">
        <is>
          <t>instagram:Instagram search: INEC 2027</t>
        </is>
      </c>
      <c r="G1297" s="22" t="n">
        <v>-0.077</v>
      </c>
      <c r="H1297" s="22" t="n">
        <v>0</v>
      </c>
      <c r="I1297" s="22" t="n">
        <v>0</v>
      </c>
      <c r="J1297" s="22" t="n">
        <v>0</v>
      </c>
      <c r="K1297" s="22" t="n">
        <v>0</v>
      </c>
      <c r="L1297" s="22" t="n">
        <v>0</v>
      </c>
      <c r="M1297" s="22" t="n">
        <v>0</v>
      </c>
      <c r="N1297" s="22" t="n">
        <v>0</v>
      </c>
      <c r="O1297" s="22" t="n">
        <v>1</v>
      </c>
      <c r="P1297" s="22" t="n">
        <v>0</v>
      </c>
      <c r="Q1297" s="22" t="n">
        <v>0</v>
      </c>
      <c r="R1297" s="22" t="n">
        <v>0</v>
      </c>
      <c r="S1297" s="22" t="n">
        <v>0</v>
      </c>
      <c r="T1297" s="22" t="n">
        <v>0</v>
      </c>
      <c r="U1297" s="3">
        <f>IF(OR(N1297=1,Q1297=1),1,0)</f>
        <v/>
      </c>
      <c r="V1297" s="3">
        <f>IF(OR(T1297=1,P1297=1),1,0)</f>
        <v/>
      </c>
      <c r="W1297" s="3">
        <f>IF(OR(J1297=1),1,0)</f>
        <v/>
      </c>
      <c r="X1297" s="3">
        <f>IF(OR(I1297=1,H1297=1),1,0)</f>
        <v/>
      </c>
      <c r="Y1297" s="3">
        <f>IF(OR(G1297=1),1,0)</f>
        <v/>
      </c>
      <c r="Z1297" s="3">
        <f>IF(OR(F1297=1),1,0)</f>
        <v/>
      </c>
      <c r="AA1297" s="3">
        <f>IF(OR(M1297=1),1,0)</f>
        <v/>
      </c>
    </row>
    <row r="1298">
      <c r="A1298" s="22" t="inlineStr">
        <is>
          <t>32f3975e4ab7c458dd679c7f668b788c02283262</t>
        </is>
      </c>
      <c r="B1298" s="22" t="inlineStr">
        <is>
          <t>2026-10</t>
        </is>
      </c>
      <c r="C1298" s="22" t="inlineStr">
        <is>
          <t>Instagram</t>
        </is>
      </c>
      <c r="D1298" s="22" t="n">
        <v>1</v>
      </c>
      <c r="E1298" s="22" t="inlineStr">
        <is>
          <t>Instagram: Instagram search: INEC 2027</t>
        </is>
      </c>
      <c r="F1298" s="22" t="inlineStr">
        <is>
          <t>instagram:Instagram search: INEC 2027</t>
        </is>
      </c>
      <c r="G1298" s="22" t="n">
        <v>-0.74</v>
      </c>
      <c r="H1298" s="22" t="n">
        <v>0</v>
      </c>
      <c r="I1298" s="22" t="n">
        <v>0</v>
      </c>
      <c r="J1298" s="22" t="n">
        <v>0</v>
      </c>
      <c r="K1298" s="22" t="n">
        <v>1</v>
      </c>
      <c r="L1298" s="22" t="n">
        <v>0</v>
      </c>
      <c r="M1298" s="22" t="n">
        <v>0</v>
      </c>
      <c r="N1298" s="22" t="n">
        <v>0</v>
      </c>
      <c r="O1298" s="22" t="n">
        <v>0</v>
      </c>
      <c r="P1298" s="22" t="n">
        <v>0</v>
      </c>
      <c r="Q1298" s="22" t="n">
        <v>0</v>
      </c>
      <c r="R1298" s="22" t="n">
        <v>0</v>
      </c>
      <c r="S1298" s="22" t="n">
        <v>0</v>
      </c>
      <c r="T1298" s="22" t="n">
        <v>0</v>
      </c>
      <c r="U1298" s="3">
        <f>IF(OR(N1298=1,Q1298=1),1,0)</f>
        <v/>
      </c>
      <c r="V1298" s="3">
        <f>IF(OR(T1298=1,P1298=1),1,0)</f>
        <v/>
      </c>
      <c r="W1298" s="3">
        <f>IF(OR(J1298=1),1,0)</f>
        <v/>
      </c>
      <c r="X1298" s="3">
        <f>IF(OR(I1298=1,H1298=1),1,0)</f>
        <v/>
      </c>
      <c r="Y1298" s="3">
        <f>IF(OR(G1298=1),1,0)</f>
        <v/>
      </c>
      <c r="Z1298" s="3">
        <f>IF(OR(F1298=1),1,0)</f>
        <v/>
      </c>
      <c r="AA1298" s="3">
        <f>IF(OR(M1298=1),1,0)</f>
        <v/>
      </c>
    </row>
    <row r="1299">
      <c r="A1299" s="22" t="inlineStr">
        <is>
          <t>7e23768a3b24cbd89480c52407057c9c0e22265a</t>
        </is>
      </c>
      <c r="B1299" s="22" t="inlineStr">
        <is>
          <t>2026-09</t>
        </is>
      </c>
      <c r="C1299" s="22" t="inlineStr">
        <is>
          <t>Instagram</t>
        </is>
      </c>
      <c r="D1299" s="22" t="n">
        <v>1</v>
      </c>
      <c r="E1299" s="22" t="inlineStr">
        <is>
          <t>Instagram: Instagram search: INEC 2027</t>
        </is>
      </c>
      <c r="F1299" s="22" t="inlineStr">
        <is>
          <t>instagram:Instagram search: INEC 2027</t>
        </is>
      </c>
      <c r="G1299" s="22" t="n">
        <v>0.026</v>
      </c>
      <c r="H1299" s="22" t="n">
        <v>1</v>
      </c>
      <c r="I1299" s="22" t="n">
        <v>0</v>
      </c>
      <c r="J1299" s="22" t="n">
        <v>0</v>
      </c>
      <c r="K1299" s="22" t="n">
        <v>0</v>
      </c>
      <c r="L1299" s="22" t="n">
        <v>0</v>
      </c>
      <c r="M1299" s="22" t="n">
        <v>0</v>
      </c>
      <c r="N1299" s="22" t="n">
        <v>0</v>
      </c>
      <c r="O1299" s="22" t="n">
        <v>0</v>
      </c>
      <c r="P1299" s="22" t="n">
        <v>1</v>
      </c>
      <c r="Q1299" s="22" t="n">
        <v>0</v>
      </c>
      <c r="R1299" s="22" t="n">
        <v>0</v>
      </c>
      <c r="S1299" s="22" t="n">
        <v>0</v>
      </c>
      <c r="T1299" s="22" t="n">
        <v>0</v>
      </c>
      <c r="U1299" s="3">
        <f>IF(OR(N1299=1,Q1299=1),1,0)</f>
        <v/>
      </c>
      <c r="V1299" s="3">
        <f>IF(OR(T1299=1,P1299=1),1,0)</f>
        <v/>
      </c>
      <c r="W1299" s="3">
        <f>IF(OR(J1299=1),1,0)</f>
        <v/>
      </c>
      <c r="X1299" s="3">
        <f>IF(OR(I1299=1,H1299=1),1,0)</f>
        <v/>
      </c>
      <c r="Y1299" s="3">
        <f>IF(OR(G1299=1),1,0)</f>
        <v/>
      </c>
      <c r="Z1299" s="3">
        <f>IF(OR(F1299=1),1,0)</f>
        <v/>
      </c>
      <c r="AA1299" s="3">
        <f>IF(OR(M1299=1),1,0)</f>
        <v/>
      </c>
    </row>
    <row r="1300">
      <c r="A1300" s="22" t="inlineStr">
        <is>
          <t>4ac920a5bde008507dd39903e04a682aa5034662</t>
        </is>
      </c>
      <c r="B1300" s="22" t="inlineStr">
        <is>
          <t>2026-09</t>
        </is>
      </c>
      <c r="C1300" s="22" t="inlineStr">
        <is>
          <t>Instagram</t>
        </is>
      </c>
      <c r="D1300" s="22" t="n">
        <v>1</v>
      </c>
      <c r="E1300" s="22" t="inlineStr">
        <is>
          <t>Instagram: Instagram search: INEC 2027</t>
        </is>
      </c>
      <c r="F1300" s="22" t="inlineStr">
        <is>
          <t>instagram:Instagram search: INEC 2027</t>
        </is>
      </c>
      <c r="G1300" s="22" t="n">
        <v>-0.052</v>
      </c>
      <c r="H1300" s="22" t="n">
        <v>0</v>
      </c>
      <c r="I1300" s="22" t="n">
        <v>0</v>
      </c>
      <c r="J1300" s="22" t="n">
        <v>0</v>
      </c>
      <c r="K1300" s="22" t="n">
        <v>0</v>
      </c>
      <c r="L1300" s="22" t="n">
        <v>0</v>
      </c>
      <c r="M1300" s="22" t="n">
        <v>0</v>
      </c>
      <c r="N1300" s="22" t="n">
        <v>0</v>
      </c>
      <c r="O1300" s="22" t="n">
        <v>1</v>
      </c>
      <c r="P1300" s="22" t="n">
        <v>0</v>
      </c>
      <c r="Q1300" s="22" t="n">
        <v>0</v>
      </c>
      <c r="R1300" s="22" t="n">
        <v>0</v>
      </c>
      <c r="S1300" s="22" t="n">
        <v>0</v>
      </c>
      <c r="T1300" s="22" t="n">
        <v>0</v>
      </c>
      <c r="U1300" s="3">
        <f>IF(OR(N1300=1,Q1300=1),1,0)</f>
        <v/>
      </c>
      <c r="V1300" s="3">
        <f>IF(OR(T1300=1,P1300=1),1,0)</f>
        <v/>
      </c>
      <c r="W1300" s="3">
        <f>IF(OR(J1300=1),1,0)</f>
        <v/>
      </c>
      <c r="X1300" s="3">
        <f>IF(OR(I1300=1,H1300=1),1,0)</f>
        <v/>
      </c>
      <c r="Y1300" s="3">
        <f>IF(OR(G1300=1),1,0)</f>
        <v/>
      </c>
      <c r="Z1300" s="3">
        <f>IF(OR(F1300=1),1,0)</f>
        <v/>
      </c>
      <c r="AA1300" s="3">
        <f>IF(OR(M1300=1),1,0)</f>
        <v/>
      </c>
    </row>
    <row r="1301">
      <c r="A1301" s="22" t="inlineStr">
        <is>
          <t>c5d7aef2ea35a6b480d601755092bf701a8c1471</t>
        </is>
      </c>
      <c r="B1301" s="22" t="inlineStr">
        <is>
          <t>2026-09</t>
        </is>
      </c>
      <c r="C1301" s="22" t="inlineStr">
        <is>
          <t>Instagram</t>
        </is>
      </c>
      <c r="D1301" s="22" t="n">
        <v>1</v>
      </c>
      <c r="E1301" s="22" t="inlineStr">
        <is>
          <t>Instagram: Instagram search: INEC 2027</t>
        </is>
      </c>
      <c r="F1301" s="22" t="inlineStr">
        <is>
          <t>instagram:Instagram search: INEC 2027</t>
        </is>
      </c>
      <c r="G1301" s="22" t="n">
        <v>0.679</v>
      </c>
      <c r="H1301" s="22" t="n">
        <v>0</v>
      </c>
      <c r="I1301" s="22" t="n">
        <v>0</v>
      </c>
      <c r="J1301" s="22" t="n">
        <v>0</v>
      </c>
      <c r="K1301" s="22" t="n">
        <v>0</v>
      </c>
      <c r="L1301" s="22" t="n">
        <v>0</v>
      </c>
      <c r="M1301" s="22" t="n">
        <v>0</v>
      </c>
      <c r="N1301" s="22" t="n">
        <v>0</v>
      </c>
      <c r="O1301" s="22" t="n">
        <v>1</v>
      </c>
      <c r="P1301" s="22" t="n">
        <v>0</v>
      </c>
      <c r="Q1301" s="22" t="n">
        <v>0</v>
      </c>
      <c r="R1301" s="22" t="n">
        <v>0</v>
      </c>
      <c r="S1301" s="22" t="n">
        <v>0</v>
      </c>
      <c r="T1301" s="22" t="n">
        <v>0</v>
      </c>
      <c r="U1301" s="3">
        <f>IF(OR(N1301=1,Q1301=1),1,0)</f>
        <v/>
      </c>
      <c r="V1301" s="3">
        <f>IF(OR(T1301=1,P1301=1),1,0)</f>
        <v/>
      </c>
      <c r="W1301" s="3">
        <f>IF(OR(J1301=1),1,0)</f>
        <v/>
      </c>
      <c r="X1301" s="3">
        <f>IF(OR(I1301=1,H1301=1),1,0)</f>
        <v/>
      </c>
      <c r="Y1301" s="3">
        <f>IF(OR(G1301=1),1,0)</f>
        <v/>
      </c>
      <c r="Z1301" s="3">
        <f>IF(OR(F1301=1),1,0)</f>
        <v/>
      </c>
      <c r="AA1301" s="3">
        <f>IF(OR(M1301=1),1,0)</f>
        <v/>
      </c>
    </row>
    <row r="1302">
      <c r="A1302" s="22" t="inlineStr">
        <is>
          <t>3b20b67cb91989b114be3cd61b12bfa9a66ed967</t>
        </is>
      </c>
      <c r="B1302" s="22" t="inlineStr">
        <is>
          <t>2026-10</t>
        </is>
      </c>
      <c r="C1302" s="22" t="inlineStr">
        <is>
          <t>Instagram</t>
        </is>
      </c>
      <c r="D1302" s="22" t="n">
        <v>0</v>
      </c>
      <c r="E1302" s="22" t="inlineStr">
        <is>
          <t>Instagram: Instagram: inecnigeria</t>
        </is>
      </c>
      <c r="F1302" s="22" t="inlineStr">
        <is>
          <t>instagram:Instagram: inecnigeria</t>
        </is>
      </c>
      <c r="G1302" s="22" t="n">
        <v>0</v>
      </c>
      <c r="H1302" s="22" t="n">
        <v>0</v>
      </c>
      <c r="I1302" s="22" t="n">
        <v>0</v>
      </c>
      <c r="J1302" s="22" t="n">
        <v>0</v>
      </c>
      <c r="K1302" s="22" t="n">
        <v>0</v>
      </c>
      <c r="L1302" s="22" t="n">
        <v>0</v>
      </c>
      <c r="M1302" s="22" t="n">
        <v>0</v>
      </c>
      <c r="N1302" s="22" t="n">
        <v>0</v>
      </c>
      <c r="O1302" s="22" t="n">
        <v>0</v>
      </c>
      <c r="P1302" s="22" t="n">
        <v>1</v>
      </c>
      <c r="Q1302" s="22" t="n">
        <v>0</v>
      </c>
      <c r="R1302" s="22" t="n">
        <v>0</v>
      </c>
      <c r="S1302" s="22" t="n">
        <v>0</v>
      </c>
      <c r="T1302" s="22" t="n">
        <v>0</v>
      </c>
      <c r="U1302" s="3">
        <f>IF(OR(N1302=1,Q1302=1),1,0)</f>
        <v/>
      </c>
      <c r="V1302" s="3">
        <f>IF(OR(T1302=1,P1302=1),1,0)</f>
        <v/>
      </c>
      <c r="W1302" s="3">
        <f>IF(OR(J1302=1),1,0)</f>
        <v/>
      </c>
      <c r="X1302" s="3">
        <f>IF(OR(I1302=1,H1302=1),1,0)</f>
        <v/>
      </c>
      <c r="Y1302" s="3">
        <f>IF(OR(G1302=1),1,0)</f>
        <v/>
      </c>
      <c r="Z1302" s="3">
        <f>IF(OR(F1302=1),1,0)</f>
        <v/>
      </c>
      <c r="AA1302" s="3">
        <f>IF(OR(M1302=1),1,0)</f>
        <v/>
      </c>
    </row>
    <row r="1303">
      <c r="A1303" s="22" t="inlineStr">
        <is>
          <t>3541783e6250fe258c661c8dacbd5b6d96df7e40</t>
        </is>
      </c>
      <c r="B1303" s="22" t="inlineStr">
        <is>
          <t>2026-10</t>
        </is>
      </c>
      <c r="C1303" s="22" t="inlineStr">
        <is>
          <t>Facebook</t>
        </is>
      </c>
      <c r="D1303" s="22" t="n">
        <v>1</v>
      </c>
      <c r="E1303" s="22" t="inlineStr">
        <is>
          <t>Facebook: Facebook search: INEC 2027</t>
        </is>
      </c>
      <c r="F1303" s="22" t="inlineStr">
        <is>
          <t>facebook:Facebook search: INEC 2027</t>
        </is>
      </c>
      <c r="G1303" s="22" t="n">
        <v>0.705</v>
      </c>
      <c r="H1303" s="22" t="n">
        <v>0</v>
      </c>
      <c r="I1303" s="22" t="n">
        <v>0</v>
      </c>
      <c r="J1303" s="22" t="n">
        <v>0</v>
      </c>
      <c r="K1303" s="22" t="n">
        <v>0</v>
      </c>
      <c r="L1303" s="22" t="n">
        <v>0</v>
      </c>
      <c r="M1303" s="22" t="n">
        <v>0</v>
      </c>
      <c r="N1303" s="22" t="n">
        <v>0</v>
      </c>
      <c r="O1303" s="22" t="n">
        <v>1</v>
      </c>
      <c r="P1303" s="22" t="n">
        <v>0</v>
      </c>
      <c r="Q1303" s="22" t="n">
        <v>0</v>
      </c>
      <c r="R1303" s="22" t="n">
        <v>0</v>
      </c>
      <c r="S1303" s="22" t="n">
        <v>0</v>
      </c>
      <c r="T1303" s="22" t="n">
        <v>0</v>
      </c>
      <c r="U1303" s="3">
        <f>IF(OR(N1303=1,Q1303=1),1,0)</f>
        <v/>
      </c>
      <c r="V1303" s="3">
        <f>IF(OR(T1303=1,P1303=1),1,0)</f>
        <v/>
      </c>
      <c r="W1303" s="3">
        <f>IF(OR(J1303=1),1,0)</f>
        <v/>
      </c>
      <c r="X1303" s="3">
        <f>IF(OR(I1303=1,H1303=1),1,0)</f>
        <v/>
      </c>
      <c r="Y1303" s="3">
        <f>IF(OR(G1303=1),1,0)</f>
        <v/>
      </c>
      <c r="Z1303" s="3">
        <f>IF(OR(F1303=1),1,0)</f>
        <v/>
      </c>
      <c r="AA1303" s="3">
        <f>IF(OR(M1303=1),1,0)</f>
        <v/>
      </c>
    </row>
    <row r="1304">
      <c r="A1304" s="22" t="inlineStr">
        <is>
          <t>60f1578b6e944139344f01df2e019a73dfb09605</t>
        </is>
      </c>
      <c r="B1304" s="22" t="inlineStr">
        <is>
          <t>2026-10</t>
        </is>
      </c>
      <c r="C1304" s="22" t="inlineStr">
        <is>
          <t>Facebook</t>
        </is>
      </c>
      <c r="D1304" s="22" t="n">
        <v>1</v>
      </c>
      <c r="E1304" s="22" t="inlineStr">
        <is>
          <t>Facebook: Facebook search: INEC 2027</t>
        </is>
      </c>
      <c r="F1304" s="22" t="inlineStr">
        <is>
          <t>facebook:Facebook search: INEC 2027</t>
        </is>
      </c>
      <c r="G1304" s="22" t="n">
        <v>0.781</v>
      </c>
      <c r="H1304" s="22" t="n">
        <v>0</v>
      </c>
      <c r="I1304" s="22" t="n">
        <v>0</v>
      </c>
      <c r="J1304" s="22" t="n">
        <v>0</v>
      </c>
      <c r="K1304" s="22" t="n">
        <v>0</v>
      </c>
      <c r="L1304" s="22" t="n">
        <v>0</v>
      </c>
      <c r="M1304" s="22" t="n">
        <v>0</v>
      </c>
      <c r="N1304" s="22" t="n">
        <v>0</v>
      </c>
      <c r="O1304" s="22" t="n">
        <v>1</v>
      </c>
      <c r="P1304" s="22" t="n">
        <v>0</v>
      </c>
      <c r="Q1304" s="22" t="n">
        <v>0</v>
      </c>
      <c r="R1304" s="22" t="n">
        <v>0</v>
      </c>
      <c r="S1304" s="22" t="n">
        <v>0</v>
      </c>
      <c r="T1304" s="22" t="n">
        <v>0</v>
      </c>
      <c r="U1304" s="3">
        <f>IF(OR(N1304=1,Q1304=1),1,0)</f>
        <v/>
      </c>
      <c r="V1304" s="3">
        <f>IF(OR(T1304=1,P1304=1),1,0)</f>
        <v/>
      </c>
      <c r="W1304" s="3">
        <f>IF(OR(J1304=1),1,0)</f>
        <v/>
      </c>
      <c r="X1304" s="3">
        <f>IF(OR(I1304=1,H1304=1),1,0)</f>
        <v/>
      </c>
      <c r="Y1304" s="3">
        <f>IF(OR(G1304=1),1,0)</f>
        <v/>
      </c>
      <c r="Z1304" s="3">
        <f>IF(OR(F1304=1),1,0)</f>
        <v/>
      </c>
      <c r="AA1304" s="3">
        <f>IF(OR(M1304=1),1,0)</f>
        <v/>
      </c>
    </row>
    <row r="1305">
      <c r="A1305" s="22" t="inlineStr">
        <is>
          <t>55a7648cce9d3934f0aa6ddd1dd81460a6acf1a4</t>
        </is>
      </c>
      <c r="B1305" s="22" t="inlineStr">
        <is>
          <t>2026-10</t>
        </is>
      </c>
      <c r="C1305" s="22" t="inlineStr">
        <is>
          <t>Facebook</t>
        </is>
      </c>
      <c r="D1305" s="22" t="n">
        <v>1</v>
      </c>
      <c r="E1305" s="22" t="inlineStr">
        <is>
          <t>Facebook: Facebook search: INEC 2027</t>
        </is>
      </c>
      <c r="F1305" s="22" t="inlineStr">
        <is>
          <t>facebook:Facebook search: INEC 2027</t>
        </is>
      </c>
      <c r="G1305" s="22" t="n">
        <v>-0.637</v>
      </c>
      <c r="H1305" s="22" t="n">
        <v>0</v>
      </c>
      <c r="I1305" s="22" t="n">
        <v>0</v>
      </c>
      <c r="J1305" s="22" t="n">
        <v>0</v>
      </c>
      <c r="K1305" s="22" t="n">
        <v>0</v>
      </c>
      <c r="L1305" s="22" t="n">
        <v>0</v>
      </c>
      <c r="M1305" s="22" t="n">
        <v>1</v>
      </c>
      <c r="N1305" s="22" t="n">
        <v>0</v>
      </c>
      <c r="O1305" s="22" t="n">
        <v>0</v>
      </c>
      <c r="P1305" s="22" t="n">
        <v>0</v>
      </c>
      <c r="Q1305" s="22" t="n">
        <v>0</v>
      </c>
      <c r="R1305" s="22" t="n">
        <v>0</v>
      </c>
      <c r="S1305" s="22" t="n">
        <v>0</v>
      </c>
      <c r="T1305" s="22" t="n">
        <v>0</v>
      </c>
      <c r="U1305" s="3">
        <f>IF(OR(N1305=1,Q1305=1),1,0)</f>
        <v/>
      </c>
      <c r="V1305" s="3">
        <f>IF(OR(T1305=1,P1305=1),1,0)</f>
        <v/>
      </c>
      <c r="W1305" s="3">
        <f>IF(OR(J1305=1),1,0)</f>
        <v/>
      </c>
      <c r="X1305" s="3">
        <f>IF(OR(I1305=1,H1305=1),1,0)</f>
        <v/>
      </c>
      <c r="Y1305" s="3">
        <f>IF(OR(G1305=1),1,0)</f>
        <v/>
      </c>
      <c r="Z1305" s="3">
        <f>IF(OR(F1305=1),1,0)</f>
        <v/>
      </c>
      <c r="AA1305" s="3">
        <f>IF(OR(M1305=1),1,0)</f>
        <v/>
      </c>
    </row>
    <row r="1306">
      <c r="A1306" s="22" t="inlineStr">
        <is>
          <t>ae1ba276c52d9680138ea936827f43669b44b4dc</t>
        </is>
      </c>
      <c r="B1306" s="22" t="inlineStr">
        <is>
          <t>2026-10</t>
        </is>
      </c>
      <c r="C1306" s="22" t="inlineStr">
        <is>
          <t>Facebook</t>
        </is>
      </c>
      <c r="D1306" s="22" t="n">
        <v>1</v>
      </c>
      <c r="E1306" s="22" t="inlineStr">
        <is>
          <t>Facebook: Facebook search: INEC 2027</t>
        </is>
      </c>
      <c r="F1306" s="22" t="inlineStr">
        <is>
          <t>facebook:Facebook search: INEC 2027</t>
        </is>
      </c>
      <c r="G1306" s="22" t="n">
        <v>-0.422</v>
      </c>
      <c r="H1306" s="22" t="n">
        <v>0</v>
      </c>
      <c r="I1306" s="22" t="n">
        <v>0</v>
      </c>
      <c r="J1306" s="22" t="n">
        <v>0</v>
      </c>
      <c r="K1306" s="22" t="n">
        <v>0</v>
      </c>
      <c r="L1306" s="22" t="n">
        <v>0</v>
      </c>
      <c r="M1306" s="22" t="n">
        <v>0</v>
      </c>
      <c r="N1306" s="22" t="n">
        <v>0</v>
      </c>
      <c r="O1306" s="22" t="n">
        <v>0</v>
      </c>
      <c r="P1306" s="22" t="n">
        <v>0</v>
      </c>
      <c r="Q1306" s="22" t="n">
        <v>0</v>
      </c>
      <c r="R1306" s="22" t="n">
        <v>1</v>
      </c>
      <c r="S1306" s="22" t="n">
        <v>0</v>
      </c>
      <c r="T1306" s="22" t="n">
        <v>0</v>
      </c>
      <c r="U1306" s="3">
        <f>IF(OR(N1306=1,Q1306=1),1,0)</f>
        <v/>
      </c>
      <c r="V1306" s="3">
        <f>IF(OR(T1306=1,P1306=1),1,0)</f>
        <v/>
      </c>
      <c r="W1306" s="3">
        <f>IF(OR(J1306=1),1,0)</f>
        <v/>
      </c>
      <c r="X1306" s="3">
        <f>IF(OR(I1306=1,H1306=1),1,0)</f>
        <v/>
      </c>
      <c r="Y1306" s="3">
        <f>IF(OR(G1306=1),1,0)</f>
        <v/>
      </c>
      <c r="Z1306" s="3">
        <f>IF(OR(F1306=1),1,0)</f>
        <v/>
      </c>
      <c r="AA1306" s="3">
        <f>IF(OR(M1306=1),1,0)</f>
        <v/>
      </c>
    </row>
    <row r="1307">
      <c r="A1307" s="22" t="inlineStr">
        <is>
          <t>0114289d36402495abbb46b34aef07d36f119441</t>
        </is>
      </c>
      <c r="B1307" s="22" t="inlineStr">
        <is>
          <t>2026-10</t>
        </is>
      </c>
      <c r="C1307" s="22" t="inlineStr">
        <is>
          <t>Facebook</t>
        </is>
      </c>
      <c r="D1307" s="22" t="n">
        <v>1</v>
      </c>
      <c r="E1307" s="22" t="inlineStr">
        <is>
          <t>Facebook: Facebook search: INEC 2027</t>
        </is>
      </c>
      <c r="F1307" s="22" t="inlineStr">
        <is>
          <t>facebook:Facebook search: INEC 2027</t>
        </is>
      </c>
      <c r="G1307" s="22" t="n">
        <v>-0.37</v>
      </c>
      <c r="H1307" s="22" t="n">
        <v>0</v>
      </c>
      <c r="I1307" s="22" t="n">
        <v>0</v>
      </c>
      <c r="J1307" s="22" t="n">
        <v>0</v>
      </c>
      <c r="K1307" s="22" t="n">
        <v>0</v>
      </c>
      <c r="L1307" s="22" t="n">
        <v>0</v>
      </c>
      <c r="M1307" s="22" t="n">
        <v>0</v>
      </c>
      <c r="N1307" s="22" t="n">
        <v>0</v>
      </c>
      <c r="O1307" s="22" t="n">
        <v>0</v>
      </c>
      <c r="P1307" s="22" t="n">
        <v>0</v>
      </c>
      <c r="Q1307" s="22" t="n">
        <v>0</v>
      </c>
      <c r="R1307" s="22" t="n">
        <v>1</v>
      </c>
      <c r="S1307" s="22" t="n">
        <v>0</v>
      </c>
      <c r="T1307" s="22" t="n">
        <v>0</v>
      </c>
      <c r="U1307" s="3">
        <f>IF(OR(N1307=1,Q1307=1),1,0)</f>
        <v/>
      </c>
      <c r="V1307" s="3">
        <f>IF(OR(T1307=1,P1307=1),1,0)</f>
        <v/>
      </c>
      <c r="W1307" s="3">
        <f>IF(OR(J1307=1),1,0)</f>
        <v/>
      </c>
      <c r="X1307" s="3">
        <f>IF(OR(I1307=1,H1307=1),1,0)</f>
        <v/>
      </c>
      <c r="Y1307" s="3">
        <f>IF(OR(G1307=1),1,0)</f>
        <v/>
      </c>
      <c r="Z1307" s="3">
        <f>IF(OR(F1307=1),1,0)</f>
        <v/>
      </c>
      <c r="AA1307" s="3">
        <f>IF(OR(M1307=1),1,0)</f>
        <v/>
      </c>
    </row>
    <row r="1308">
      <c r="A1308" s="22" t="inlineStr">
        <is>
          <t>0f4ea341bf719b1d4558f694ad1e8beaddb330c3</t>
        </is>
      </c>
      <c r="B1308" s="22" t="inlineStr">
        <is>
          <t>2026-10</t>
        </is>
      </c>
      <c r="C1308" s="22" t="inlineStr">
        <is>
          <t>Facebook</t>
        </is>
      </c>
      <c r="D1308" s="22" t="n">
        <v>1</v>
      </c>
      <c r="E1308" s="22" t="inlineStr">
        <is>
          <t>Facebook: Facebook search: INEC 2027</t>
        </is>
      </c>
      <c r="F1308" s="22" t="inlineStr">
        <is>
          <t>facebook:Facebook search: INEC 2027</t>
        </is>
      </c>
      <c r="G1308" s="22" t="n">
        <v>0</v>
      </c>
      <c r="H1308" s="22" t="n">
        <v>0</v>
      </c>
      <c r="I1308" s="22" t="n">
        <v>0</v>
      </c>
      <c r="J1308" s="22" t="n">
        <v>0</v>
      </c>
      <c r="K1308" s="22" t="n">
        <v>0</v>
      </c>
      <c r="L1308" s="22" t="n">
        <v>0</v>
      </c>
      <c r="M1308" s="22" t="n">
        <v>0</v>
      </c>
      <c r="N1308" s="22" t="n">
        <v>0</v>
      </c>
      <c r="O1308" s="22" t="n">
        <v>1</v>
      </c>
      <c r="P1308" s="22" t="n">
        <v>0</v>
      </c>
      <c r="Q1308" s="22" t="n">
        <v>0</v>
      </c>
      <c r="R1308" s="22" t="n">
        <v>0</v>
      </c>
      <c r="S1308" s="22" t="n">
        <v>0</v>
      </c>
      <c r="T1308" s="22" t="n">
        <v>0</v>
      </c>
      <c r="U1308" s="3">
        <f>IF(OR(N1308=1,Q1308=1),1,0)</f>
        <v/>
      </c>
      <c r="V1308" s="3">
        <f>IF(OR(T1308=1,P1308=1),1,0)</f>
        <v/>
      </c>
      <c r="W1308" s="3">
        <f>IF(OR(J1308=1),1,0)</f>
        <v/>
      </c>
      <c r="X1308" s="3">
        <f>IF(OR(I1308=1,H1308=1),1,0)</f>
        <v/>
      </c>
      <c r="Y1308" s="3">
        <f>IF(OR(G1308=1),1,0)</f>
        <v/>
      </c>
      <c r="Z1308" s="3">
        <f>IF(OR(F1308=1),1,0)</f>
        <v/>
      </c>
      <c r="AA1308" s="3">
        <f>IF(OR(M1308=1),1,0)</f>
        <v/>
      </c>
    </row>
    <row r="1309">
      <c r="A1309" s="22" t="inlineStr">
        <is>
          <t>8026ca016c76ffc63072a033c4b14b82d8574b36</t>
        </is>
      </c>
      <c r="B1309" s="22" t="inlineStr">
        <is>
          <t>2026-10</t>
        </is>
      </c>
      <c r="C1309" s="22" t="inlineStr">
        <is>
          <t>Facebook</t>
        </is>
      </c>
      <c r="D1309" s="22" t="n">
        <v>1</v>
      </c>
      <c r="E1309" s="22" t="inlineStr">
        <is>
          <t>Facebook: Facebook search: INEC BVAS 2027</t>
        </is>
      </c>
      <c r="F1309" s="22" t="inlineStr">
        <is>
          <t>facebook:Facebook search: INEC BVAS 2027</t>
        </is>
      </c>
      <c r="G1309" s="22" t="n">
        <v>-0.791</v>
      </c>
      <c r="H1309" s="22" t="n">
        <v>1</v>
      </c>
      <c r="I1309" s="22" t="n">
        <v>0</v>
      </c>
      <c r="J1309" s="22" t="n">
        <v>0</v>
      </c>
      <c r="K1309" s="22" t="n">
        <v>0</v>
      </c>
      <c r="L1309" s="22" t="n">
        <v>0</v>
      </c>
      <c r="M1309" s="22" t="n">
        <v>0</v>
      </c>
      <c r="N1309" s="22" t="n">
        <v>0</v>
      </c>
      <c r="O1309" s="22" t="n">
        <v>0</v>
      </c>
      <c r="P1309" s="22" t="n">
        <v>0</v>
      </c>
      <c r="Q1309" s="22" t="n">
        <v>0</v>
      </c>
      <c r="R1309" s="22" t="n">
        <v>0</v>
      </c>
      <c r="S1309" s="22" t="n">
        <v>0</v>
      </c>
      <c r="T1309" s="22" t="n">
        <v>0</v>
      </c>
      <c r="U1309" s="3">
        <f>IF(OR(N1309=1,Q1309=1),1,0)</f>
        <v/>
      </c>
      <c r="V1309" s="3">
        <f>IF(OR(T1309=1,P1309=1),1,0)</f>
        <v/>
      </c>
      <c r="W1309" s="3">
        <f>IF(OR(J1309=1),1,0)</f>
        <v/>
      </c>
      <c r="X1309" s="3">
        <f>IF(OR(I1309=1,H1309=1),1,0)</f>
        <v/>
      </c>
      <c r="Y1309" s="3">
        <f>IF(OR(G1309=1),1,0)</f>
        <v/>
      </c>
      <c r="Z1309" s="3">
        <f>IF(OR(F1309=1),1,0)</f>
        <v/>
      </c>
      <c r="AA1309" s="3">
        <f>IF(OR(M1309=1),1,0)</f>
        <v/>
      </c>
    </row>
    <row r="1310">
      <c r="A1310" s="22" t="inlineStr">
        <is>
          <t>3bb518042a87571dcee1fa3a53f0c9f24e23b0d8</t>
        </is>
      </c>
      <c r="B1310" s="22" t="inlineStr">
        <is>
          <t>2026-10</t>
        </is>
      </c>
      <c r="C1310" s="22" t="inlineStr">
        <is>
          <t>Facebook</t>
        </is>
      </c>
      <c r="D1310" s="22" t="n">
        <v>1</v>
      </c>
      <c r="E1310" s="22" t="inlineStr">
        <is>
          <t>Facebook: Facebook search: INEC BVAS 2027</t>
        </is>
      </c>
      <c r="F1310" s="22" t="inlineStr">
        <is>
          <t>facebook:Facebook search: INEC BVAS 2027</t>
        </is>
      </c>
      <c r="G1310" s="22" t="n">
        <v>0.224</v>
      </c>
      <c r="H1310" s="22" t="n">
        <v>1</v>
      </c>
      <c r="I1310" s="22" t="n">
        <v>0</v>
      </c>
      <c r="J1310" s="22" t="n">
        <v>0</v>
      </c>
      <c r="K1310" s="22" t="n">
        <v>0</v>
      </c>
      <c r="L1310" s="22" t="n">
        <v>0</v>
      </c>
      <c r="M1310" s="22" t="n">
        <v>0</v>
      </c>
      <c r="N1310" s="22" t="n">
        <v>0</v>
      </c>
      <c r="O1310" s="22" t="n">
        <v>0</v>
      </c>
      <c r="P1310" s="22" t="n">
        <v>0</v>
      </c>
      <c r="Q1310" s="22" t="n">
        <v>0</v>
      </c>
      <c r="R1310" s="22" t="n">
        <v>0</v>
      </c>
      <c r="S1310" s="22" t="n">
        <v>0</v>
      </c>
      <c r="T1310" s="22" t="n">
        <v>0</v>
      </c>
      <c r="U1310" s="3">
        <f>IF(OR(N1310=1,Q1310=1),1,0)</f>
        <v/>
      </c>
      <c r="V1310" s="3">
        <f>IF(OR(T1310=1,P1310=1),1,0)</f>
        <v/>
      </c>
      <c r="W1310" s="3">
        <f>IF(OR(J1310=1),1,0)</f>
        <v/>
      </c>
      <c r="X1310" s="3">
        <f>IF(OR(I1310=1,H1310=1),1,0)</f>
        <v/>
      </c>
      <c r="Y1310" s="3">
        <f>IF(OR(G1310=1),1,0)</f>
        <v/>
      </c>
      <c r="Z1310" s="3">
        <f>IF(OR(F1310=1),1,0)</f>
        <v/>
      </c>
      <c r="AA1310" s="3">
        <f>IF(OR(M1310=1),1,0)</f>
        <v/>
      </c>
    </row>
    <row r="1311">
      <c r="A1311" s="22" t="inlineStr">
        <is>
          <t>6da5cc116fed00c85b33d0ace55179278fd9bffb</t>
        </is>
      </c>
      <c r="B1311" s="22" t="inlineStr">
        <is>
          <t>2026-10</t>
        </is>
      </c>
      <c r="C1311" s="22" t="inlineStr">
        <is>
          <t>Facebook</t>
        </is>
      </c>
      <c r="D1311" s="22" t="n">
        <v>1</v>
      </c>
      <c r="E1311" s="22" t="inlineStr">
        <is>
          <t>Facebook: Facebook search: INEC BVAS 2027</t>
        </is>
      </c>
      <c r="F1311" s="22" t="inlineStr">
        <is>
          <t>facebook:Facebook search: INEC BVAS 2027</t>
        </is>
      </c>
      <c r="G1311" s="22" t="n">
        <v>0.42</v>
      </c>
      <c r="H1311" s="22" t="n">
        <v>0</v>
      </c>
      <c r="I1311" s="22" t="n">
        <v>1</v>
      </c>
      <c r="J1311" s="22" t="n">
        <v>0</v>
      </c>
      <c r="K1311" s="22" t="n">
        <v>0</v>
      </c>
      <c r="L1311" s="22" t="n">
        <v>0</v>
      </c>
      <c r="M1311" s="22" t="n">
        <v>0</v>
      </c>
      <c r="N1311" s="22" t="n">
        <v>0</v>
      </c>
      <c r="O1311" s="22" t="n">
        <v>0</v>
      </c>
      <c r="P1311" s="22" t="n">
        <v>0</v>
      </c>
      <c r="Q1311" s="22" t="n">
        <v>0</v>
      </c>
      <c r="R1311" s="22" t="n">
        <v>0</v>
      </c>
      <c r="S1311" s="22" t="n">
        <v>0</v>
      </c>
      <c r="T1311" s="22" t="n">
        <v>0</v>
      </c>
      <c r="U1311" s="3">
        <f>IF(OR(N1311=1,Q1311=1),1,0)</f>
        <v/>
      </c>
      <c r="V1311" s="3">
        <f>IF(OR(T1311=1,P1311=1),1,0)</f>
        <v/>
      </c>
      <c r="W1311" s="3">
        <f>IF(OR(J1311=1),1,0)</f>
        <v/>
      </c>
      <c r="X1311" s="3">
        <f>IF(OR(I1311=1,H1311=1),1,0)</f>
        <v/>
      </c>
      <c r="Y1311" s="3">
        <f>IF(OR(G1311=1),1,0)</f>
        <v/>
      </c>
      <c r="Z1311" s="3">
        <f>IF(OR(F1311=1),1,0)</f>
        <v/>
      </c>
      <c r="AA1311" s="3">
        <f>IF(OR(M1311=1),1,0)</f>
        <v/>
      </c>
    </row>
    <row r="1312">
      <c r="A1312" s="22" t="inlineStr">
        <is>
          <t>2b8907529fa48c8944aa6c87d33e7027742e8d6a</t>
        </is>
      </c>
      <c r="B1312" s="22" t="inlineStr">
        <is>
          <t>2026-10</t>
        </is>
      </c>
      <c r="C1312" s="22" t="inlineStr">
        <is>
          <t>Facebook</t>
        </is>
      </c>
      <c r="D1312" s="22" t="n">
        <v>1</v>
      </c>
      <c r="E1312" s="22" t="inlineStr">
        <is>
          <t>Facebook: Facebook search: INEC BVAS 2027</t>
        </is>
      </c>
      <c r="F1312" s="22" t="inlineStr">
        <is>
          <t>facebook:Facebook search: INEC BVAS 2027</t>
        </is>
      </c>
      <c r="G1312" s="22" t="n">
        <v>0.392</v>
      </c>
      <c r="H1312" s="22" t="n">
        <v>1</v>
      </c>
      <c r="I1312" s="22" t="n">
        <v>0</v>
      </c>
      <c r="J1312" s="22" t="n">
        <v>0</v>
      </c>
      <c r="K1312" s="22" t="n">
        <v>0</v>
      </c>
      <c r="L1312" s="22" t="n">
        <v>0</v>
      </c>
      <c r="M1312" s="22" t="n">
        <v>0</v>
      </c>
      <c r="N1312" s="22" t="n">
        <v>0</v>
      </c>
      <c r="O1312" s="22" t="n">
        <v>0</v>
      </c>
      <c r="P1312" s="22" t="n">
        <v>0</v>
      </c>
      <c r="Q1312" s="22" t="n">
        <v>0</v>
      </c>
      <c r="R1312" s="22" t="n">
        <v>0</v>
      </c>
      <c r="S1312" s="22" t="n">
        <v>0</v>
      </c>
      <c r="T1312" s="22" t="n">
        <v>0</v>
      </c>
      <c r="U1312" s="3">
        <f>IF(OR(N1312=1,Q1312=1),1,0)</f>
        <v/>
      </c>
      <c r="V1312" s="3">
        <f>IF(OR(T1312=1,P1312=1),1,0)</f>
        <v/>
      </c>
      <c r="W1312" s="3">
        <f>IF(OR(J1312=1),1,0)</f>
        <v/>
      </c>
      <c r="X1312" s="3">
        <f>IF(OR(I1312=1,H1312=1),1,0)</f>
        <v/>
      </c>
      <c r="Y1312" s="3">
        <f>IF(OR(G1312=1),1,0)</f>
        <v/>
      </c>
      <c r="Z1312" s="3">
        <f>IF(OR(F1312=1),1,0)</f>
        <v/>
      </c>
      <c r="AA1312" s="3">
        <f>IF(OR(M1312=1),1,0)</f>
        <v/>
      </c>
    </row>
    <row r="1313">
      <c r="A1313" s="22" t="inlineStr">
        <is>
          <t>c65941d3e08e322fc90c30f022d33d11b8c6f7b3</t>
        </is>
      </c>
      <c r="B1313" s="22" t="inlineStr">
        <is>
          <t>2026-10</t>
        </is>
      </c>
      <c r="C1313" s="22" t="inlineStr">
        <is>
          <t>Facebook</t>
        </is>
      </c>
      <c r="D1313" s="22" t="n">
        <v>1</v>
      </c>
      <c r="E1313" s="22" t="inlineStr">
        <is>
          <t>Facebook: Facebook search: INEC BVAS 2027</t>
        </is>
      </c>
      <c r="F1313" s="22" t="inlineStr">
        <is>
          <t>facebook:Facebook search: INEC BVAS 2027</t>
        </is>
      </c>
      <c r="G1313" s="22" t="n">
        <v>0</v>
      </c>
      <c r="H1313" s="22" t="n">
        <v>1</v>
      </c>
      <c r="I1313" s="22" t="n">
        <v>0</v>
      </c>
      <c r="J1313" s="22" t="n">
        <v>0</v>
      </c>
      <c r="K1313" s="22" t="n">
        <v>0</v>
      </c>
      <c r="L1313" s="22" t="n">
        <v>0</v>
      </c>
      <c r="M1313" s="22" t="n">
        <v>0</v>
      </c>
      <c r="N1313" s="22" t="n">
        <v>0</v>
      </c>
      <c r="O1313" s="22" t="n">
        <v>0</v>
      </c>
      <c r="P1313" s="22" t="n">
        <v>0</v>
      </c>
      <c r="Q1313" s="22" t="n">
        <v>0</v>
      </c>
      <c r="R1313" s="22" t="n">
        <v>0</v>
      </c>
      <c r="S1313" s="22" t="n">
        <v>0</v>
      </c>
      <c r="T1313" s="22" t="n">
        <v>0</v>
      </c>
      <c r="U1313" s="3">
        <f>IF(OR(N1313=1,Q1313=1),1,0)</f>
        <v/>
      </c>
      <c r="V1313" s="3">
        <f>IF(OR(T1313=1,P1313=1),1,0)</f>
        <v/>
      </c>
      <c r="W1313" s="3">
        <f>IF(OR(J1313=1),1,0)</f>
        <v/>
      </c>
      <c r="X1313" s="3">
        <f>IF(OR(I1313=1,H1313=1),1,0)</f>
        <v/>
      </c>
      <c r="Y1313" s="3">
        <f>IF(OR(G1313=1),1,0)</f>
        <v/>
      </c>
      <c r="Z1313" s="3">
        <f>IF(OR(F1313=1),1,0)</f>
        <v/>
      </c>
      <c r="AA1313" s="3">
        <f>IF(OR(M1313=1),1,0)</f>
        <v/>
      </c>
    </row>
    <row r="1314">
      <c r="A1314" s="22" t="inlineStr">
        <is>
          <t>8fb3639085fbdba4be8c77fc5a14abd3165b883f</t>
        </is>
      </c>
      <c r="B1314" s="22" t="inlineStr">
        <is>
          <t>2026-10</t>
        </is>
      </c>
      <c r="C1314" s="22" t="inlineStr">
        <is>
          <t>Facebook</t>
        </is>
      </c>
      <c r="D1314" s="22" t="n">
        <v>1</v>
      </c>
      <c r="E1314" s="22" t="inlineStr">
        <is>
          <t>Facebook: Facebook search: INEC BVAS 2027</t>
        </is>
      </c>
      <c r="F1314" s="22" t="inlineStr">
        <is>
          <t>facebook:Facebook search: INEC BVAS 2027</t>
        </is>
      </c>
      <c r="G1314" s="22" t="n">
        <v>-0.586</v>
      </c>
      <c r="H1314" s="22" t="n">
        <v>1</v>
      </c>
      <c r="I1314" s="22" t="n">
        <v>0</v>
      </c>
      <c r="J1314" s="22" t="n">
        <v>0</v>
      </c>
      <c r="K1314" s="22" t="n">
        <v>0</v>
      </c>
      <c r="L1314" s="22" t="n">
        <v>0</v>
      </c>
      <c r="M1314" s="22" t="n">
        <v>0</v>
      </c>
      <c r="N1314" s="22" t="n">
        <v>0</v>
      </c>
      <c r="O1314" s="22" t="n">
        <v>0</v>
      </c>
      <c r="P1314" s="22" t="n">
        <v>0</v>
      </c>
      <c r="Q1314" s="22" t="n">
        <v>0</v>
      </c>
      <c r="R1314" s="22" t="n">
        <v>0</v>
      </c>
      <c r="S1314" s="22" t="n">
        <v>0</v>
      </c>
      <c r="T1314" s="22" t="n">
        <v>0</v>
      </c>
      <c r="U1314" s="3">
        <f>IF(OR(N1314=1,Q1314=1),1,0)</f>
        <v/>
      </c>
      <c r="V1314" s="3">
        <f>IF(OR(T1314=1,P1314=1),1,0)</f>
        <v/>
      </c>
      <c r="W1314" s="3">
        <f>IF(OR(J1314=1),1,0)</f>
        <v/>
      </c>
      <c r="X1314" s="3">
        <f>IF(OR(I1314=1,H1314=1),1,0)</f>
        <v/>
      </c>
      <c r="Y1314" s="3">
        <f>IF(OR(G1314=1),1,0)</f>
        <v/>
      </c>
      <c r="Z1314" s="3">
        <f>IF(OR(F1314=1),1,0)</f>
        <v/>
      </c>
      <c r="AA1314" s="3">
        <f>IF(OR(M1314=1),1,0)</f>
        <v/>
      </c>
    </row>
    <row r="1315">
      <c r="A1315" s="22" t="inlineStr">
        <is>
          <t>fa4a8b1623ff4b84ba1f72645bebb1e1fd242deb</t>
        </is>
      </c>
      <c r="B1315" s="22" t="inlineStr">
        <is>
          <t>2026-10</t>
        </is>
      </c>
      <c r="C1315" s="22" t="inlineStr">
        <is>
          <t>Facebook</t>
        </is>
      </c>
      <c r="D1315" s="22" t="n">
        <v>1</v>
      </c>
      <c r="E1315" s="22" t="inlineStr">
        <is>
          <t>Facebook: Facebook search: INEC BVAS 2027</t>
        </is>
      </c>
      <c r="F1315" s="22" t="inlineStr">
        <is>
          <t>facebook:Facebook search: INEC BVAS 2027</t>
        </is>
      </c>
      <c r="G1315" s="22" t="n">
        <v>0.886</v>
      </c>
      <c r="H1315" s="22" t="n">
        <v>0</v>
      </c>
      <c r="I1315" s="22" t="n">
        <v>1</v>
      </c>
      <c r="J1315" s="22" t="n">
        <v>0</v>
      </c>
      <c r="K1315" s="22" t="n">
        <v>0</v>
      </c>
      <c r="L1315" s="22" t="n">
        <v>0</v>
      </c>
      <c r="M1315" s="22" t="n">
        <v>0</v>
      </c>
      <c r="N1315" s="22" t="n">
        <v>0</v>
      </c>
      <c r="O1315" s="22" t="n">
        <v>0</v>
      </c>
      <c r="P1315" s="22" t="n">
        <v>0</v>
      </c>
      <c r="Q1315" s="22" t="n">
        <v>0</v>
      </c>
      <c r="R1315" s="22" t="n">
        <v>0</v>
      </c>
      <c r="S1315" s="22" t="n">
        <v>0</v>
      </c>
      <c r="T1315" s="22" t="n">
        <v>0</v>
      </c>
      <c r="U1315" s="3">
        <f>IF(OR(N1315=1,Q1315=1),1,0)</f>
        <v/>
      </c>
      <c r="V1315" s="3">
        <f>IF(OR(T1315=1,P1315=1),1,0)</f>
        <v/>
      </c>
      <c r="W1315" s="3">
        <f>IF(OR(J1315=1),1,0)</f>
        <v/>
      </c>
      <c r="X1315" s="3">
        <f>IF(OR(I1315=1,H1315=1),1,0)</f>
        <v/>
      </c>
      <c r="Y1315" s="3">
        <f>IF(OR(G1315=1),1,0)</f>
        <v/>
      </c>
      <c r="Z1315" s="3">
        <f>IF(OR(F1315=1),1,0)</f>
        <v/>
      </c>
      <c r="AA1315" s="3">
        <f>IF(OR(M1315=1),1,0)</f>
        <v/>
      </c>
    </row>
    <row r="1316">
      <c r="A1316" s="22" t="inlineStr">
        <is>
          <t>35ca08d7ca32d4df07052868caf8752c3b174ca9</t>
        </is>
      </c>
      <c r="B1316" s="22" t="inlineStr">
        <is>
          <t>2026-10</t>
        </is>
      </c>
      <c r="C1316" s="22" t="inlineStr">
        <is>
          <t>Facebook</t>
        </is>
      </c>
      <c r="D1316" s="22" t="n">
        <v>1</v>
      </c>
      <c r="E1316" s="22" t="inlineStr">
        <is>
          <t>Facebook: Facebook search: INEC BVAS 2027</t>
        </is>
      </c>
      <c r="F1316" s="22" t="inlineStr">
        <is>
          <t>facebook:Facebook search: INEC BVAS 2027</t>
        </is>
      </c>
      <c r="G1316" s="22" t="n">
        <v>0.778</v>
      </c>
      <c r="H1316" s="22" t="n">
        <v>0</v>
      </c>
      <c r="I1316" s="22" t="n">
        <v>1</v>
      </c>
      <c r="J1316" s="22" t="n">
        <v>0</v>
      </c>
      <c r="K1316" s="22" t="n">
        <v>0</v>
      </c>
      <c r="L1316" s="22" t="n">
        <v>0</v>
      </c>
      <c r="M1316" s="22" t="n">
        <v>0</v>
      </c>
      <c r="N1316" s="22" t="n">
        <v>0</v>
      </c>
      <c r="O1316" s="22" t="n">
        <v>0</v>
      </c>
      <c r="P1316" s="22" t="n">
        <v>0</v>
      </c>
      <c r="Q1316" s="22" t="n">
        <v>0</v>
      </c>
      <c r="R1316" s="22" t="n">
        <v>0</v>
      </c>
      <c r="S1316" s="22" t="n">
        <v>0</v>
      </c>
      <c r="T1316" s="22" t="n">
        <v>0</v>
      </c>
      <c r="U1316" s="3">
        <f>IF(OR(N1316=1,Q1316=1),1,0)</f>
        <v/>
      </c>
      <c r="V1316" s="3">
        <f>IF(OR(T1316=1,P1316=1),1,0)</f>
        <v/>
      </c>
      <c r="W1316" s="3">
        <f>IF(OR(J1316=1),1,0)</f>
        <v/>
      </c>
      <c r="X1316" s="3">
        <f>IF(OR(I1316=1,H1316=1),1,0)</f>
        <v/>
      </c>
      <c r="Y1316" s="3">
        <f>IF(OR(G1316=1),1,0)</f>
        <v/>
      </c>
      <c r="Z1316" s="3">
        <f>IF(OR(F1316=1),1,0)</f>
        <v/>
      </c>
      <c r="AA1316" s="3">
        <f>IF(OR(M1316=1),1,0)</f>
        <v/>
      </c>
    </row>
    <row r="1317">
      <c r="A1317" s="22" t="inlineStr">
        <is>
          <t>9162367ae0c2d18a8c042d63cbcae74eeed8acfb</t>
        </is>
      </c>
      <c r="B1317" s="22" t="inlineStr">
        <is>
          <t>2026-10</t>
        </is>
      </c>
      <c r="C1317" s="22" t="inlineStr">
        <is>
          <t>Facebook</t>
        </is>
      </c>
      <c r="D1317" s="22" t="n">
        <v>1</v>
      </c>
      <c r="E1317" s="22" t="inlineStr">
        <is>
          <t>Facebook: Facebook search: INEC BVAS 2027</t>
        </is>
      </c>
      <c r="F1317" s="22" t="inlineStr">
        <is>
          <t>facebook:Facebook search: INEC BVAS 2027</t>
        </is>
      </c>
      <c r="G1317" s="22" t="n">
        <v>-0.422</v>
      </c>
      <c r="H1317" s="22" t="n">
        <v>1</v>
      </c>
      <c r="I1317" s="22" t="n">
        <v>0</v>
      </c>
      <c r="J1317" s="22" t="n">
        <v>0</v>
      </c>
      <c r="K1317" s="22" t="n">
        <v>0</v>
      </c>
      <c r="L1317" s="22" t="n">
        <v>0</v>
      </c>
      <c r="M1317" s="22" t="n">
        <v>0</v>
      </c>
      <c r="N1317" s="22" t="n">
        <v>0</v>
      </c>
      <c r="O1317" s="22" t="n">
        <v>0</v>
      </c>
      <c r="P1317" s="22" t="n">
        <v>0</v>
      </c>
      <c r="Q1317" s="22" t="n">
        <v>0</v>
      </c>
      <c r="R1317" s="22" t="n">
        <v>0</v>
      </c>
      <c r="S1317" s="22" t="n">
        <v>0</v>
      </c>
      <c r="T1317" s="22" t="n">
        <v>0</v>
      </c>
      <c r="U1317" s="3">
        <f>IF(OR(N1317=1,Q1317=1),1,0)</f>
        <v/>
      </c>
      <c r="V1317" s="3">
        <f>IF(OR(T1317=1,P1317=1),1,0)</f>
        <v/>
      </c>
      <c r="W1317" s="3">
        <f>IF(OR(J1317=1),1,0)</f>
        <v/>
      </c>
      <c r="X1317" s="3">
        <f>IF(OR(I1317=1,H1317=1),1,0)</f>
        <v/>
      </c>
      <c r="Y1317" s="3">
        <f>IF(OR(G1317=1),1,0)</f>
        <v/>
      </c>
      <c r="Z1317" s="3">
        <f>IF(OR(F1317=1),1,0)</f>
        <v/>
      </c>
      <c r="AA1317" s="3">
        <f>IF(OR(M1317=1),1,0)</f>
        <v/>
      </c>
    </row>
    <row r="1318">
      <c r="A1318" s="22" t="inlineStr">
        <is>
          <t>ad049d14f6040a5c22382753c61cdd2cf3d0c16e</t>
        </is>
      </c>
      <c r="B1318" s="22" t="inlineStr">
        <is>
          <t>2026-10</t>
        </is>
      </c>
      <c r="C1318" s="22" t="inlineStr">
        <is>
          <t>Facebook</t>
        </is>
      </c>
      <c r="D1318" s="22" t="n">
        <v>1</v>
      </c>
      <c r="E1318" s="22" t="inlineStr">
        <is>
          <t>Facebook: Facebook search: INEC BVAS 2027</t>
        </is>
      </c>
      <c r="F1318" s="22" t="inlineStr">
        <is>
          <t>facebook:Facebook search: INEC BVAS 2027</t>
        </is>
      </c>
      <c r="G1318" s="22" t="n">
        <v>0.302</v>
      </c>
      <c r="H1318" s="22" t="n">
        <v>0</v>
      </c>
      <c r="I1318" s="22" t="n">
        <v>1</v>
      </c>
      <c r="J1318" s="22" t="n">
        <v>0</v>
      </c>
      <c r="K1318" s="22" t="n">
        <v>0</v>
      </c>
      <c r="L1318" s="22" t="n">
        <v>0</v>
      </c>
      <c r="M1318" s="22" t="n">
        <v>0</v>
      </c>
      <c r="N1318" s="22" t="n">
        <v>0</v>
      </c>
      <c r="O1318" s="22" t="n">
        <v>0</v>
      </c>
      <c r="P1318" s="22" t="n">
        <v>0</v>
      </c>
      <c r="Q1318" s="22" t="n">
        <v>0</v>
      </c>
      <c r="R1318" s="22" t="n">
        <v>0</v>
      </c>
      <c r="S1318" s="22" t="n">
        <v>0</v>
      </c>
      <c r="T1318" s="22" t="n">
        <v>0</v>
      </c>
      <c r="U1318" s="3">
        <f>IF(OR(N1318=1,Q1318=1),1,0)</f>
        <v/>
      </c>
      <c r="V1318" s="3">
        <f>IF(OR(T1318=1,P1318=1),1,0)</f>
        <v/>
      </c>
      <c r="W1318" s="3">
        <f>IF(OR(J1318=1),1,0)</f>
        <v/>
      </c>
      <c r="X1318" s="3">
        <f>IF(OR(I1318=1,H1318=1),1,0)</f>
        <v/>
      </c>
      <c r="Y1318" s="3">
        <f>IF(OR(G1318=1),1,0)</f>
        <v/>
      </c>
      <c r="Z1318" s="3">
        <f>IF(OR(F1318=1),1,0)</f>
        <v/>
      </c>
      <c r="AA1318" s="3">
        <f>IF(OR(M1318=1),1,0)</f>
        <v/>
      </c>
    </row>
    <row r="1319">
      <c r="A1319" s="22" t="inlineStr">
        <is>
          <t>33fbe0b4ee79f2e5bf4f6906ceb266acf9e2d583</t>
        </is>
      </c>
      <c r="B1319" s="22" t="inlineStr">
        <is>
          <t>2026-10</t>
        </is>
      </c>
      <c r="C1319" s="22" t="inlineStr">
        <is>
          <t>Facebook</t>
        </is>
      </c>
      <c r="D1319" s="22" t="n">
        <v>1</v>
      </c>
      <c r="E1319" s="22" t="inlineStr">
        <is>
          <t>Facebook: Facebook search: INEC BVAS 2027</t>
        </is>
      </c>
      <c r="F1319" s="22" t="inlineStr">
        <is>
          <t>facebook:Facebook search: INEC BVAS 2027</t>
        </is>
      </c>
      <c r="G1319" s="22" t="n">
        <v>0.491</v>
      </c>
      <c r="H1319" s="22" t="n">
        <v>0</v>
      </c>
      <c r="I1319" s="22" t="n">
        <v>1</v>
      </c>
      <c r="J1319" s="22" t="n">
        <v>0</v>
      </c>
      <c r="K1319" s="22" t="n">
        <v>0</v>
      </c>
      <c r="L1319" s="22" t="n">
        <v>0</v>
      </c>
      <c r="M1319" s="22" t="n">
        <v>0</v>
      </c>
      <c r="N1319" s="22" t="n">
        <v>0</v>
      </c>
      <c r="O1319" s="22" t="n">
        <v>0</v>
      </c>
      <c r="P1319" s="22" t="n">
        <v>0</v>
      </c>
      <c r="Q1319" s="22" t="n">
        <v>0</v>
      </c>
      <c r="R1319" s="22" t="n">
        <v>0</v>
      </c>
      <c r="S1319" s="22" t="n">
        <v>0</v>
      </c>
      <c r="T1319" s="22" t="n">
        <v>0</v>
      </c>
      <c r="U1319" s="3">
        <f>IF(OR(N1319=1,Q1319=1),1,0)</f>
        <v/>
      </c>
      <c r="V1319" s="3">
        <f>IF(OR(T1319=1,P1319=1),1,0)</f>
        <v/>
      </c>
      <c r="W1319" s="3">
        <f>IF(OR(J1319=1),1,0)</f>
        <v/>
      </c>
      <c r="X1319" s="3">
        <f>IF(OR(I1319=1,H1319=1),1,0)</f>
        <v/>
      </c>
      <c r="Y1319" s="3">
        <f>IF(OR(G1319=1),1,0)</f>
        <v/>
      </c>
      <c r="Z1319" s="3">
        <f>IF(OR(F1319=1),1,0)</f>
        <v/>
      </c>
      <c r="AA1319" s="3">
        <f>IF(OR(M1319=1),1,0)</f>
        <v/>
      </c>
    </row>
    <row r="1320">
      <c r="A1320" s="22" t="inlineStr">
        <is>
          <t>e8e558c15403b5d6b9686a11973a244ce18a185c</t>
        </is>
      </c>
      <c r="B1320" s="22" t="inlineStr">
        <is>
          <t>2026-10</t>
        </is>
      </c>
      <c r="C1320" s="22" t="inlineStr">
        <is>
          <t>Facebook</t>
        </is>
      </c>
      <c r="D1320" s="22" t="n">
        <v>1</v>
      </c>
      <c r="E1320" s="22" t="inlineStr">
        <is>
          <t>Facebook: Facebook search: INEC BVAS 2027</t>
        </is>
      </c>
      <c r="F1320" s="22" t="inlineStr">
        <is>
          <t>facebook:Facebook search: INEC BVAS 2027</t>
        </is>
      </c>
      <c r="G1320" s="22" t="n">
        <v>0.746</v>
      </c>
      <c r="H1320" s="22" t="n">
        <v>1</v>
      </c>
      <c r="I1320" s="22" t="n">
        <v>0</v>
      </c>
      <c r="J1320" s="22" t="n">
        <v>0</v>
      </c>
      <c r="K1320" s="22" t="n">
        <v>0</v>
      </c>
      <c r="L1320" s="22" t="n">
        <v>0</v>
      </c>
      <c r="M1320" s="22" t="n">
        <v>0</v>
      </c>
      <c r="N1320" s="22" t="n">
        <v>0</v>
      </c>
      <c r="O1320" s="22" t="n">
        <v>0</v>
      </c>
      <c r="P1320" s="22" t="n">
        <v>0</v>
      </c>
      <c r="Q1320" s="22" t="n">
        <v>0</v>
      </c>
      <c r="R1320" s="22" t="n">
        <v>0</v>
      </c>
      <c r="S1320" s="22" t="n">
        <v>0</v>
      </c>
      <c r="T1320" s="22" t="n">
        <v>0</v>
      </c>
      <c r="U1320" s="3">
        <f>IF(OR(N1320=1,Q1320=1),1,0)</f>
        <v/>
      </c>
      <c r="V1320" s="3">
        <f>IF(OR(T1320=1,P1320=1),1,0)</f>
        <v/>
      </c>
      <c r="W1320" s="3">
        <f>IF(OR(J1320=1),1,0)</f>
        <v/>
      </c>
      <c r="X1320" s="3">
        <f>IF(OR(I1320=1,H1320=1),1,0)</f>
        <v/>
      </c>
      <c r="Y1320" s="3">
        <f>IF(OR(G1320=1),1,0)</f>
        <v/>
      </c>
      <c r="Z1320" s="3">
        <f>IF(OR(F1320=1),1,0)</f>
        <v/>
      </c>
      <c r="AA1320" s="3">
        <f>IF(OR(M1320=1),1,0)</f>
        <v/>
      </c>
    </row>
    <row r="1321">
      <c r="A1321" s="22" t="inlineStr">
        <is>
          <t>b78921cf33f7ca84e6901351369f8474ebc1cf32</t>
        </is>
      </c>
      <c r="B1321" s="22" t="inlineStr">
        <is>
          <t>2026-10</t>
        </is>
      </c>
      <c r="C1321" s="22" t="inlineStr">
        <is>
          <t>Facebook</t>
        </is>
      </c>
      <c r="D1321" s="22" t="n">
        <v>1</v>
      </c>
      <c r="E1321" s="22" t="inlineStr">
        <is>
          <t>Facebook: Facebook search: INEC BVAS 2027</t>
        </is>
      </c>
      <c r="F1321" s="22" t="inlineStr">
        <is>
          <t>facebook:Facebook search: INEC BVAS 2027</t>
        </is>
      </c>
      <c r="G1321" s="22" t="n">
        <v>-0.71</v>
      </c>
      <c r="H1321" s="22" t="n">
        <v>1</v>
      </c>
      <c r="I1321" s="22" t="n">
        <v>0</v>
      </c>
      <c r="J1321" s="22" t="n">
        <v>0</v>
      </c>
      <c r="K1321" s="22" t="n">
        <v>0</v>
      </c>
      <c r="L1321" s="22" t="n">
        <v>0</v>
      </c>
      <c r="M1321" s="22" t="n">
        <v>0</v>
      </c>
      <c r="N1321" s="22" t="n">
        <v>0</v>
      </c>
      <c r="O1321" s="22" t="n">
        <v>0</v>
      </c>
      <c r="P1321" s="22" t="n">
        <v>0</v>
      </c>
      <c r="Q1321" s="22" t="n">
        <v>0</v>
      </c>
      <c r="R1321" s="22" t="n">
        <v>0</v>
      </c>
      <c r="S1321" s="22" t="n">
        <v>0</v>
      </c>
      <c r="T1321" s="22" t="n">
        <v>0</v>
      </c>
      <c r="U1321" s="3">
        <f>IF(OR(N1321=1,Q1321=1),1,0)</f>
        <v/>
      </c>
      <c r="V1321" s="3">
        <f>IF(OR(T1321=1,P1321=1),1,0)</f>
        <v/>
      </c>
      <c r="W1321" s="3">
        <f>IF(OR(J1321=1),1,0)</f>
        <v/>
      </c>
      <c r="X1321" s="3">
        <f>IF(OR(I1321=1,H1321=1),1,0)</f>
        <v/>
      </c>
      <c r="Y1321" s="3">
        <f>IF(OR(G1321=1),1,0)</f>
        <v/>
      </c>
      <c r="Z1321" s="3">
        <f>IF(OR(F1321=1),1,0)</f>
        <v/>
      </c>
      <c r="AA1321" s="3">
        <f>IF(OR(M1321=1),1,0)</f>
        <v/>
      </c>
    </row>
    <row r="1322">
      <c r="A1322" s="22" t="inlineStr">
        <is>
          <t>1e3a0df617955ff5bb269abaf1693f5e7b798eac</t>
        </is>
      </c>
      <c r="B1322" s="22" t="inlineStr">
        <is>
          <t>2026-10</t>
        </is>
      </c>
      <c r="C1322" s="22" t="inlineStr">
        <is>
          <t>Facebook</t>
        </is>
      </c>
      <c r="D1322" s="22" t="n">
        <v>1</v>
      </c>
      <c r="E1322" s="22" t="inlineStr">
        <is>
          <t>Facebook: Facebook search: INEC BVAS 2027</t>
        </is>
      </c>
      <c r="F1322" s="22" t="inlineStr">
        <is>
          <t>facebook:Facebook search: INEC BVAS 2027</t>
        </is>
      </c>
      <c r="G1322" s="22" t="n">
        <v>-0.732</v>
      </c>
      <c r="H1322" s="22" t="n">
        <v>1</v>
      </c>
      <c r="I1322" s="22" t="n">
        <v>0</v>
      </c>
      <c r="J1322" s="22" t="n">
        <v>0</v>
      </c>
      <c r="K1322" s="22" t="n">
        <v>0</v>
      </c>
      <c r="L1322" s="22" t="n">
        <v>0</v>
      </c>
      <c r="M1322" s="22" t="n">
        <v>1</v>
      </c>
      <c r="N1322" s="22" t="n">
        <v>0</v>
      </c>
      <c r="O1322" s="22" t="n">
        <v>0</v>
      </c>
      <c r="P1322" s="22" t="n">
        <v>0</v>
      </c>
      <c r="Q1322" s="22" t="n">
        <v>0</v>
      </c>
      <c r="R1322" s="22" t="n">
        <v>0</v>
      </c>
      <c r="S1322" s="22" t="n">
        <v>0</v>
      </c>
      <c r="T1322" s="22" t="n">
        <v>0</v>
      </c>
      <c r="U1322" s="3">
        <f>IF(OR(N1322=1,Q1322=1),1,0)</f>
        <v/>
      </c>
      <c r="V1322" s="3">
        <f>IF(OR(T1322=1,P1322=1),1,0)</f>
        <v/>
      </c>
      <c r="W1322" s="3">
        <f>IF(OR(J1322=1),1,0)</f>
        <v/>
      </c>
      <c r="X1322" s="3">
        <f>IF(OR(I1322=1,H1322=1),1,0)</f>
        <v/>
      </c>
      <c r="Y1322" s="3">
        <f>IF(OR(G1322=1),1,0)</f>
        <v/>
      </c>
      <c r="Z1322" s="3">
        <f>IF(OR(F1322=1),1,0)</f>
        <v/>
      </c>
      <c r="AA1322" s="3">
        <f>IF(OR(M1322=1),1,0)</f>
        <v/>
      </c>
    </row>
    <row r="1323">
      <c r="A1323" s="22" t="inlineStr">
        <is>
          <t>837bf79542be2de370852b017d8f831ff421448a</t>
        </is>
      </c>
      <c r="B1323" s="22" t="inlineStr">
        <is>
          <t>2026-10</t>
        </is>
      </c>
      <c r="C1323" s="22" t="inlineStr">
        <is>
          <t>Facebook</t>
        </is>
      </c>
      <c r="D1323" s="22" t="n">
        <v>1</v>
      </c>
      <c r="E1323" s="22" t="inlineStr">
        <is>
          <t>Facebook: Facebook search: INEC BVAS 2027</t>
        </is>
      </c>
      <c r="F1323" s="22" t="inlineStr">
        <is>
          <t>facebook:Facebook search: INEC BVAS 2027</t>
        </is>
      </c>
      <c r="G1323" s="22" t="n">
        <v>-0.572</v>
      </c>
      <c r="H1323" s="22" t="n">
        <v>0</v>
      </c>
      <c r="I1323" s="22" t="n">
        <v>1</v>
      </c>
      <c r="J1323" s="22" t="n">
        <v>0</v>
      </c>
      <c r="K1323" s="22" t="n">
        <v>0</v>
      </c>
      <c r="L1323" s="22" t="n">
        <v>0</v>
      </c>
      <c r="M1323" s="22" t="n">
        <v>0</v>
      </c>
      <c r="N1323" s="22" t="n">
        <v>0</v>
      </c>
      <c r="O1323" s="22" t="n">
        <v>0</v>
      </c>
      <c r="P1323" s="22" t="n">
        <v>0</v>
      </c>
      <c r="Q1323" s="22" t="n">
        <v>0</v>
      </c>
      <c r="R1323" s="22" t="n">
        <v>0</v>
      </c>
      <c r="S1323" s="22" t="n">
        <v>0</v>
      </c>
      <c r="T1323" s="22" t="n">
        <v>0</v>
      </c>
      <c r="U1323" s="3">
        <f>IF(OR(N1323=1,Q1323=1),1,0)</f>
        <v/>
      </c>
      <c r="V1323" s="3">
        <f>IF(OR(T1323=1,P1323=1),1,0)</f>
        <v/>
      </c>
      <c r="W1323" s="3">
        <f>IF(OR(J1323=1),1,0)</f>
        <v/>
      </c>
      <c r="X1323" s="3">
        <f>IF(OR(I1323=1,H1323=1),1,0)</f>
        <v/>
      </c>
      <c r="Y1323" s="3">
        <f>IF(OR(G1323=1),1,0)</f>
        <v/>
      </c>
      <c r="Z1323" s="3">
        <f>IF(OR(F1323=1),1,0)</f>
        <v/>
      </c>
      <c r="AA1323" s="3">
        <f>IF(OR(M1323=1),1,0)</f>
        <v/>
      </c>
    </row>
    <row r="1324">
      <c r="A1324" s="22" t="inlineStr">
        <is>
          <t>c86faa631139b2c7865c7b15ac02f635d47851ee</t>
        </is>
      </c>
      <c r="B1324" s="22" t="inlineStr">
        <is>
          <t>2026-10</t>
        </is>
      </c>
      <c r="C1324" s="22" t="inlineStr">
        <is>
          <t>Facebook</t>
        </is>
      </c>
      <c r="D1324" s="22" t="n">
        <v>1</v>
      </c>
      <c r="E1324" s="22" t="inlineStr">
        <is>
          <t>Facebook: Facebook search: INEC BVAS 2027</t>
        </is>
      </c>
      <c r="F1324" s="22" t="inlineStr">
        <is>
          <t>facebook:Facebook search: INEC BVAS 2027</t>
        </is>
      </c>
      <c r="G1324" s="22" t="n">
        <v>-0.623</v>
      </c>
      <c r="H1324" s="22" t="n">
        <v>1</v>
      </c>
      <c r="I1324" s="22" t="n">
        <v>1</v>
      </c>
      <c r="J1324" s="22" t="n">
        <v>0</v>
      </c>
      <c r="K1324" s="22" t="n">
        <v>0</v>
      </c>
      <c r="L1324" s="22" t="n">
        <v>0</v>
      </c>
      <c r="M1324" s="22" t="n">
        <v>0</v>
      </c>
      <c r="N1324" s="22" t="n">
        <v>0</v>
      </c>
      <c r="O1324" s="22" t="n">
        <v>0</v>
      </c>
      <c r="P1324" s="22" t="n">
        <v>0</v>
      </c>
      <c r="Q1324" s="22" t="n">
        <v>0</v>
      </c>
      <c r="R1324" s="22" t="n">
        <v>0</v>
      </c>
      <c r="S1324" s="22" t="n">
        <v>0</v>
      </c>
      <c r="T1324" s="22" t="n">
        <v>0</v>
      </c>
      <c r="U1324" s="3">
        <f>IF(OR(N1324=1,Q1324=1),1,0)</f>
        <v/>
      </c>
      <c r="V1324" s="3">
        <f>IF(OR(T1324=1,P1324=1),1,0)</f>
        <v/>
      </c>
      <c r="W1324" s="3">
        <f>IF(OR(J1324=1),1,0)</f>
        <v/>
      </c>
      <c r="X1324" s="3">
        <f>IF(OR(I1324=1,H1324=1),1,0)</f>
        <v/>
      </c>
      <c r="Y1324" s="3">
        <f>IF(OR(G1324=1),1,0)</f>
        <v/>
      </c>
      <c r="Z1324" s="3">
        <f>IF(OR(F1324=1),1,0)</f>
        <v/>
      </c>
      <c r="AA1324" s="3">
        <f>IF(OR(M1324=1),1,0)</f>
        <v/>
      </c>
    </row>
    <row r="1325">
      <c r="A1325" s="22" t="inlineStr">
        <is>
          <t>19ff7d7100801ea2846e762b2dcd3fa5ac292686</t>
        </is>
      </c>
      <c r="B1325" s="22" t="inlineStr">
        <is>
          <t>2026-10</t>
        </is>
      </c>
      <c r="C1325" s="22" t="inlineStr">
        <is>
          <t>Facebook</t>
        </is>
      </c>
      <c r="D1325" s="22" t="n">
        <v>1</v>
      </c>
      <c r="E1325" s="22" t="inlineStr">
        <is>
          <t>Facebook: Facebook search: INEC BVAS 2027</t>
        </is>
      </c>
      <c r="F1325" s="22" t="inlineStr">
        <is>
          <t>facebook:Facebook search: INEC BVAS 2027</t>
        </is>
      </c>
      <c r="G1325" s="22" t="n">
        <v>-0.599</v>
      </c>
      <c r="H1325" s="22" t="n">
        <v>0</v>
      </c>
      <c r="I1325" s="22" t="n">
        <v>1</v>
      </c>
      <c r="J1325" s="22" t="n">
        <v>0</v>
      </c>
      <c r="K1325" s="22" t="n">
        <v>0</v>
      </c>
      <c r="L1325" s="22" t="n">
        <v>0</v>
      </c>
      <c r="M1325" s="22" t="n">
        <v>0</v>
      </c>
      <c r="N1325" s="22" t="n">
        <v>0</v>
      </c>
      <c r="O1325" s="22" t="n">
        <v>0</v>
      </c>
      <c r="P1325" s="22" t="n">
        <v>0</v>
      </c>
      <c r="Q1325" s="22" t="n">
        <v>0</v>
      </c>
      <c r="R1325" s="22" t="n">
        <v>0</v>
      </c>
      <c r="S1325" s="22" t="n">
        <v>0</v>
      </c>
      <c r="T1325" s="22" t="n">
        <v>0</v>
      </c>
      <c r="U1325" s="3">
        <f>IF(OR(N1325=1,Q1325=1),1,0)</f>
        <v/>
      </c>
      <c r="V1325" s="3">
        <f>IF(OR(T1325=1,P1325=1),1,0)</f>
        <v/>
      </c>
      <c r="W1325" s="3">
        <f>IF(OR(J1325=1),1,0)</f>
        <v/>
      </c>
      <c r="X1325" s="3">
        <f>IF(OR(I1325=1,H1325=1),1,0)</f>
        <v/>
      </c>
      <c r="Y1325" s="3">
        <f>IF(OR(G1325=1),1,0)</f>
        <v/>
      </c>
      <c r="Z1325" s="3">
        <f>IF(OR(F1325=1),1,0)</f>
        <v/>
      </c>
      <c r="AA1325" s="3">
        <f>IF(OR(M1325=1),1,0)</f>
        <v/>
      </c>
    </row>
    <row r="1326">
      <c r="A1326" s="22" t="inlineStr">
        <is>
          <t>8032d0bd4893317b4d0de4f6eba08ebfe71f6552</t>
        </is>
      </c>
      <c r="B1326" s="22" t="inlineStr">
        <is>
          <t>2026-10</t>
        </is>
      </c>
      <c r="C1326" s="22" t="inlineStr">
        <is>
          <t>Facebook</t>
        </is>
      </c>
      <c r="D1326" s="22" t="n">
        <v>1</v>
      </c>
      <c r="E1326" s="22" t="inlineStr">
        <is>
          <t>Facebook: Facebook search: INEC BVAS 2027</t>
        </is>
      </c>
      <c r="F1326" s="22" t="inlineStr">
        <is>
          <t>facebook:Facebook search: INEC BVAS 2027</t>
        </is>
      </c>
      <c r="G1326" s="22" t="n">
        <v>0.852</v>
      </c>
      <c r="H1326" s="22" t="n">
        <v>1</v>
      </c>
      <c r="I1326" s="22" t="n">
        <v>1</v>
      </c>
      <c r="J1326" s="22" t="n">
        <v>0</v>
      </c>
      <c r="K1326" s="22" t="n">
        <v>0</v>
      </c>
      <c r="L1326" s="22" t="n">
        <v>0</v>
      </c>
      <c r="M1326" s="22" t="n">
        <v>0</v>
      </c>
      <c r="N1326" s="22" t="n">
        <v>0</v>
      </c>
      <c r="O1326" s="22" t="n">
        <v>0</v>
      </c>
      <c r="P1326" s="22" t="n">
        <v>0</v>
      </c>
      <c r="Q1326" s="22" t="n">
        <v>0</v>
      </c>
      <c r="R1326" s="22" t="n">
        <v>0</v>
      </c>
      <c r="S1326" s="22" t="n">
        <v>0</v>
      </c>
      <c r="T1326" s="22" t="n">
        <v>0</v>
      </c>
      <c r="U1326" s="3">
        <f>IF(OR(N1326=1,Q1326=1),1,0)</f>
        <v/>
      </c>
      <c r="V1326" s="3">
        <f>IF(OR(T1326=1,P1326=1),1,0)</f>
        <v/>
      </c>
      <c r="W1326" s="3">
        <f>IF(OR(J1326=1),1,0)</f>
        <v/>
      </c>
      <c r="X1326" s="3">
        <f>IF(OR(I1326=1,H1326=1),1,0)</f>
        <v/>
      </c>
      <c r="Y1326" s="3">
        <f>IF(OR(G1326=1),1,0)</f>
        <v/>
      </c>
      <c r="Z1326" s="3">
        <f>IF(OR(F1326=1),1,0)</f>
        <v/>
      </c>
      <c r="AA1326" s="3">
        <f>IF(OR(M1326=1),1,0)</f>
        <v/>
      </c>
    </row>
    <row r="1327">
      <c r="A1327" s="22" t="inlineStr">
        <is>
          <t>0a969b740e34b947dd417d776edf3ba2616be8ce</t>
        </is>
      </c>
      <c r="B1327" s="22" t="inlineStr">
        <is>
          <t>2026-10</t>
        </is>
      </c>
      <c r="C1327" s="22" t="inlineStr">
        <is>
          <t>Facebook</t>
        </is>
      </c>
      <c r="D1327" s="22" t="n">
        <v>1</v>
      </c>
      <c r="E1327" s="22" t="inlineStr">
        <is>
          <t>Facebook: Facebook search: INEC BVAS 2027</t>
        </is>
      </c>
      <c r="F1327" s="22" t="inlineStr">
        <is>
          <t>facebook:Facebook search: INEC BVAS 2027</t>
        </is>
      </c>
      <c r="G1327" s="22" t="n">
        <v>0.077</v>
      </c>
      <c r="H1327" s="22" t="n">
        <v>0</v>
      </c>
      <c r="I1327" s="22" t="n">
        <v>1</v>
      </c>
      <c r="J1327" s="22" t="n">
        <v>0</v>
      </c>
      <c r="K1327" s="22" t="n">
        <v>0</v>
      </c>
      <c r="L1327" s="22" t="n">
        <v>0</v>
      </c>
      <c r="M1327" s="22" t="n">
        <v>0</v>
      </c>
      <c r="N1327" s="22" t="n">
        <v>0</v>
      </c>
      <c r="O1327" s="22" t="n">
        <v>0</v>
      </c>
      <c r="P1327" s="22" t="n">
        <v>0</v>
      </c>
      <c r="Q1327" s="22" t="n">
        <v>0</v>
      </c>
      <c r="R1327" s="22" t="n">
        <v>0</v>
      </c>
      <c r="S1327" s="22" t="n">
        <v>0</v>
      </c>
      <c r="T1327" s="22" t="n">
        <v>0</v>
      </c>
      <c r="U1327" s="3">
        <f>IF(OR(N1327=1,Q1327=1),1,0)</f>
        <v/>
      </c>
      <c r="V1327" s="3">
        <f>IF(OR(T1327=1,P1327=1),1,0)</f>
        <v/>
      </c>
      <c r="W1327" s="3">
        <f>IF(OR(J1327=1),1,0)</f>
        <v/>
      </c>
      <c r="X1327" s="3">
        <f>IF(OR(I1327=1,H1327=1),1,0)</f>
        <v/>
      </c>
      <c r="Y1327" s="3">
        <f>IF(OR(G1327=1),1,0)</f>
        <v/>
      </c>
      <c r="Z1327" s="3">
        <f>IF(OR(F1327=1),1,0)</f>
        <v/>
      </c>
      <c r="AA1327" s="3">
        <f>IF(OR(M1327=1),1,0)</f>
        <v/>
      </c>
    </row>
    <row r="1328">
      <c r="A1328" s="22" t="inlineStr">
        <is>
          <t>fcf6df443788826132f4026ed3d125e00b8b0697</t>
        </is>
      </c>
      <c r="B1328" s="22" t="inlineStr">
        <is>
          <t>2026-10</t>
        </is>
      </c>
      <c r="C1328" s="22" t="inlineStr">
        <is>
          <t>Facebook</t>
        </is>
      </c>
      <c r="D1328" s="22" t="n">
        <v>1</v>
      </c>
      <c r="E1328" s="22" t="inlineStr">
        <is>
          <t>Facebook: Facebook search: INEC BVAS 2027</t>
        </is>
      </c>
      <c r="F1328" s="22" t="inlineStr">
        <is>
          <t>facebook:Facebook search: INEC BVAS 2027</t>
        </is>
      </c>
      <c r="G1328" s="22" t="n">
        <v>-0.76</v>
      </c>
      <c r="H1328" s="22" t="n">
        <v>0</v>
      </c>
      <c r="I1328" s="22" t="n">
        <v>0</v>
      </c>
      <c r="J1328" s="22" t="n">
        <v>0</v>
      </c>
      <c r="K1328" s="22" t="n">
        <v>0</v>
      </c>
      <c r="L1328" s="22" t="n">
        <v>0</v>
      </c>
      <c r="M1328" s="22" t="n">
        <v>1</v>
      </c>
      <c r="N1328" s="22" t="n">
        <v>0</v>
      </c>
      <c r="O1328" s="22" t="n">
        <v>0</v>
      </c>
      <c r="P1328" s="22" t="n">
        <v>0</v>
      </c>
      <c r="Q1328" s="22" t="n">
        <v>0</v>
      </c>
      <c r="R1328" s="22" t="n">
        <v>0</v>
      </c>
      <c r="S1328" s="22" t="n">
        <v>0</v>
      </c>
      <c r="T1328" s="22" t="n">
        <v>0</v>
      </c>
      <c r="U1328" s="3">
        <f>IF(OR(N1328=1,Q1328=1),1,0)</f>
        <v/>
      </c>
      <c r="V1328" s="3">
        <f>IF(OR(T1328=1,P1328=1),1,0)</f>
        <v/>
      </c>
      <c r="W1328" s="3">
        <f>IF(OR(J1328=1),1,0)</f>
        <v/>
      </c>
      <c r="X1328" s="3">
        <f>IF(OR(I1328=1,H1328=1),1,0)</f>
        <v/>
      </c>
      <c r="Y1328" s="3">
        <f>IF(OR(G1328=1),1,0)</f>
        <v/>
      </c>
      <c r="Z1328" s="3">
        <f>IF(OR(F1328=1),1,0)</f>
        <v/>
      </c>
      <c r="AA1328" s="3">
        <f>IF(OR(M1328=1),1,0)</f>
        <v/>
      </c>
    </row>
    <row r="1329">
      <c r="A1329" s="22" t="inlineStr">
        <is>
          <t>83379e95525401174f5e813d2749ad8e77bf9edb</t>
        </is>
      </c>
      <c r="B1329" s="22" t="inlineStr">
        <is>
          <t>2026-10</t>
        </is>
      </c>
      <c r="C1329" s="22" t="inlineStr">
        <is>
          <t>Facebook</t>
        </is>
      </c>
      <c r="D1329" s="22" t="n">
        <v>1</v>
      </c>
      <c r="E1329" s="22" t="inlineStr">
        <is>
          <t>Facebook: Facebook search: INEC BVAS 2027</t>
        </is>
      </c>
      <c r="F1329" s="22" t="inlineStr">
        <is>
          <t>facebook:Facebook search: INEC BVAS 2027</t>
        </is>
      </c>
      <c r="G1329" s="22" t="n">
        <v>-0.822</v>
      </c>
      <c r="H1329" s="22" t="n">
        <v>0</v>
      </c>
      <c r="I1329" s="22" t="n">
        <v>1</v>
      </c>
      <c r="J1329" s="22" t="n">
        <v>0</v>
      </c>
      <c r="K1329" s="22" t="n">
        <v>0</v>
      </c>
      <c r="L1329" s="22" t="n">
        <v>0</v>
      </c>
      <c r="M1329" s="22" t="n">
        <v>1</v>
      </c>
      <c r="N1329" s="22" t="n">
        <v>0</v>
      </c>
      <c r="O1329" s="22" t="n">
        <v>0</v>
      </c>
      <c r="P1329" s="22" t="n">
        <v>0</v>
      </c>
      <c r="Q1329" s="22" t="n">
        <v>0</v>
      </c>
      <c r="R1329" s="22" t="n">
        <v>0</v>
      </c>
      <c r="S1329" s="22" t="n">
        <v>0</v>
      </c>
      <c r="T1329" s="22" t="n">
        <v>0</v>
      </c>
      <c r="U1329" s="3">
        <f>IF(OR(N1329=1,Q1329=1),1,0)</f>
        <v/>
      </c>
      <c r="V1329" s="3">
        <f>IF(OR(T1329=1,P1329=1),1,0)</f>
        <v/>
      </c>
      <c r="W1329" s="3">
        <f>IF(OR(J1329=1),1,0)</f>
        <v/>
      </c>
      <c r="X1329" s="3">
        <f>IF(OR(I1329=1,H1329=1),1,0)</f>
        <v/>
      </c>
      <c r="Y1329" s="3">
        <f>IF(OR(G1329=1),1,0)</f>
        <v/>
      </c>
      <c r="Z1329" s="3">
        <f>IF(OR(F1329=1),1,0)</f>
        <v/>
      </c>
      <c r="AA1329" s="3">
        <f>IF(OR(M1329=1),1,0)</f>
        <v/>
      </c>
    </row>
    <row r="1330">
      <c r="A1330" s="22" t="inlineStr">
        <is>
          <t>54c9311abc1d40c4c08ddbf2044a21baee194830</t>
        </is>
      </c>
      <c r="B1330" s="22" t="inlineStr">
        <is>
          <t>2026-10</t>
        </is>
      </c>
      <c r="C1330" s="22" t="inlineStr">
        <is>
          <t>Facebook</t>
        </is>
      </c>
      <c r="D1330" s="22" t="n">
        <v>1</v>
      </c>
      <c r="E1330" s="22" t="inlineStr">
        <is>
          <t>Facebook: Facebook search: INEC BVAS 2027</t>
        </is>
      </c>
      <c r="F1330" s="22" t="inlineStr">
        <is>
          <t>facebook:Facebook search: INEC BVAS 2027</t>
        </is>
      </c>
      <c r="G1330" s="22" t="n">
        <v>-0.471</v>
      </c>
      <c r="H1330" s="22" t="n">
        <v>1</v>
      </c>
      <c r="I1330" s="22" t="n">
        <v>0</v>
      </c>
      <c r="J1330" s="22" t="n">
        <v>0</v>
      </c>
      <c r="K1330" s="22" t="n">
        <v>0</v>
      </c>
      <c r="L1330" s="22" t="n">
        <v>0</v>
      </c>
      <c r="M1330" s="22" t="n">
        <v>0</v>
      </c>
      <c r="N1330" s="22" t="n">
        <v>0</v>
      </c>
      <c r="O1330" s="22" t="n">
        <v>0</v>
      </c>
      <c r="P1330" s="22" t="n">
        <v>0</v>
      </c>
      <c r="Q1330" s="22" t="n">
        <v>0</v>
      </c>
      <c r="R1330" s="22" t="n">
        <v>0</v>
      </c>
      <c r="S1330" s="22" t="n">
        <v>0</v>
      </c>
      <c r="T1330" s="22" t="n">
        <v>0</v>
      </c>
      <c r="U1330" s="3">
        <f>IF(OR(N1330=1,Q1330=1),1,0)</f>
        <v/>
      </c>
      <c r="V1330" s="3">
        <f>IF(OR(T1330=1,P1330=1),1,0)</f>
        <v/>
      </c>
      <c r="W1330" s="3">
        <f>IF(OR(J1330=1),1,0)</f>
        <v/>
      </c>
      <c r="X1330" s="3">
        <f>IF(OR(I1330=1,H1330=1),1,0)</f>
        <v/>
      </c>
      <c r="Y1330" s="3">
        <f>IF(OR(G1330=1),1,0)</f>
        <v/>
      </c>
      <c r="Z1330" s="3">
        <f>IF(OR(F1330=1),1,0)</f>
        <v/>
      </c>
      <c r="AA1330" s="3">
        <f>IF(OR(M1330=1),1,0)</f>
        <v/>
      </c>
    </row>
    <row r="1331">
      <c r="A1331" s="22" t="inlineStr">
        <is>
          <t>870a0db286a594ee9bd9ddfeda77a421a958327a</t>
        </is>
      </c>
      <c r="B1331" s="22" t="inlineStr">
        <is>
          <t>2026-10</t>
        </is>
      </c>
      <c r="C1331" s="22" t="inlineStr">
        <is>
          <t>Facebook</t>
        </is>
      </c>
      <c r="D1331" s="22" t="n">
        <v>1</v>
      </c>
      <c r="E1331" s="22" t="inlineStr">
        <is>
          <t>Facebook: Facebook search: INEC BVAS 2027</t>
        </is>
      </c>
      <c r="F1331" s="22" t="inlineStr">
        <is>
          <t>facebook:Facebook search: INEC BVAS 2027</t>
        </is>
      </c>
      <c r="G1331" s="22" t="n">
        <v>-0.8159999999999999</v>
      </c>
      <c r="H1331" s="22" t="n">
        <v>1</v>
      </c>
      <c r="I1331" s="22" t="n">
        <v>1</v>
      </c>
      <c r="J1331" s="22" t="n">
        <v>0</v>
      </c>
      <c r="K1331" s="22" t="n">
        <v>0</v>
      </c>
      <c r="L1331" s="22" t="n">
        <v>0</v>
      </c>
      <c r="M1331" s="22" t="n">
        <v>0</v>
      </c>
      <c r="N1331" s="22" t="n">
        <v>0</v>
      </c>
      <c r="O1331" s="22" t="n">
        <v>0</v>
      </c>
      <c r="P1331" s="22" t="n">
        <v>0</v>
      </c>
      <c r="Q1331" s="22" t="n">
        <v>0</v>
      </c>
      <c r="R1331" s="22" t="n">
        <v>0</v>
      </c>
      <c r="S1331" s="22" t="n">
        <v>0</v>
      </c>
      <c r="T1331" s="22" t="n">
        <v>0</v>
      </c>
      <c r="U1331" s="3">
        <f>IF(OR(N1331=1,Q1331=1),1,0)</f>
        <v/>
      </c>
      <c r="V1331" s="3">
        <f>IF(OR(T1331=1,P1331=1),1,0)</f>
        <v/>
      </c>
      <c r="W1331" s="3">
        <f>IF(OR(J1331=1),1,0)</f>
        <v/>
      </c>
      <c r="X1331" s="3">
        <f>IF(OR(I1331=1,H1331=1),1,0)</f>
        <v/>
      </c>
      <c r="Y1331" s="3">
        <f>IF(OR(G1331=1),1,0)</f>
        <v/>
      </c>
      <c r="Z1331" s="3">
        <f>IF(OR(F1331=1),1,0)</f>
        <v/>
      </c>
      <c r="AA1331" s="3">
        <f>IF(OR(M1331=1),1,0)</f>
        <v/>
      </c>
    </row>
    <row r="1332">
      <c r="A1332" s="22" t="inlineStr">
        <is>
          <t>3d9269e86b668e0e906b8f17cb5a7bff27a43656</t>
        </is>
      </c>
      <c r="B1332" s="22" t="inlineStr">
        <is>
          <t>2026-10</t>
        </is>
      </c>
      <c r="C1332" s="22" t="inlineStr">
        <is>
          <t>Facebook</t>
        </is>
      </c>
      <c r="D1332" s="22" t="n">
        <v>1</v>
      </c>
      <c r="E1332" s="22" t="inlineStr">
        <is>
          <t>Facebook: Facebook search: INEC BVAS 2027</t>
        </is>
      </c>
      <c r="F1332" s="22" t="inlineStr">
        <is>
          <t>facebook:Facebook search: INEC BVAS 2027</t>
        </is>
      </c>
      <c r="G1332" s="22" t="n">
        <v>-0.8129999999999999</v>
      </c>
      <c r="H1332" s="22" t="n">
        <v>1</v>
      </c>
      <c r="I1332" s="22" t="n">
        <v>0</v>
      </c>
      <c r="J1332" s="22" t="n">
        <v>0</v>
      </c>
      <c r="K1332" s="22" t="n">
        <v>0</v>
      </c>
      <c r="L1332" s="22" t="n">
        <v>0</v>
      </c>
      <c r="M1332" s="22" t="n">
        <v>0</v>
      </c>
      <c r="N1332" s="22" t="n">
        <v>0</v>
      </c>
      <c r="O1332" s="22" t="n">
        <v>0</v>
      </c>
      <c r="P1332" s="22" t="n">
        <v>0</v>
      </c>
      <c r="Q1332" s="22" t="n">
        <v>0</v>
      </c>
      <c r="R1332" s="22" t="n">
        <v>0</v>
      </c>
      <c r="S1332" s="22" t="n">
        <v>0</v>
      </c>
      <c r="T1332" s="22" t="n">
        <v>0</v>
      </c>
      <c r="U1332" s="3">
        <f>IF(OR(N1332=1,Q1332=1),1,0)</f>
        <v/>
      </c>
      <c r="V1332" s="3">
        <f>IF(OR(T1332=1,P1332=1),1,0)</f>
        <v/>
      </c>
      <c r="W1332" s="3">
        <f>IF(OR(J1332=1),1,0)</f>
        <v/>
      </c>
      <c r="X1332" s="3">
        <f>IF(OR(I1332=1,H1332=1),1,0)</f>
        <v/>
      </c>
      <c r="Y1332" s="3">
        <f>IF(OR(G1332=1),1,0)</f>
        <v/>
      </c>
      <c r="Z1332" s="3">
        <f>IF(OR(F1332=1),1,0)</f>
        <v/>
      </c>
      <c r="AA1332" s="3">
        <f>IF(OR(M1332=1),1,0)</f>
        <v/>
      </c>
    </row>
    <row r="1333">
      <c r="A1333" s="22" t="inlineStr">
        <is>
          <t>1de0b1cc278725be4b551927aabe157e6aed0356</t>
        </is>
      </c>
      <c r="B1333" s="22" t="inlineStr">
        <is>
          <t>2026-10</t>
        </is>
      </c>
      <c r="C1333" s="22" t="inlineStr">
        <is>
          <t>Facebook</t>
        </is>
      </c>
      <c r="D1333" s="22" t="n">
        <v>1</v>
      </c>
      <c r="E1333" s="22" t="inlineStr">
        <is>
          <t>Facebook: Facebook search: INEC BVAS 2027</t>
        </is>
      </c>
      <c r="F1333" s="22" t="inlineStr">
        <is>
          <t>facebook:Facebook search: INEC BVAS 2027</t>
        </is>
      </c>
      <c r="G1333" s="22" t="n">
        <v>-0.296</v>
      </c>
      <c r="H1333" s="22" t="n">
        <v>0</v>
      </c>
      <c r="I1333" s="22" t="n">
        <v>1</v>
      </c>
      <c r="J1333" s="22" t="n">
        <v>0</v>
      </c>
      <c r="K1333" s="22" t="n">
        <v>0</v>
      </c>
      <c r="L1333" s="22" t="n">
        <v>0</v>
      </c>
      <c r="M1333" s="22" t="n">
        <v>0</v>
      </c>
      <c r="N1333" s="22" t="n">
        <v>0</v>
      </c>
      <c r="O1333" s="22" t="n">
        <v>0</v>
      </c>
      <c r="P1333" s="22" t="n">
        <v>0</v>
      </c>
      <c r="Q1333" s="22" t="n">
        <v>0</v>
      </c>
      <c r="R1333" s="22" t="n">
        <v>0</v>
      </c>
      <c r="S1333" s="22" t="n">
        <v>0</v>
      </c>
      <c r="T1333" s="22" t="n">
        <v>0</v>
      </c>
      <c r="U1333" s="3">
        <f>IF(OR(N1333=1,Q1333=1),1,0)</f>
        <v/>
      </c>
      <c r="V1333" s="3">
        <f>IF(OR(T1333=1,P1333=1),1,0)</f>
        <v/>
      </c>
      <c r="W1333" s="3">
        <f>IF(OR(J1333=1),1,0)</f>
        <v/>
      </c>
      <c r="X1333" s="3">
        <f>IF(OR(I1333=1,H1333=1),1,0)</f>
        <v/>
      </c>
      <c r="Y1333" s="3">
        <f>IF(OR(G1333=1),1,0)</f>
        <v/>
      </c>
      <c r="Z1333" s="3">
        <f>IF(OR(F1333=1),1,0)</f>
        <v/>
      </c>
      <c r="AA1333" s="3">
        <f>IF(OR(M1333=1),1,0)</f>
        <v/>
      </c>
    </row>
    <row r="1334">
      <c r="A1334" s="22" t="inlineStr">
        <is>
          <t>0bda6508bda15f3410c18b92dbf84b76cca1b64b</t>
        </is>
      </c>
      <c r="B1334" s="22" t="inlineStr">
        <is>
          <t>2026-10</t>
        </is>
      </c>
      <c r="C1334" s="22" t="inlineStr">
        <is>
          <t>Facebook</t>
        </is>
      </c>
      <c r="D1334" s="22" t="n">
        <v>1</v>
      </c>
      <c r="E1334" s="22" t="inlineStr">
        <is>
          <t>Facebook: Facebook search: INEC BVAS 2027</t>
        </is>
      </c>
      <c r="F1334" s="22" t="inlineStr">
        <is>
          <t>facebook:Facebook search: INEC BVAS 2027</t>
        </is>
      </c>
      <c r="G1334" s="22" t="n">
        <v>-0.619</v>
      </c>
      <c r="H1334" s="22" t="n">
        <v>0</v>
      </c>
      <c r="I1334" s="22" t="n">
        <v>1</v>
      </c>
      <c r="J1334" s="22" t="n">
        <v>0</v>
      </c>
      <c r="K1334" s="22" t="n">
        <v>0</v>
      </c>
      <c r="L1334" s="22" t="n">
        <v>0</v>
      </c>
      <c r="M1334" s="22" t="n">
        <v>0</v>
      </c>
      <c r="N1334" s="22" t="n">
        <v>0</v>
      </c>
      <c r="O1334" s="22" t="n">
        <v>0</v>
      </c>
      <c r="P1334" s="22" t="n">
        <v>0</v>
      </c>
      <c r="Q1334" s="22" t="n">
        <v>0</v>
      </c>
      <c r="R1334" s="22" t="n">
        <v>0</v>
      </c>
      <c r="S1334" s="22" t="n">
        <v>0</v>
      </c>
      <c r="T1334" s="22" t="n">
        <v>0</v>
      </c>
      <c r="U1334" s="3">
        <f>IF(OR(N1334=1,Q1334=1),1,0)</f>
        <v/>
      </c>
      <c r="V1334" s="3">
        <f>IF(OR(T1334=1,P1334=1),1,0)</f>
        <v/>
      </c>
      <c r="W1334" s="3">
        <f>IF(OR(J1334=1),1,0)</f>
        <v/>
      </c>
      <c r="X1334" s="3">
        <f>IF(OR(I1334=1,H1334=1),1,0)</f>
        <v/>
      </c>
      <c r="Y1334" s="3">
        <f>IF(OR(G1334=1),1,0)</f>
        <v/>
      </c>
      <c r="Z1334" s="3">
        <f>IF(OR(F1334=1),1,0)</f>
        <v/>
      </c>
      <c r="AA1334" s="3">
        <f>IF(OR(M1334=1),1,0)</f>
        <v/>
      </c>
    </row>
    <row r="1335">
      <c r="A1335" s="22" t="inlineStr">
        <is>
          <t>e15bc01adc3d363431ec49b84c2910d63aff7a24</t>
        </is>
      </c>
      <c r="B1335" s="22" t="inlineStr">
        <is>
          <t>2026-10</t>
        </is>
      </c>
      <c r="C1335" s="22" t="inlineStr">
        <is>
          <t>Facebook</t>
        </is>
      </c>
      <c r="D1335" s="22" t="n">
        <v>1</v>
      </c>
      <c r="E1335" s="22" t="inlineStr">
        <is>
          <t>Facebook: Facebook search: INEC BVAS 2027</t>
        </is>
      </c>
      <c r="F1335" s="22" t="inlineStr">
        <is>
          <t>facebook:Facebook search: INEC BVAS 2027</t>
        </is>
      </c>
      <c r="G1335" s="22" t="n">
        <v>0.626</v>
      </c>
      <c r="H1335" s="22" t="n">
        <v>0</v>
      </c>
      <c r="I1335" s="22" t="n">
        <v>1</v>
      </c>
      <c r="J1335" s="22" t="n">
        <v>0</v>
      </c>
      <c r="K1335" s="22" t="n">
        <v>0</v>
      </c>
      <c r="L1335" s="22" t="n">
        <v>0</v>
      </c>
      <c r="M1335" s="22" t="n">
        <v>0</v>
      </c>
      <c r="N1335" s="22" t="n">
        <v>0</v>
      </c>
      <c r="O1335" s="22" t="n">
        <v>0</v>
      </c>
      <c r="P1335" s="22" t="n">
        <v>0</v>
      </c>
      <c r="Q1335" s="22" t="n">
        <v>0</v>
      </c>
      <c r="R1335" s="22" t="n">
        <v>0</v>
      </c>
      <c r="S1335" s="22" t="n">
        <v>0</v>
      </c>
      <c r="T1335" s="22" t="n">
        <v>0</v>
      </c>
      <c r="U1335" s="3">
        <f>IF(OR(N1335=1,Q1335=1),1,0)</f>
        <v/>
      </c>
      <c r="V1335" s="3">
        <f>IF(OR(T1335=1,P1335=1),1,0)</f>
        <v/>
      </c>
      <c r="W1335" s="3">
        <f>IF(OR(J1335=1),1,0)</f>
        <v/>
      </c>
      <c r="X1335" s="3">
        <f>IF(OR(I1335=1,H1335=1),1,0)</f>
        <v/>
      </c>
      <c r="Y1335" s="3">
        <f>IF(OR(G1335=1),1,0)</f>
        <v/>
      </c>
      <c r="Z1335" s="3">
        <f>IF(OR(F1335=1),1,0)</f>
        <v/>
      </c>
      <c r="AA1335" s="3">
        <f>IF(OR(M1335=1),1,0)</f>
        <v/>
      </c>
    </row>
    <row r="1336">
      <c r="A1336" s="22" t="inlineStr">
        <is>
          <t>38cd931b1d74d38ff86eb901d782a2fc11e4a297</t>
        </is>
      </c>
      <c r="B1336" s="22" t="inlineStr">
        <is>
          <t>2026-10</t>
        </is>
      </c>
      <c r="C1336" s="22" t="inlineStr">
        <is>
          <t>Facebook</t>
        </is>
      </c>
      <c r="D1336" s="22" t="n">
        <v>1</v>
      </c>
      <c r="E1336" s="22" t="inlineStr">
        <is>
          <t>Facebook: Facebook search: INEC BVAS 2027</t>
        </is>
      </c>
      <c r="F1336" s="22" t="inlineStr">
        <is>
          <t>facebook:Facebook search: INEC BVAS 2027</t>
        </is>
      </c>
      <c r="G1336" s="22" t="n">
        <v>-0.586</v>
      </c>
      <c r="H1336" s="22" t="n">
        <v>1</v>
      </c>
      <c r="I1336" s="22" t="n">
        <v>0</v>
      </c>
      <c r="J1336" s="22" t="n">
        <v>0</v>
      </c>
      <c r="K1336" s="22" t="n">
        <v>0</v>
      </c>
      <c r="L1336" s="22" t="n">
        <v>0</v>
      </c>
      <c r="M1336" s="22" t="n">
        <v>0</v>
      </c>
      <c r="N1336" s="22" t="n">
        <v>0</v>
      </c>
      <c r="O1336" s="22" t="n">
        <v>0</v>
      </c>
      <c r="P1336" s="22" t="n">
        <v>0</v>
      </c>
      <c r="Q1336" s="22" t="n">
        <v>0</v>
      </c>
      <c r="R1336" s="22" t="n">
        <v>0</v>
      </c>
      <c r="S1336" s="22" t="n">
        <v>0</v>
      </c>
      <c r="T1336" s="22" t="n">
        <v>0</v>
      </c>
      <c r="U1336" s="3">
        <f>IF(OR(N1336=1,Q1336=1),1,0)</f>
        <v/>
      </c>
      <c r="V1336" s="3">
        <f>IF(OR(T1336=1,P1336=1),1,0)</f>
        <v/>
      </c>
      <c r="W1336" s="3">
        <f>IF(OR(J1336=1),1,0)</f>
        <v/>
      </c>
      <c r="X1336" s="3">
        <f>IF(OR(I1336=1,H1336=1),1,0)</f>
        <v/>
      </c>
      <c r="Y1336" s="3">
        <f>IF(OR(G1336=1),1,0)</f>
        <v/>
      </c>
      <c r="Z1336" s="3">
        <f>IF(OR(F1336=1),1,0)</f>
        <v/>
      </c>
      <c r="AA1336" s="3">
        <f>IF(OR(M1336=1),1,0)</f>
        <v/>
      </c>
    </row>
    <row r="1337">
      <c r="A1337" s="22" t="inlineStr">
        <is>
          <t>62b5d89d5bfee72497be8d2587205b712c4ba19b</t>
        </is>
      </c>
      <c r="B1337" s="22" t="inlineStr">
        <is>
          <t>2026-10</t>
        </is>
      </c>
      <c r="C1337" s="22" t="inlineStr">
        <is>
          <t>Facebook</t>
        </is>
      </c>
      <c r="D1337" s="22" t="n">
        <v>1</v>
      </c>
      <c r="E1337" s="22" t="inlineStr">
        <is>
          <t>Facebook: Facebook search: INEC BVAS 2027</t>
        </is>
      </c>
      <c r="F1337" s="22" t="inlineStr">
        <is>
          <t>facebook:Facebook search: INEC BVAS 2027</t>
        </is>
      </c>
      <c r="G1337" s="22" t="n">
        <v>-0.802</v>
      </c>
      <c r="H1337" s="22" t="n">
        <v>1</v>
      </c>
      <c r="I1337" s="22" t="n">
        <v>0</v>
      </c>
      <c r="J1337" s="22" t="n">
        <v>0</v>
      </c>
      <c r="K1337" s="22" t="n">
        <v>0</v>
      </c>
      <c r="L1337" s="22" t="n">
        <v>0</v>
      </c>
      <c r="M1337" s="22" t="n">
        <v>1</v>
      </c>
      <c r="N1337" s="22" t="n">
        <v>0</v>
      </c>
      <c r="O1337" s="22" t="n">
        <v>0</v>
      </c>
      <c r="P1337" s="22" t="n">
        <v>0</v>
      </c>
      <c r="Q1337" s="22" t="n">
        <v>0</v>
      </c>
      <c r="R1337" s="22" t="n">
        <v>0</v>
      </c>
      <c r="S1337" s="22" t="n">
        <v>0</v>
      </c>
      <c r="T1337" s="22" t="n">
        <v>0</v>
      </c>
      <c r="U1337" s="3">
        <f>IF(OR(N1337=1,Q1337=1),1,0)</f>
        <v/>
      </c>
      <c r="V1337" s="3">
        <f>IF(OR(T1337=1,P1337=1),1,0)</f>
        <v/>
      </c>
      <c r="W1337" s="3">
        <f>IF(OR(J1337=1),1,0)</f>
        <v/>
      </c>
      <c r="X1337" s="3">
        <f>IF(OR(I1337=1,H1337=1),1,0)</f>
        <v/>
      </c>
      <c r="Y1337" s="3">
        <f>IF(OR(G1337=1),1,0)</f>
        <v/>
      </c>
      <c r="Z1337" s="3">
        <f>IF(OR(F1337=1),1,0)</f>
        <v/>
      </c>
      <c r="AA1337" s="3">
        <f>IF(OR(M1337=1),1,0)</f>
        <v/>
      </c>
    </row>
    <row r="1338">
      <c r="A1338" s="22" t="inlineStr">
        <is>
          <t>e1996239c88d8649312c6faa4d1749593fe31241</t>
        </is>
      </c>
      <c r="B1338" s="22" t="inlineStr">
        <is>
          <t>2026-10</t>
        </is>
      </c>
      <c r="C1338" s="22" t="inlineStr">
        <is>
          <t>Facebook</t>
        </is>
      </c>
      <c r="D1338" s="22" t="n">
        <v>1</v>
      </c>
      <c r="E1338" s="22" t="inlineStr">
        <is>
          <t>Facebook: Facebook search: INEC BVAS 2027</t>
        </is>
      </c>
      <c r="F1338" s="22" t="inlineStr">
        <is>
          <t>facebook:Facebook search: INEC BVAS 2027</t>
        </is>
      </c>
      <c r="G1338" s="22" t="n">
        <v>0.402</v>
      </c>
      <c r="H1338" s="22" t="n">
        <v>0</v>
      </c>
      <c r="I1338" s="22" t="n">
        <v>1</v>
      </c>
      <c r="J1338" s="22" t="n">
        <v>0</v>
      </c>
      <c r="K1338" s="22" t="n">
        <v>0</v>
      </c>
      <c r="L1338" s="22" t="n">
        <v>0</v>
      </c>
      <c r="M1338" s="22" t="n">
        <v>0</v>
      </c>
      <c r="N1338" s="22" t="n">
        <v>0</v>
      </c>
      <c r="O1338" s="22" t="n">
        <v>0</v>
      </c>
      <c r="P1338" s="22" t="n">
        <v>0</v>
      </c>
      <c r="Q1338" s="22" t="n">
        <v>0</v>
      </c>
      <c r="R1338" s="22" t="n">
        <v>0</v>
      </c>
      <c r="S1338" s="22" t="n">
        <v>0</v>
      </c>
      <c r="T1338" s="22" t="n">
        <v>0</v>
      </c>
      <c r="U1338" s="3">
        <f>IF(OR(N1338=1,Q1338=1),1,0)</f>
        <v/>
      </c>
      <c r="V1338" s="3">
        <f>IF(OR(T1338=1,P1338=1),1,0)</f>
        <v/>
      </c>
      <c r="W1338" s="3">
        <f>IF(OR(J1338=1),1,0)</f>
        <v/>
      </c>
      <c r="X1338" s="3">
        <f>IF(OR(I1338=1,H1338=1),1,0)</f>
        <v/>
      </c>
      <c r="Y1338" s="3">
        <f>IF(OR(G1338=1),1,0)</f>
        <v/>
      </c>
      <c r="Z1338" s="3">
        <f>IF(OR(F1338=1),1,0)</f>
        <v/>
      </c>
      <c r="AA1338" s="3">
        <f>IF(OR(M1338=1),1,0)</f>
        <v/>
      </c>
    </row>
    <row r="1339">
      <c r="A1339" s="22" t="inlineStr">
        <is>
          <t>42f18b92347cb09d5f1f8dede5965427dbdfb4d8</t>
        </is>
      </c>
      <c r="B1339" s="22" t="inlineStr">
        <is>
          <t>2026-10</t>
        </is>
      </c>
      <c r="C1339" s="22" t="inlineStr">
        <is>
          <t>Facebook</t>
        </is>
      </c>
      <c r="D1339" s="22" t="n">
        <v>1</v>
      </c>
      <c r="E1339" s="22" t="inlineStr">
        <is>
          <t>Facebook: Facebook search: INEC BVAS 2027</t>
        </is>
      </c>
      <c r="F1339" s="22" t="inlineStr">
        <is>
          <t>facebook:Facebook search: INEC BVAS 2027</t>
        </is>
      </c>
      <c r="G1339" s="22" t="n">
        <v>0</v>
      </c>
      <c r="H1339" s="22" t="n">
        <v>0</v>
      </c>
      <c r="I1339" s="22" t="n">
        <v>1</v>
      </c>
      <c r="J1339" s="22" t="n">
        <v>0</v>
      </c>
      <c r="K1339" s="22" t="n">
        <v>0</v>
      </c>
      <c r="L1339" s="22" t="n">
        <v>0</v>
      </c>
      <c r="M1339" s="22" t="n">
        <v>0</v>
      </c>
      <c r="N1339" s="22" t="n">
        <v>0</v>
      </c>
      <c r="O1339" s="22" t="n">
        <v>0</v>
      </c>
      <c r="P1339" s="22" t="n">
        <v>0</v>
      </c>
      <c r="Q1339" s="22" t="n">
        <v>0</v>
      </c>
      <c r="R1339" s="22" t="n">
        <v>0</v>
      </c>
      <c r="S1339" s="22" t="n">
        <v>0</v>
      </c>
      <c r="T1339" s="22" t="n">
        <v>0</v>
      </c>
      <c r="U1339" s="3">
        <f>IF(OR(N1339=1,Q1339=1),1,0)</f>
        <v/>
      </c>
      <c r="V1339" s="3">
        <f>IF(OR(T1339=1,P1339=1),1,0)</f>
        <v/>
      </c>
      <c r="W1339" s="3">
        <f>IF(OR(J1339=1),1,0)</f>
        <v/>
      </c>
      <c r="X1339" s="3">
        <f>IF(OR(I1339=1,H1339=1),1,0)</f>
        <v/>
      </c>
      <c r="Y1339" s="3">
        <f>IF(OR(G1339=1),1,0)</f>
        <v/>
      </c>
      <c r="Z1339" s="3">
        <f>IF(OR(F1339=1),1,0)</f>
        <v/>
      </c>
      <c r="AA1339" s="3">
        <f>IF(OR(M1339=1),1,0)</f>
        <v/>
      </c>
    </row>
    <row r="1340">
      <c r="A1340" s="22" t="inlineStr">
        <is>
          <t>7a1c073fd64154027624d4c1c22466c137f70ad3</t>
        </is>
      </c>
      <c r="B1340" s="22" t="inlineStr">
        <is>
          <t>2026-10</t>
        </is>
      </c>
      <c r="C1340" s="22" t="inlineStr">
        <is>
          <t>Facebook</t>
        </is>
      </c>
      <c r="D1340" s="22" t="n">
        <v>1</v>
      </c>
      <c r="E1340" s="22" t="inlineStr">
        <is>
          <t>Facebook: Facebook search: INEC BVAS 2027</t>
        </is>
      </c>
      <c r="F1340" s="22" t="inlineStr">
        <is>
          <t>facebook:Facebook search: INEC BVAS 2027</t>
        </is>
      </c>
      <c r="G1340" s="22" t="n">
        <v>-0.477</v>
      </c>
      <c r="H1340" s="22" t="n">
        <v>1</v>
      </c>
      <c r="I1340" s="22" t="n">
        <v>1</v>
      </c>
      <c r="J1340" s="22" t="n">
        <v>0</v>
      </c>
      <c r="K1340" s="22" t="n">
        <v>0</v>
      </c>
      <c r="L1340" s="22" t="n">
        <v>0</v>
      </c>
      <c r="M1340" s="22" t="n">
        <v>0</v>
      </c>
      <c r="N1340" s="22" t="n">
        <v>0</v>
      </c>
      <c r="O1340" s="22" t="n">
        <v>0</v>
      </c>
      <c r="P1340" s="22" t="n">
        <v>0</v>
      </c>
      <c r="Q1340" s="22" t="n">
        <v>0</v>
      </c>
      <c r="R1340" s="22" t="n">
        <v>0</v>
      </c>
      <c r="S1340" s="22" t="n">
        <v>0</v>
      </c>
      <c r="T1340" s="22" t="n">
        <v>0</v>
      </c>
      <c r="U1340" s="3">
        <f>IF(OR(N1340=1,Q1340=1),1,0)</f>
        <v/>
      </c>
      <c r="V1340" s="3">
        <f>IF(OR(T1340=1,P1340=1),1,0)</f>
        <v/>
      </c>
      <c r="W1340" s="3">
        <f>IF(OR(J1340=1),1,0)</f>
        <v/>
      </c>
      <c r="X1340" s="3">
        <f>IF(OR(I1340=1,H1340=1),1,0)</f>
        <v/>
      </c>
      <c r="Y1340" s="3">
        <f>IF(OR(G1340=1),1,0)</f>
        <v/>
      </c>
      <c r="Z1340" s="3">
        <f>IF(OR(F1340=1),1,0)</f>
        <v/>
      </c>
      <c r="AA1340" s="3">
        <f>IF(OR(M1340=1),1,0)</f>
        <v/>
      </c>
    </row>
    <row r="1341">
      <c r="A1341" s="22" t="inlineStr">
        <is>
          <t>adc9d14e806fa176d1b53e93b2a284f33fef9401</t>
        </is>
      </c>
      <c r="B1341" s="22" t="inlineStr">
        <is>
          <t>2026-10</t>
        </is>
      </c>
      <c r="C1341" s="22" t="inlineStr">
        <is>
          <t>Facebook</t>
        </is>
      </c>
      <c r="D1341" s="22" t="n">
        <v>1</v>
      </c>
      <c r="E1341" s="22" t="inlineStr">
        <is>
          <t>Facebook: Facebook search: INEC BVAS 2027</t>
        </is>
      </c>
      <c r="F1341" s="22" t="inlineStr">
        <is>
          <t>facebook:Facebook search: INEC BVAS 2027</t>
        </is>
      </c>
      <c r="G1341" s="22" t="n">
        <v>-0.885</v>
      </c>
      <c r="H1341" s="22" t="n">
        <v>1</v>
      </c>
      <c r="I1341" s="22" t="n">
        <v>1</v>
      </c>
      <c r="J1341" s="22" t="n">
        <v>0</v>
      </c>
      <c r="K1341" s="22" t="n">
        <v>0</v>
      </c>
      <c r="L1341" s="22" t="n">
        <v>0</v>
      </c>
      <c r="M1341" s="22" t="n">
        <v>0</v>
      </c>
      <c r="N1341" s="22" t="n">
        <v>0</v>
      </c>
      <c r="O1341" s="22" t="n">
        <v>0</v>
      </c>
      <c r="P1341" s="22" t="n">
        <v>0</v>
      </c>
      <c r="Q1341" s="22" t="n">
        <v>0</v>
      </c>
      <c r="R1341" s="22" t="n">
        <v>0</v>
      </c>
      <c r="S1341" s="22" t="n">
        <v>0</v>
      </c>
      <c r="T1341" s="22" t="n">
        <v>0</v>
      </c>
      <c r="U1341" s="3">
        <f>IF(OR(N1341=1,Q1341=1),1,0)</f>
        <v/>
      </c>
      <c r="V1341" s="3">
        <f>IF(OR(T1341=1,P1341=1),1,0)</f>
        <v/>
      </c>
      <c r="W1341" s="3">
        <f>IF(OR(J1341=1),1,0)</f>
        <v/>
      </c>
      <c r="X1341" s="3">
        <f>IF(OR(I1341=1,H1341=1),1,0)</f>
        <v/>
      </c>
      <c r="Y1341" s="3">
        <f>IF(OR(G1341=1),1,0)</f>
        <v/>
      </c>
      <c r="Z1341" s="3">
        <f>IF(OR(F1341=1),1,0)</f>
        <v/>
      </c>
      <c r="AA1341" s="3">
        <f>IF(OR(M1341=1),1,0)</f>
        <v/>
      </c>
    </row>
    <row r="1342">
      <c r="A1342" s="22" t="inlineStr">
        <is>
          <t>48163d71804195293d24edbd68e420a0e24cbd06</t>
        </is>
      </c>
      <c r="B1342" s="22" t="inlineStr">
        <is>
          <t>2026-10</t>
        </is>
      </c>
      <c r="C1342" s="22" t="inlineStr">
        <is>
          <t>Facebook</t>
        </is>
      </c>
      <c r="D1342" s="22" t="n">
        <v>1</v>
      </c>
      <c r="E1342" s="22" t="inlineStr">
        <is>
          <t>Facebook: Facebook search: INEC BVAS 2027</t>
        </is>
      </c>
      <c r="F1342" s="22" t="inlineStr">
        <is>
          <t>facebook:Facebook search: INEC BVAS 2027</t>
        </is>
      </c>
      <c r="G1342" s="22" t="n">
        <v>-0.909</v>
      </c>
      <c r="H1342" s="22" t="n">
        <v>1</v>
      </c>
      <c r="I1342" s="22" t="n">
        <v>1</v>
      </c>
      <c r="J1342" s="22" t="n">
        <v>0</v>
      </c>
      <c r="K1342" s="22" t="n">
        <v>0</v>
      </c>
      <c r="L1342" s="22" t="n">
        <v>0</v>
      </c>
      <c r="M1342" s="22" t="n">
        <v>0</v>
      </c>
      <c r="N1342" s="22" t="n">
        <v>0</v>
      </c>
      <c r="O1342" s="22" t="n">
        <v>0</v>
      </c>
      <c r="P1342" s="22" t="n">
        <v>0</v>
      </c>
      <c r="Q1342" s="22" t="n">
        <v>0</v>
      </c>
      <c r="R1342" s="22" t="n">
        <v>0</v>
      </c>
      <c r="S1342" s="22" t="n">
        <v>0</v>
      </c>
      <c r="T1342" s="22" t="n">
        <v>0</v>
      </c>
      <c r="U1342" s="3">
        <f>IF(OR(N1342=1,Q1342=1),1,0)</f>
        <v/>
      </c>
      <c r="V1342" s="3">
        <f>IF(OR(T1342=1,P1342=1),1,0)</f>
        <v/>
      </c>
      <c r="W1342" s="3">
        <f>IF(OR(J1342=1),1,0)</f>
        <v/>
      </c>
      <c r="X1342" s="3">
        <f>IF(OR(I1342=1,H1342=1),1,0)</f>
        <v/>
      </c>
      <c r="Y1342" s="3">
        <f>IF(OR(G1342=1),1,0)</f>
        <v/>
      </c>
      <c r="Z1342" s="3">
        <f>IF(OR(F1342=1),1,0)</f>
        <v/>
      </c>
      <c r="AA1342" s="3">
        <f>IF(OR(M1342=1),1,0)</f>
        <v/>
      </c>
    </row>
    <row r="1343">
      <c r="A1343" s="22" t="inlineStr">
        <is>
          <t>d0fd110870e7196c6e4f3dea37e9315657dbf8df</t>
        </is>
      </c>
      <c r="B1343" s="22" t="inlineStr">
        <is>
          <t>2026-10</t>
        </is>
      </c>
      <c r="C1343" s="22" t="inlineStr">
        <is>
          <t>Facebook</t>
        </is>
      </c>
      <c r="D1343" s="22" t="n">
        <v>1</v>
      </c>
      <c r="E1343" s="22" t="inlineStr">
        <is>
          <t>Facebook: Facebook search: INEC BVAS 2027</t>
        </is>
      </c>
      <c r="F1343" s="22" t="inlineStr">
        <is>
          <t>facebook:Facebook search: INEC BVAS 2027</t>
        </is>
      </c>
      <c r="G1343" s="22" t="n">
        <v>-0.402</v>
      </c>
      <c r="H1343" s="22" t="n">
        <v>0</v>
      </c>
      <c r="I1343" s="22" t="n">
        <v>0</v>
      </c>
      <c r="J1343" s="22" t="n">
        <v>0</v>
      </c>
      <c r="K1343" s="22" t="n">
        <v>0</v>
      </c>
      <c r="L1343" s="22" t="n">
        <v>0</v>
      </c>
      <c r="M1343" s="22" t="n">
        <v>1</v>
      </c>
      <c r="N1343" s="22" t="n">
        <v>0</v>
      </c>
      <c r="O1343" s="22" t="n">
        <v>0</v>
      </c>
      <c r="P1343" s="22" t="n">
        <v>0</v>
      </c>
      <c r="Q1343" s="22" t="n">
        <v>0</v>
      </c>
      <c r="R1343" s="22" t="n">
        <v>0</v>
      </c>
      <c r="S1343" s="22" t="n">
        <v>0</v>
      </c>
      <c r="T1343" s="22" t="n">
        <v>0</v>
      </c>
      <c r="U1343" s="3">
        <f>IF(OR(N1343=1,Q1343=1),1,0)</f>
        <v/>
      </c>
      <c r="V1343" s="3">
        <f>IF(OR(T1343=1,P1343=1),1,0)</f>
        <v/>
      </c>
      <c r="W1343" s="3">
        <f>IF(OR(J1343=1),1,0)</f>
        <v/>
      </c>
      <c r="X1343" s="3">
        <f>IF(OR(I1343=1,H1343=1),1,0)</f>
        <v/>
      </c>
      <c r="Y1343" s="3">
        <f>IF(OR(G1343=1),1,0)</f>
        <v/>
      </c>
      <c r="Z1343" s="3">
        <f>IF(OR(F1343=1),1,0)</f>
        <v/>
      </c>
      <c r="AA1343" s="3">
        <f>IF(OR(M1343=1),1,0)</f>
        <v/>
      </c>
    </row>
    <row r="1344">
      <c r="A1344" s="22" t="inlineStr">
        <is>
          <t>2d3abd5c3d4667f2b6782a2f95fe35d1ef42fc8b</t>
        </is>
      </c>
      <c r="B1344" s="22" t="inlineStr">
        <is>
          <t>2026-09</t>
        </is>
      </c>
      <c r="C1344" s="22" t="inlineStr">
        <is>
          <t>Facebook</t>
        </is>
      </c>
      <c r="D1344" s="22" t="n">
        <v>1</v>
      </c>
      <c r="E1344" s="22" t="inlineStr">
        <is>
          <t>Facebook: Facebook search: INEC BVAS 2027</t>
        </is>
      </c>
      <c r="F1344" s="22" t="inlineStr">
        <is>
          <t>facebook:Facebook search: INEC BVAS 2027</t>
        </is>
      </c>
      <c r="G1344" s="22" t="n">
        <v>0.226</v>
      </c>
      <c r="H1344" s="22" t="n">
        <v>0</v>
      </c>
      <c r="I1344" s="22" t="n">
        <v>1</v>
      </c>
      <c r="J1344" s="22" t="n">
        <v>0</v>
      </c>
      <c r="K1344" s="22" t="n">
        <v>0</v>
      </c>
      <c r="L1344" s="22" t="n">
        <v>0</v>
      </c>
      <c r="M1344" s="22" t="n">
        <v>0</v>
      </c>
      <c r="N1344" s="22" t="n">
        <v>0</v>
      </c>
      <c r="O1344" s="22" t="n">
        <v>0</v>
      </c>
      <c r="P1344" s="22" t="n">
        <v>0</v>
      </c>
      <c r="Q1344" s="22" t="n">
        <v>0</v>
      </c>
      <c r="R1344" s="22" t="n">
        <v>0</v>
      </c>
      <c r="S1344" s="22" t="n">
        <v>0</v>
      </c>
      <c r="T1344" s="22" t="n">
        <v>0</v>
      </c>
      <c r="U1344" s="3">
        <f>IF(OR(N1344=1,Q1344=1),1,0)</f>
        <v/>
      </c>
      <c r="V1344" s="3">
        <f>IF(OR(T1344=1,P1344=1),1,0)</f>
        <v/>
      </c>
      <c r="W1344" s="3">
        <f>IF(OR(J1344=1),1,0)</f>
        <v/>
      </c>
      <c r="X1344" s="3">
        <f>IF(OR(I1344=1,H1344=1),1,0)</f>
        <v/>
      </c>
      <c r="Y1344" s="3">
        <f>IF(OR(G1344=1),1,0)</f>
        <v/>
      </c>
      <c r="Z1344" s="3">
        <f>IF(OR(F1344=1),1,0)</f>
        <v/>
      </c>
      <c r="AA1344" s="3">
        <f>IF(OR(M1344=1),1,0)</f>
        <v/>
      </c>
    </row>
    <row r="1345">
      <c r="A1345" s="22" t="inlineStr">
        <is>
          <t>6b3820bab7852c0c8700c409450a82510993ac2f</t>
        </is>
      </c>
      <c r="B1345" s="22" t="inlineStr">
        <is>
          <t>2026-09</t>
        </is>
      </c>
      <c r="C1345" s="22" t="inlineStr">
        <is>
          <t>Facebook</t>
        </is>
      </c>
      <c r="D1345" s="22" t="n">
        <v>1</v>
      </c>
      <c r="E1345" s="22" t="inlineStr">
        <is>
          <t>Facebook: Facebook search: INEC BVAS 2027</t>
        </is>
      </c>
      <c r="F1345" s="22" t="inlineStr">
        <is>
          <t>facebook:Facebook search: INEC BVAS 2027</t>
        </is>
      </c>
      <c r="G1345" s="22" t="n">
        <v>0</v>
      </c>
      <c r="H1345" s="22" t="n">
        <v>0</v>
      </c>
      <c r="I1345" s="22" t="n">
        <v>0</v>
      </c>
      <c r="J1345" s="22" t="n">
        <v>0</v>
      </c>
      <c r="K1345" s="22" t="n">
        <v>0</v>
      </c>
      <c r="L1345" s="22" t="n">
        <v>1</v>
      </c>
      <c r="M1345" s="22" t="n">
        <v>0</v>
      </c>
      <c r="N1345" s="22" t="n">
        <v>0</v>
      </c>
      <c r="O1345" s="22" t="n">
        <v>0</v>
      </c>
      <c r="P1345" s="22" t="n">
        <v>0</v>
      </c>
      <c r="Q1345" s="22" t="n">
        <v>0</v>
      </c>
      <c r="R1345" s="22" t="n">
        <v>0</v>
      </c>
      <c r="S1345" s="22" t="n">
        <v>0</v>
      </c>
      <c r="T1345" s="22" t="n">
        <v>0</v>
      </c>
      <c r="U1345" s="3">
        <f>IF(OR(N1345=1,Q1345=1),1,0)</f>
        <v/>
      </c>
      <c r="V1345" s="3">
        <f>IF(OR(T1345=1,P1345=1),1,0)</f>
        <v/>
      </c>
      <c r="W1345" s="3">
        <f>IF(OR(J1345=1),1,0)</f>
        <v/>
      </c>
      <c r="X1345" s="3">
        <f>IF(OR(I1345=1,H1345=1),1,0)</f>
        <v/>
      </c>
      <c r="Y1345" s="3">
        <f>IF(OR(G1345=1),1,0)</f>
        <v/>
      </c>
      <c r="Z1345" s="3">
        <f>IF(OR(F1345=1),1,0)</f>
        <v/>
      </c>
      <c r="AA1345" s="3">
        <f>IF(OR(M1345=1),1,0)</f>
        <v/>
      </c>
    </row>
    <row r="1346">
      <c r="A1346" s="22" t="inlineStr">
        <is>
          <t>d5110ac0cf132c28318bd71b942984b531ef08f6</t>
        </is>
      </c>
      <c r="B1346" s="22" t="inlineStr">
        <is>
          <t>2026-09</t>
        </is>
      </c>
      <c r="C1346" s="22" t="inlineStr">
        <is>
          <t>Facebook</t>
        </is>
      </c>
      <c r="D1346" s="22" t="n">
        <v>1</v>
      </c>
      <c r="E1346" s="22" t="inlineStr">
        <is>
          <t>Facebook: Facebook search: INEC BVAS 2027</t>
        </is>
      </c>
      <c r="F1346" s="22" t="inlineStr">
        <is>
          <t>facebook:Facebook search: INEC BVAS 2027</t>
        </is>
      </c>
      <c r="G1346" s="22" t="n">
        <v>0.273</v>
      </c>
      <c r="H1346" s="22" t="n">
        <v>1</v>
      </c>
      <c r="I1346" s="22" t="n">
        <v>0</v>
      </c>
      <c r="J1346" s="22" t="n">
        <v>0</v>
      </c>
      <c r="K1346" s="22" t="n">
        <v>0</v>
      </c>
      <c r="L1346" s="22" t="n">
        <v>0</v>
      </c>
      <c r="M1346" s="22" t="n">
        <v>0</v>
      </c>
      <c r="N1346" s="22" t="n">
        <v>0</v>
      </c>
      <c r="O1346" s="22" t="n">
        <v>0</v>
      </c>
      <c r="P1346" s="22" t="n">
        <v>0</v>
      </c>
      <c r="Q1346" s="22" t="n">
        <v>0</v>
      </c>
      <c r="R1346" s="22" t="n">
        <v>0</v>
      </c>
      <c r="S1346" s="22" t="n">
        <v>0</v>
      </c>
      <c r="T1346" s="22" t="n">
        <v>0</v>
      </c>
      <c r="U1346" s="3">
        <f>IF(OR(N1346=1,Q1346=1),1,0)</f>
        <v/>
      </c>
      <c r="V1346" s="3">
        <f>IF(OR(T1346=1,P1346=1),1,0)</f>
        <v/>
      </c>
      <c r="W1346" s="3">
        <f>IF(OR(J1346=1),1,0)</f>
        <v/>
      </c>
      <c r="X1346" s="3">
        <f>IF(OR(I1346=1,H1346=1),1,0)</f>
        <v/>
      </c>
      <c r="Y1346" s="3">
        <f>IF(OR(G1346=1),1,0)</f>
        <v/>
      </c>
      <c r="Z1346" s="3">
        <f>IF(OR(F1346=1),1,0)</f>
        <v/>
      </c>
      <c r="AA1346" s="3">
        <f>IF(OR(M1346=1),1,0)</f>
        <v/>
      </c>
    </row>
    <row r="1347">
      <c r="A1347" s="22" t="inlineStr">
        <is>
          <t>0b64b90ffe4f7c01bd10debfb8ebfca6618d74a8</t>
        </is>
      </c>
      <c r="B1347" s="22" t="inlineStr">
        <is>
          <t>2026-09</t>
        </is>
      </c>
      <c r="C1347" s="22" t="inlineStr">
        <is>
          <t>Facebook</t>
        </is>
      </c>
      <c r="D1347" s="22" t="n">
        <v>1</v>
      </c>
      <c r="E1347" s="22" t="inlineStr">
        <is>
          <t>Facebook: Facebook search: INEC BVAS 2027</t>
        </is>
      </c>
      <c r="F1347" s="22" t="inlineStr">
        <is>
          <t>facebook:Facebook search: INEC BVAS 2027</t>
        </is>
      </c>
      <c r="G1347" s="22" t="n">
        <v>-0.296</v>
      </c>
      <c r="H1347" s="22" t="n">
        <v>1</v>
      </c>
      <c r="I1347" s="22" t="n">
        <v>0</v>
      </c>
      <c r="J1347" s="22" t="n">
        <v>0</v>
      </c>
      <c r="K1347" s="22" t="n">
        <v>0</v>
      </c>
      <c r="L1347" s="22" t="n">
        <v>0</v>
      </c>
      <c r="M1347" s="22" t="n">
        <v>0</v>
      </c>
      <c r="N1347" s="22" t="n">
        <v>0</v>
      </c>
      <c r="O1347" s="22" t="n">
        <v>0</v>
      </c>
      <c r="P1347" s="22" t="n">
        <v>0</v>
      </c>
      <c r="Q1347" s="22" t="n">
        <v>0</v>
      </c>
      <c r="R1347" s="22" t="n">
        <v>0</v>
      </c>
      <c r="S1347" s="22" t="n">
        <v>0</v>
      </c>
      <c r="T1347" s="22" t="n">
        <v>0</v>
      </c>
      <c r="U1347" s="3">
        <f>IF(OR(N1347=1,Q1347=1),1,0)</f>
        <v/>
      </c>
      <c r="V1347" s="3">
        <f>IF(OR(T1347=1,P1347=1),1,0)</f>
        <v/>
      </c>
      <c r="W1347" s="3">
        <f>IF(OR(J1347=1),1,0)</f>
        <v/>
      </c>
      <c r="X1347" s="3">
        <f>IF(OR(I1347=1,H1347=1),1,0)</f>
        <v/>
      </c>
      <c r="Y1347" s="3">
        <f>IF(OR(G1347=1),1,0)</f>
        <v/>
      </c>
      <c r="Z1347" s="3">
        <f>IF(OR(F1347=1),1,0)</f>
        <v/>
      </c>
      <c r="AA1347" s="3">
        <f>IF(OR(M1347=1),1,0)</f>
        <v/>
      </c>
    </row>
  </sheetData>
  <pageMargins left="0.75" right="0.75" top="1" bottom="1" header="0.5" footer="0.5"/>
</worksheet>
</file>

<file path=xl/worksheets/sheet3.xml><?xml version="1.0" encoding="utf-8"?>
<worksheet xmlns="http://schemas.openxmlformats.org/spreadsheetml/2006/main">
  <sheetPr>
    <tabColor rgb="001E2A47"/>
    <outlinePr summaryBelow="1" summaryRight="1"/>
    <pageSetUpPr/>
  </sheetPr>
  <dimension ref="A1:G20"/>
  <sheetViews>
    <sheetView showGridLines="0" workbookViewId="0">
      <selection activeCell="A1" sqref="A1"/>
    </sheetView>
  </sheetViews>
  <sheetFormatPr baseColWidth="8" defaultRowHeight="15"/>
  <cols>
    <col width="38" customWidth="1" min="1" max="1"/>
    <col width="30" customWidth="1" min="2" max="2"/>
    <col width="11" customWidth="1" min="3" max="3"/>
    <col width="11" customWidth="1" min="4" max="4"/>
    <col width="15" customWidth="1" min="5" max="5"/>
    <col width="15" customWidth="1" min="6" max="6"/>
    <col width="14" customWidth="1" min="7" max="7"/>
  </cols>
  <sheetData>
    <row r="1">
      <c r="A1" s="20" t="inlineStr">
        <is>
          <t>Rigging at collation is the fear people raise everywhere</t>
        </is>
      </c>
    </row>
    <row r="2">
      <c r="A2" s="21" t="inlineStr">
        <is>
          <t>Share of fear comments naming each theme, against the 2023 results week on X. Formulas count the Fears data sheet.</t>
        </is>
      </c>
    </row>
    <row r="4" ht="30" customHeight="1">
      <c r="A4" s="8" t="inlineStr">
        <is>
          <t>Theme</t>
        </is>
      </c>
      <c r="B4" s="8" t="inlineStr">
        <is>
          <t>INEC step</t>
        </is>
      </c>
      <c r="C4" s="8" t="inlineStr">
        <is>
          <t>Comments</t>
        </is>
      </c>
      <c r="D4" s="8" t="inlineStr">
        <is>
          <t>Share now</t>
        </is>
      </c>
      <c r="E4" s="8" t="inlineStr">
        <is>
          <t>Videos with theme</t>
        </is>
      </c>
      <c r="F4" s="8" t="inlineStr">
        <is>
          <t>2023 share (X)</t>
        </is>
      </c>
      <c r="G4" s="8" t="inlineStr">
        <is>
          <t>Change (points)</t>
        </is>
      </c>
    </row>
    <row r="5">
      <c r="A5" s="10" t="inlineStr">
        <is>
          <t>Results will be rigged</t>
        </is>
      </c>
      <c r="B5" s="23" t="inlineStr">
        <is>
          <t>6 Collation and declaration</t>
        </is>
      </c>
      <c r="C5" s="24">
        <f>COUNTIF('Fears data'!$F$5:$F$1347,1)</f>
        <v/>
      </c>
      <c r="D5" s="25">
        <f>C5/COUNTA('Fears data'!$A$5:$A$1347)</f>
        <v/>
      </c>
      <c r="E5" s="11" t="n">
        <v>42</v>
      </c>
      <c r="F5" s="26" t="n">
        <v>0.2629</v>
      </c>
      <c r="G5" s="27">
        <f>(D5-F5)*100</f>
        <v/>
      </c>
    </row>
    <row r="6">
      <c r="A6" s="10" t="inlineStr">
        <is>
          <t>INEC is not neutral or able</t>
        </is>
      </c>
      <c r="B6" s="23" t="inlineStr">
        <is>
          <t>0 INEC as an institution</t>
        </is>
      </c>
      <c r="C6" s="24">
        <f>COUNTIF('Fears data'!$K$5:$K$1347,1)</f>
        <v/>
      </c>
      <c r="D6" s="25">
        <f>C6/COUNTA('Fears data'!$A$5:$A$1347)</f>
        <v/>
      </c>
      <c r="E6" s="11" t="n">
        <v>35</v>
      </c>
      <c r="F6" s="28" t="inlineStr">
        <is>
          <t>n/a</t>
        </is>
      </c>
      <c r="G6" s="28" t="inlineStr">
        <is>
          <t>n/a</t>
        </is>
      </c>
    </row>
    <row r="7">
      <c r="A7" s="10" t="inlineStr">
        <is>
          <t>Results will not be uploaded</t>
        </is>
      </c>
      <c r="B7" s="23" t="inlineStr">
        <is>
          <t>5 Result upload (IReV)</t>
        </is>
      </c>
      <c r="C7" s="24">
        <f>COUNTIF('Fears data'!$G$5:$G$1347,1)</f>
        <v/>
      </c>
      <c r="D7" s="25">
        <f>C7/COUNTA('Fears data'!$A$5:$A$1347)</f>
        <v/>
      </c>
      <c r="E7" s="11" t="n">
        <v>27</v>
      </c>
      <c r="F7" s="26" t="n">
        <v>0.2105</v>
      </c>
      <c r="G7" s="27">
        <f>(D7-F7)*100</f>
        <v/>
      </c>
    </row>
    <row r="8">
      <c r="A8" s="10" t="inlineStr">
        <is>
          <t>The courts will decide, not voters</t>
        </is>
      </c>
      <c r="B8" s="23" t="inlineStr">
        <is>
          <t>7 Petitions and tribunals</t>
        </is>
      </c>
      <c r="C8" s="24">
        <f>COUNTIF('Fears data'!$M$5:$M$1347,1)</f>
        <v/>
      </c>
      <c r="D8" s="25">
        <f>C8/COUNTA('Fears data'!$A$5:$A$1347)</f>
        <v/>
      </c>
      <c r="E8" s="11" t="n">
        <v>28</v>
      </c>
      <c r="F8" s="26" t="n">
        <v>0.1325</v>
      </c>
      <c r="G8" s="27">
        <f>(D8-F8)*100</f>
        <v/>
      </c>
    </row>
    <row r="9">
      <c r="A9" s="10" t="inlineStr">
        <is>
          <t>I cannot register or get my PVC</t>
        </is>
      </c>
      <c r="B9" s="23" t="inlineStr">
        <is>
          <t>1 Registration and PVC</t>
        </is>
      </c>
      <c r="C9" s="24">
        <f>COUNTIF('Fears data'!$N$5:$N$1347,1)</f>
        <v/>
      </c>
      <c r="D9" s="25">
        <f>C9/COUNTA('Fears data'!$A$5:$A$1347)</f>
        <v/>
      </c>
      <c r="E9" s="11" t="n">
        <v>24</v>
      </c>
      <c r="F9" s="26" t="n">
        <v>0.0306</v>
      </c>
      <c r="G9" s="27">
        <f>(D9-F9)*100</f>
        <v/>
      </c>
    </row>
    <row r="10">
      <c r="A10" s="10" t="inlineStr">
        <is>
          <t>Votes will be bought</t>
        </is>
      </c>
      <c r="B10" s="23" t="inlineStr">
        <is>
          <t>3 Voting at the polling unit</t>
        </is>
      </c>
      <c r="C10" s="24">
        <f>COUNTIF('Fears data'!$J$5:$J$1347,1)</f>
        <v/>
      </c>
      <c r="D10" s="25">
        <f>C10/COUNTA('Fears data'!$A$5:$A$1347)</f>
        <v/>
      </c>
      <c r="E10" s="11" t="n">
        <v>15</v>
      </c>
      <c r="F10" s="26" t="n">
        <v>0.0051</v>
      </c>
      <c r="G10" s="27">
        <f>(D10-F10)*100</f>
        <v/>
      </c>
    </row>
    <row r="11">
      <c r="A11" s="10" t="inlineStr">
        <is>
          <t>Tribe and religion will divide the vote</t>
        </is>
      </c>
      <c r="B11" s="23" t="inlineStr">
        <is>
          <t>Outside INEC</t>
        </is>
      </c>
      <c r="C11" s="24">
        <f>COUNTIF('Fears data'!$S$5:$S$1347,1)</f>
        <v/>
      </c>
      <c r="D11" s="25">
        <f>C11/COUNTA('Fears data'!$A$5:$A$1347)</f>
        <v/>
      </c>
      <c r="E11" s="11" t="n">
        <v>11</v>
      </c>
      <c r="F11" s="26" t="n">
        <v>0.053</v>
      </c>
      <c r="G11" s="27">
        <f>(D11-F11)*100</f>
        <v/>
      </c>
    </row>
    <row r="12">
      <c r="A12" s="10" t="inlineStr">
        <is>
          <t>Thugs will intimidate voters</t>
        </is>
      </c>
      <c r="B12" s="23" t="inlineStr">
        <is>
          <t>4 Voting day security</t>
        </is>
      </c>
      <c r="C12" s="24">
        <f>COUNTIF('Fears data'!$I$5:$I$1347,1)</f>
        <v/>
      </c>
      <c r="D12" s="25">
        <f>C12/COUNTA('Fears data'!$A$5:$A$1347)</f>
        <v/>
      </c>
      <c r="E12" s="11" t="n">
        <v>19</v>
      </c>
      <c r="F12" s="26" t="n">
        <v>0.0301</v>
      </c>
      <c r="G12" s="27">
        <f>(D12-F12)*100</f>
        <v/>
      </c>
    </row>
    <row r="13">
      <c r="A13" s="10" t="inlineStr">
        <is>
          <t>Courts will decide who can run</t>
        </is>
      </c>
      <c r="B13" s="23" t="inlineStr">
        <is>
          <t>2 Parties and candidates</t>
        </is>
      </c>
      <c r="C13" s="24">
        <f>COUNTIF('Fears data'!$T$5:$T$1347,1)</f>
        <v/>
      </c>
      <c r="D13" s="25">
        <f>C13/COUNTA('Fears data'!$A$5:$A$1347)</f>
        <v/>
      </c>
      <c r="E13" s="11" t="n">
        <v>2</v>
      </c>
      <c r="F13" s="26" t="n">
        <v>0</v>
      </c>
      <c r="G13" s="27">
        <f>(D13-F13)*100</f>
        <v/>
      </c>
    </row>
    <row r="14">
      <c r="A14" s="10" t="inlineStr">
        <is>
          <t>My vote will not count</t>
        </is>
      </c>
      <c r="B14" s="23" t="inlineStr">
        <is>
          <t>Turnout</t>
        </is>
      </c>
      <c r="C14" s="24">
        <f>COUNTIF('Fears data'!$L$5:$L$1347,1)</f>
        <v/>
      </c>
      <c r="D14" s="25">
        <f>C14/COUNTA('Fears data'!$A$5:$A$1347)</f>
        <v/>
      </c>
      <c r="E14" s="11" t="n">
        <v>11</v>
      </c>
      <c r="F14" s="26" t="n">
        <v>0.0049</v>
      </c>
      <c r="G14" s="27">
        <f>(D14-F14)*100</f>
        <v/>
      </c>
    </row>
    <row r="15">
      <c r="A15" s="10" t="inlineStr">
        <is>
          <t>Hardship makes votes cheap</t>
        </is>
      </c>
      <c r="B15" s="23" t="inlineStr">
        <is>
          <t>Outside INEC</t>
        </is>
      </c>
      <c r="C15" s="24">
        <f>COUNTIF('Fears data'!$R$5:$R$1347,1)</f>
        <v/>
      </c>
      <c r="D15" s="25">
        <f>C15/COUNTA('Fears data'!$A$5:$A$1347)</f>
        <v/>
      </c>
      <c r="E15" s="11" t="n">
        <v>6</v>
      </c>
      <c r="F15" s="26" t="n">
        <v>0.0071</v>
      </c>
      <c r="G15" s="27">
        <f>(D15-F15)*100</f>
        <v/>
      </c>
    </row>
    <row r="16">
      <c r="A16" s="10" t="inlineStr">
        <is>
          <t>One party will dominate</t>
        </is>
      </c>
      <c r="B16" s="23" t="inlineStr">
        <is>
          <t>2 Parties and candidates</t>
        </is>
      </c>
      <c r="C16" s="24">
        <f>COUNTIF('Fears data'!$P$5:$P$1347,1)</f>
        <v/>
      </c>
      <c r="D16" s="25">
        <f>C16/COUNTA('Fears data'!$A$5:$A$1347)</f>
        <v/>
      </c>
      <c r="E16" s="11" t="n">
        <v>8</v>
      </c>
      <c r="F16" s="26" t="n">
        <v>0.0018</v>
      </c>
      <c r="G16" s="27">
        <f>(D16-F16)*100</f>
        <v/>
      </c>
    </row>
    <row r="17">
      <c r="A17" s="10" t="inlineStr">
        <is>
          <t>Fake news will mislead voters</t>
        </is>
      </c>
      <c r="B17" s="23" t="inlineStr">
        <is>
          <t>Information</t>
        </is>
      </c>
      <c r="C17" s="24">
        <f>COUNTIF('Fears data'!$O$5:$O$1347,1)</f>
        <v/>
      </c>
      <c r="D17" s="25">
        <f>C17/COUNTA('Fears data'!$A$5:$A$1347)</f>
        <v/>
      </c>
      <c r="E17" s="11" t="n">
        <v>5</v>
      </c>
      <c r="F17" s="26" t="n">
        <v>0.0078</v>
      </c>
      <c r="G17" s="27">
        <f>(D17-F17)*100</f>
        <v/>
      </c>
    </row>
    <row r="18">
      <c r="A18" s="10" t="inlineStr">
        <is>
          <t>Violence will stop people voting</t>
        </is>
      </c>
      <c r="B18" s="23" t="inlineStr">
        <is>
          <t>4 Voting day security</t>
        </is>
      </c>
      <c r="C18" s="24">
        <f>COUNTIF('Fears data'!$H$5:$H$1347,1)</f>
        <v/>
      </c>
      <c r="D18" s="25">
        <f>C18/COUNTA('Fears data'!$A$5:$A$1347)</f>
        <v/>
      </c>
      <c r="E18" s="11" t="n">
        <v>8</v>
      </c>
      <c r="F18" s="26" t="n">
        <v>0.0131</v>
      </c>
      <c r="G18" s="27">
        <f>(D18-F18)*100</f>
        <v/>
      </c>
    </row>
    <row r="19">
      <c r="A19" s="10" t="inlineStr">
        <is>
          <t>Nigerians abroad cannot vote</t>
        </is>
      </c>
      <c r="B19" s="23" t="inlineStr">
        <is>
          <t>1 Registration and PVC</t>
        </is>
      </c>
      <c r="C19" s="24">
        <f>COUNTIF('Fears data'!$Q$5:$Q$1347,1)</f>
        <v/>
      </c>
      <c r="D19" s="25">
        <f>C19/COUNTA('Fears data'!$A$5:$A$1347)</f>
        <v/>
      </c>
      <c r="E19" s="11" t="n">
        <v>0</v>
      </c>
      <c r="F19" s="26" t="n">
        <v>0.0089</v>
      </c>
      <c r="G19" s="27">
        <f>(D19-F19)*100</f>
        <v/>
      </c>
    </row>
    <row r="20">
      <c r="A20" s="17" t="inlineStr">
        <is>
          <t>Blue cells are inputs from the 2023 baseline (10,000 posts on X, 26 Feb to 14 Mar 2023, Kaggle). "Videos with theme" was counted in Python from the same rows. INEC distrust has no 2023 figure because those posts were collected by searching for INEC.</t>
        </is>
      </c>
    </row>
  </sheetData>
  <conditionalFormatting sqref="D5:D19">
    <cfRule type="dataBar" priority="1">
      <dataBar>
        <cfvo type="num" val="0"/>
        <cfvo type="max"/>
        <color rgb="00E1B13B"/>
      </dataBar>
    </cfRule>
  </conditionalFormatting>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1E2A47"/>
    <outlinePr summaryBelow="1" summaryRight="1"/>
    <pageSetUpPr/>
  </sheetPr>
  <dimension ref="A1:E11"/>
  <sheetViews>
    <sheetView showGridLines="0" workbookViewId="0">
      <selection activeCell="A1" sqref="A1"/>
    </sheetView>
  </sheetViews>
  <sheetFormatPr baseColWidth="8" defaultRowHeight="15"/>
  <cols>
    <col width="7" customWidth="1" min="1" max="1"/>
    <col width="28" customWidth="1" min="2" max="2"/>
    <col width="13" customWidth="1" min="3" max="3"/>
    <col width="40" customWidth="1" min="4" max="4"/>
    <col width="70" customWidth="1" min="5" max="5"/>
  </cols>
  <sheetData>
    <row r="1">
      <c r="A1" s="20" t="inlineStr">
        <is>
          <t>INEC process steps</t>
        </is>
      </c>
    </row>
    <row r="2">
      <c r="A2" s="21" t="inlineStr">
        <is>
          <t>What fails at each step and the evidence. Sources: INEC, Yiaga Africa, EU EOM 2023, Dataphyte, press reports (see Sources).</t>
        </is>
      </c>
    </row>
    <row r="4" ht="30" customHeight="1">
      <c r="A4" s="8" t="inlineStr">
        <is>
          <t>Order</t>
        </is>
      </c>
      <c r="B4" s="8" t="inlineStr">
        <is>
          <t>Step</t>
        </is>
      </c>
      <c r="C4" s="8" t="inlineStr">
        <is>
          <t>Short name</t>
        </is>
      </c>
      <c r="D4" s="8" t="inlineStr">
        <is>
          <t>What fails</t>
        </is>
      </c>
      <c r="E4" s="8" t="inlineStr">
        <is>
          <t>Evidence</t>
        </is>
      </c>
    </row>
    <row r="5" ht="44" customHeight="1">
      <c r="A5" s="13" t="n">
        <v>1</v>
      </c>
      <c r="B5" s="13" t="inlineStr">
        <is>
          <t>1 Registration and PVC</t>
        </is>
      </c>
      <c r="C5" s="13" t="inlineStr">
        <is>
          <t>Register</t>
        </is>
      </c>
      <c r="D5" s="13" t="inlineStr">
        <is>
          <t>Permanent voter cards (PVCs) go uncollected and the register is never audited</t>
        </is>
      </c>
      <c r="E5" s="13" t="inlineStr">
        <is>
          <t>6,259,229 voter cards uncollected in 2023; 18.5% uncollected in Osun 2026 (INEC)</t>
        </is>
      </c>
    </row>
    <row r="6" ht="44" customHeight="1">
      <c r="A6" s="13" t="n">
        <v>2</v>
      </c>
      <c r="B6" s="13" t="inlineStr">
        <is>
          <t>2 Parties and candidates</t>
        </is>
      </c>
      <c r="C6" s="13" t="inlineStr">
        <is>
          <t>Nominate</t>
        </is>
      </c>
      <c r="D6" s="13" t="inlineStr">
        <is>
          <t>Party crises and pre-election cases are settled by courts and INEC recognition</t>
        </is>
      </c>
      <c r="E6" s="13" t="inlineStr">
        <is>
          <t>As of March 2026, one party held 31 of 36 governorships; two main opposition parties in court disputes (2026)</t>
        </is>
      </c>
    </row>
    <row r="7" ht="44" customHeight="1">
      <c r="A7" s="13" t="n">
        <v>3</v>
      </c>
      <c r="B7" s="13" t="inlineStr">
        <is>
          <t>3 Voting at the polling unit</t>
        </is>
      </c>
      <c r="C7" s="13" t="inlineStr">
        <is>
          <t>Vote</t>
        </is>
      </c>
      <c r="D7" s="13" t="inlineStr">
        <is>
          <t>Units open late and votes are bought</t>
        </is>
      </c>
      <c r="E7" s="13" t="inlineStr">
        <is>
          <t>Officials at 27% of units by 7:30 a.m. in 2023 (Yiaga); N1,000 to N50,000 per vote in 2024 to 2026 state polls</t>
        </is>
      </c>
    </row>
    <row r="8" ht="44" customHeight="1">
      <c r="A8" s="13" t="n">
        <v>4</v>
      </c>
      <c r="B8" s="13" t="inlineStr">
        <is>
          <t>4 Voting day security</t>
        </is>
      </c>
      <c r="C8" s="13" t="inlineStr">
        <is>
          <t>Stay safe</t>
        </is>
      </c>
      <c r="D8" s="13" t="inlineStr">
        <is>
          <t>Violence and thugs keep voters away</t>
        </is>
      </c>
      <c r="E8" s="13" t="inlineStr">
        <is>
          <t>61% say violence could stop them voting, 78% in the North-East (Yiaga, Sep 2026)</t>
        </is>
      </c>
    </row>
    <row r="9" ht="44" customHeight="1">
      <c r="A9" s="13" t="n">
        <v>5</v>
      </c>
      <c r="B9" s="13" t="inlineStr">
        <is>
          <t>5 Result upload (IReV)</t>
        </is>
      </c>
      <c r="C9" s="13" t="inlineStr">
        <is>
          <t>Upload</t>
        </is>
      </c>
      <c r="D9" s="13" t="inlineStr">
        <is>
          <t>Polling unit result sheets reach IReV, INEC’s public results website, late, unreadable or not at all</t>
        </is>
      </c>
      <c r="E9" s="13" t="inlineStr">
        <is>
          <t>2023: 20% of presidential sheets online by noon the next day; 14.1% of units never usable online (CCIJ)</t>
        </is>
      </c>
    </row>
    <row r="10" ht="44" customHeight="1">
      <c r="A10" s="13" t="n">
        <v>6</v>
      </c>
      <c r="B10" s="13" t="inlineStr">
        <is>
          <t>6 Collation and declaration</t>
        </is>
      </c>
      <c r="C10" s="13" t="inlineStr">
        <is>
          <t>Collate</t>
        </is>
      </c>
      <c r="D10" s="13" t="inlineStr">
        <is>
          <t>Totals change while unit results are added up at ward, local government and state centres</t>
        </is>
      </c>
      <c r="E10" s="13" t="inlineStr">
        <is>
          <t>Edo 2024: Yiaga found results altered at collation in three LGAs, with more than one party involved; Ekiti 2026: over 100 unit result sheets on IReV visibly altered (Dataphyte)</t>
        </is>
      </c>
    </row>
    <row r="11" ht="44" customHeight="1">
      <c r="A11" s="13" t="n">
        <v>7</v>
      </c>
      <c r="B11" s="13" t="inlineStr">
        <is>
          <t>7 Petitions and tribunals</t>
        </is>
      </c>
      <c r="C11" s="13" t="inlineStr">
        <is>
          <t>Go to court</t>
        </is>
      </c>
      <c r="D11" s="13" t="inlineStr">
        <is>
          <t>Courts settle outcomes, and a failed upload alone does not void a result</t>
        </is>
      </c>
      <c r="E11" s="13" t="inlineStr">
        <is>
          <t>1,196 petitions after 2023; Supreme Court (Oct 2023): IReV is a viewing portal, not a collation centre, and a failure to upload does not by itself void an election</t>
        </is>
      </c>
    </row>
  </sheetData>
  <pageMargins left="0.75" right="0.75" top="1" bottom="1" header="0.5" footer="0.5"/>
</worksheet>
</file>

<file path=xl/worksheets/sheet5.xml><?xml version="1.0" encoding="utf-8"?>
<worksheet xmlns="http://schemas.openxmlformats.org/spreadsheetml/2006/main">
  <sheetPr>
    <tabColor rgb="00D7322B"/>
    <outlinePr summaryBelow="1" summaryRight="1"/>
    <pageSetUpPr/>
  </sheetPr>
  <dimension ref="A1:H4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14" customWidth="1" min="3" max="3"/>
    <col width="12" customWidth="1" min="4" max="4"/>
    <col width="15" customWidth="1" min="5" max="5"/>
    <col width="13" customWidth="1" min="6" max="6"/>
    <col width="13" customWidth="1" min="7" max="7"/>
    <col width="16" customWidth="1" min="8" max="8"/>
  </cols>
  <sheetData>
    <row r="1">
      <c r="A1" s="20" t="inlineStr">
        <is>
          <t>In 2023, one polling unit in seven had no usable result online</t>
        </is>
      </c>
    </row>
    <row r="2">
      <c r="A2" s="21" t="inlineStr">
        <is>
          <t>Presidential result sheets on IReV by state. Source: Center for Collaborative Investigative Journalism audit of all polling units (GitHub).</t>
        </is>
      </c>
    </row>
    <row r="4" ht="30" customHeight="1">
      <c r="A4" s="8" t="inlineStr">
        <is>
          <t>State</t>
        </is>
      </c>
      <c r="B4" s="8" t="inlineStr">
        <is>
          <t>Polling units</t>
        </is>
      </c>
      <c r="C4" s="8" t="inlineStr">
        <is>
          <t>Never uploaded</t>
        </is>
      </c>
      <c r="D4" s="8" t="inlineStr">
        <is>
          <t>Unreadable</t>
        </is>
      </c>
      <c r="E4" s="8" t="inlineStr">
        <is>
          <t>Wrong document</t>
        </is>
      </c>
      <c r="F4" s="8" t="inlineStr">
        <is>
          <t>Problem units</t>
        </is>
      </c>
      <c r="G4" s="8" t="inlineStr">
        <is>
          <t>Problem share</t>
        </is>
      </c>
      <c r="H4" s="8" t="inlineStr">
        <is>
          <t>Missing signature or stamp</t>
        </is>
      </c>
    </row>
    <row r="5">
      <c r="A5" s="10" t="inlineStr">
        <is>
          <t>Abia</t>
        </is>
      </c>
      <c r="B5" s="29" t="n">
        <v>4062</v>
      </c>
      <c r="C5" s="29" t="n">
        <v>426</v>
      </c>
      <c r="D5" s="29" t="n">
        <v>554</v>
      </c>
      <c r="E5" s="29" t="n">
        <v>117</v>
      </c>
      <c r="F5" s="24">
        <f>SUM(C5:E5)</f>
        <v/>
      </c>
      <c r="G5" s="30">
        <f>F5/B5</f>
        <v/>
      </c>
      <c r="H5" s="29" t="n">
        <v>384</v>
      </c>
    </row>
    <row r="6">
      <c r="A6" s="10" t="inlineStr">
        <is>
          <t>Adamawa</t>
        </is>
      </c>
      <c r="B6" s="29" t="n">
        <v>4104</v>
      </c>
      <c r="C6" s="29" t="n">
        <v>32</v>
      </c>
      <c r="D6" s="29" t="n">
        <v>169</v>
      </c>
      <c r="E6" s="29" t="n">
        <v>93</v>
      </c>
      <c r="F6" s="24">
        <f>SUM(C6:E6)</f>
        <v/>
      </c>
      <c r="G6" s="30">
        <f>F6/B6</f>
        <v/>
      </c>
      <c r="H6" s="29" t="n">
        <v>526</v>
      </c>
    </row>
    <row r="7">
      <c r="A7" s="10" t="inlineStr">
        <is>
          <t>Akwa Ibom</t>
        </is>
      </c>
      <c r="B7" s="29" t="n">
        <v>4353</v>
      </c>
      <c r="C7" s="29" t="n">
        <v>122</v>
      </c>
      <c r="D7" s="29" t="n">
        <v>35</v>
      </c>
      <c r="E7" s="29" t="n">
        <v>15</v>
      </c>
      <c r="F7" s="24">
        <f>SUM(C7:E7)</f>
        <v/>
      </c>
      <c r="G7" s="30">
        <f>F7/B7</f>
        <v/>
      </c>
      <c r="H7" s="29" t="n">
        <v>313</v>
      </c>
    </row>
    <row r="8">
      <c r="A8" s="10" t="inlineStr">
        <is>
          <t>Anambra</t>
        </is>
      </c>
      <c r="B8" s="29" t="n">
        <v>5720</v>
      </c>
      <c r="C8" s="29" t="n">
        <v>944</v>
      </c>
      <c r="D8" s="29" t="n">
        <v>364</v>
      </c>
      <c r="E8" s="29" t="n">
        <v>137</v>
      </c>
      <c r="F8" s="24">
        <f>SUM(C8:E8)</f>
        <v/>
      </c>
      <c r="G8" s="30">
        <f>F8/B8</f>
        <v/>
      </c>
      <c r="H8" s="29" t="n">
        <v>524</v>
      </c>
    </row>
    <row r="9">
      <c r="A9" s="10" t="inlineStr">
        <is>
          <t>Bauchi</t>
        </is>
      </c>
      <c r="B9" s="29" t="n">
        <v>5423</v>
      </c>
      <c r="C9" s="29" t="n">
        <v>10</v>
      </c>
      <c r="D9" s="29" t="n">
        <v>141</v>
      </c>
      <c r="E9" s="29" t="n">
        <v>190</v>
      </c>
      <c r="F9" s="24">
        <f>SUM(C9:E9)</f>
        <v/>
      </c>
      <c r="G9" s="30">
        <f>F9/B9</f>
        <v/>
      </c>
      <c r="H9" s="29" t="n">
        <v>737</v>
      </c>
    </row>
    <row r="10">
      <c r="A10" s="10" t="inlineStr">
        <is>
          <t>Bayelsa</t>
        </is>
      </c>
      <c r="B10" s="29" t="n">
        <v>2244</v>
      </c>
      <c r="C10" s="29" t="n">
        <v>78</v>
      </c>
      <c r="D10" s="29" t="n">
        <v>44</v>
      </c>
      <c r="E10" s="29" t="n">
        <v>29</v>
      </c>
      <c r="F10" s="24">
        <f>SUM(C10:E10)</f>
        <v/>
      </c>
      <c r="G10" s="30">
        <f>F10/B10</f>
        <v/>
      </c>
      <c r="H10" s="29" t="n">
        <v>214</v>
      </c>
    </row>
    <row r="11">
      <c r="A11" s="10" t="inlineStr">
        <is>
          <t>Benue</t>
        </is>
      </c>
      <c r="B11" s="29" t="n">
        <v>5102</v>
      </c>
      <c r="C11" s="29" t="n">
        <v>264</v>
      </c>
      <c r="D11" s="29" t="n">
        <v>317</v>
      </c>
      <c r="E11" s="29" t="n">
        <v>75</v>
      </c>
      <c r="F11" s="24">
        <f>SUM(C11:E11)</f>
        <v/>
      </c>
      <c r="G11" s="30">
        <f>F11/B11</f>
        <v/>
      </c>
      <c r="H11" s="29" t="n">
        <v>735</v>
      </c>
    </row>
    <row r="12">
      <c r="A12" s="10" t="inlineStr">
        <is>
          <t>Borno</t>
        </is>
      </c>
      <c r="B12" s="29" t="n">
        <v>5071</v>
      </c>
      <c r="C12" s="29" t="n">
        <v>33</v>
      </c>
      <c r="D12" s="29" t="n">
        <v>422</v>
      </c>
      <c r="E12" s="29" t="n">
        <v>71</v>
      </c>
      <c r="F12" s="24">
        <f>SUM(C12:E12)</f>
        <v/>
      </c>
      <c r="G12" s="30">
        <f>F12/B12</f>
        <v/>
      </c>
      <c r="H12" s="29" t="n">
        <v>768</v>
      </c>
    </row>
    <row r="13">
      <c r="A13" s="10" t="inlineStr">
        <is>
          <t>Cross River</t>
        </is>
      </c>
      <c r="B13" s="29" t="n">
        <v>3281</v>
      </c>
      <c r="C13" s="29" t="n">
        <v>1</v>
      </c>
      <c r="D13" s="29" t="n">
        <v>137</v>
      </c>
      <c r="E13" s="29" t="n">
        <v>34</v>
      </c>
      <c r="F13" s="24">
        <f>SUM(C13:E13)</f>
        <v/>
      </c>
      <c r="G13" s="30">
        <f>F13/B13</f>
        <v/>
      </c>
      <c r="H13" s="29" t="n">
        <v>407</v>
      </c>
    </row>
    <row r="14">
      <c r="A14" s="10" t="inlineStr">
        <is>
          <t>Delta</t>
        </is>
      </c>
      <c r="B14" s="29" t="n">
        <v>5863</v>
      </c>
      <c r="C14" s="29" t="n">
        <v>189</v>
      </c>
      <c r="D14" s="29" t="n">
        <v>761</v>
      </c>
      <c r="E14" s="29" t="n">
        <v>82</v>
      </c>
      <c r="F14" s="24">
        <f>SUM(C14:E14)</f>
        <v/>
      </c>
      <c r="G14" s="30">
        <f>F14/B14</f>
        <v/>
      </c>
      <c r="H14" s="29" t="n">
        <v>551</v>
      </c>
    </row>
    <row r="15">
      <c r="A15" s="10" t="inlineStr">
        <is>
          <t>Ebonyi</t>
        </is>
      </c>
      <c r="B15" s="29" t="n">
        <v>2946</v>
      </c>
      <c r="C15" s="29" t="n">
        <v>24</v>
      </c>
      <c r="D15" s="29" t="n">
        <v>71</v>
      </c>
      <c r="E15" s="29" t="n">
        <v>59</v>
      </c>
      <c r="F15" s="24">
        <f>SUM(C15:E15)</f>
        <v/>
      </c>
      <c r="G15" s="30">
        <f>F15/B15</f>
        <v/>
      </c>
      <c r="H15" s="29" t="n">
        <v>406</v>
      </c>
    </row>
    <row r="16">
      <c r="A16" s="10" t="inlineStr">
        <is>
          <t>Edo</t>
        </is>
      </c>
      <c r="B16" s="29" t="n">
        <v>4519</v>
      </c>
      <c r="C16" s="29" t="n">
        <v>9</v>
      </c>
      <c r="D16" s="29" t="n">
        <v>92</v>
      </c>
      <c r="E16" s="29" t="n">
        <v>127</v>
      </c>
      <c r="F16" s="24">
        <f>SUM(C16:E16)</f>
        <v/>
      </c>
      <c r="G16" s="30">
        <f>F16/B16</f>
        <v/>
      </c>
      <c r="H16" s="29" t="n">
        <v>513</v>
      </c>
    </row>
    <row r="17">
      <c r="A17" s="10" t="inlineStr">
        <is>
          <t>Ekiti</t>
        </is>
      </c>
      <c r="B17" s="29" t="n">
        <v>2445</v>
      </c>
      <c r="C17" s="29" t="n">
        <v>0</v>
      </c>
      <c r="D17" s="29" t="n">
        <v>55</v>
      </c>
      <c r="E17" s="29" t="n">
        <v>43</v>
      </c>
      <c r="F17" s="24">
        <f>SUM(C17:E17)</f>
        <v/>
      </c>
      <c r="G17" s="30">
        <f>F17/B17</f>
        <v/>
      </c>
      <c r="H17" s="29" t="n">
        <v>400</v>
      </c>
    </row>
    <row r="18">
      <c r="A18" s="10" t="inlineStr">
        <is>
          <t>Enugu</t>
        </is>
      </c>
      <c r="B18" s="29" t="n">
        <v>4145</v>
      </c>
      <c r="C18" s="29" t="n">
        <v>1</v>
      </c>
      <c r="D18" s="29" t="n">
        <v>95</v>
      </c>
      <c r="E18" s="29" t="n">
        <v>44</v>
      </c>
      <c r="F18" s="24">
        <f>SUM(C18:E18)</f>
        <v/>
      </c>
      <c r="G18" s="30">
        <f>F18/B18</f>
        <v/>
      </c>
      <c r="H18" s="29" t="n">
        <v>366</v>
      </c>
    </row>
    <row r="19">
      <c r="A19" s="10" t="inlineStr">
        <is>
          <t>FCT</t>
        </is>
      </c>
      <c r="B19" s="29" t="n">
        <v>2822</v>
      </c>
      <c r="C19" s="29" t="n">
        <v>54</v>
      </c>
      <c r="D19" s="29" t="n">
        <v>85</v>
      </c>
      <c r="E19" s="29" t="n">
        <v>38</v>
      </c>
      <c r="F19" s="24">
        <f>SUM(C19:E19)</f>
        <v/>
      </c>
      <c r="G19" s="30">
        <f>F19/B19</f>
        <v/>
      </c>
      <c r="H19" s="29" t="n">
        <v>369</v>
      </c>
    </row>
    <row r="20">
      <c r="A20" s="10" t="inlineStr">
        <is>
          <t>Gombe</t>
        </is>
      </c>
      <c r="B20" s="29" t="n">
        <v>2988</v>
      </c>
      <c r="C20" s="29" t="n">
        <v>1</v>
      </c>
      <c r="D20" s="29" t="n">
        <v>2320</v>
      </c>
      <c r="E20" s="29" t="n">
        <v>26</v>
      </c>
      <c r="F20" s="24">
        <f>SUM(C20:E20)</f>
        <v/>
      </c>
      <c r="G20" s="30">
        <f>F20/B20</f>
        <v/>
      </c>
      <c r="H20" s="29" t="n">
        <v>95</v>
      </c>
    </row>
    <row r="21">
      <c r="A21" s="10" t="inlineStr">
        <is>
          <t>Imo</t>
        </is>
      </c>
      <c r="B21" s="29" t="n">
        <v>4758</v>
      </c>
      <c r="C21" s="29" t="n">
        <v>530</v>
      </c>
      <c r="D21" s="29" t="n">
        <v>75</v>
      </c>
      <c r="E21" s="29" t="n">
        <v>145</v>
      </c>
      <c r="F21" s="24">
        <f>SUM(C21:E21)</f>
        <v/>
      </c>
      <c r="G21" s="30">
        <f>F21/B21</f>
        <v/>
      </c>
      <c r="H21" s="29" t="n">
        <v>643</v>
      </c>
    </row>
    <row r="22">
      <c r="A22" s="10" t="inlineStr">
        <is>
          <t>Jigawa</t>
        </is>
      </c>
      <c r="B22" s="29" t="n">
        <v>4522</v>
      </c>
      <c r="C22" s="29" t="n">
        <v>159</v>
      </c>
      <c r="D22" s="29" t="n">
        <v>540</v>
      </c>
      <c r="E22" s="29" t="n">
        <v>204</v>
      </c>
      <c r="F22" s="24">
        <f>SUM(C22:E22)</f>
        <v/>
      </c>
      <c r="G22" s="30">
        <f>F22/B22</f>
        <v/>
      </c>
      <c r="H22" s="29" t="n">
        <v>657</v>
      </c>
    </row>
    <row r="23">
      <c r="A23" s="10" t="inlineStr">
        <is>
          <t>Kaduna</t>
        </is>
      </c>
      <c r="B23" s="29" t="n">
        <v>8012</v>
      </c>
      <c r="C23" s="29" t="n">
        <v>271</v>
      </c>
      <c r="D23" s="29" t="n">
        <v>924</v>
      </c>
      <c r="E23" s="29" t="n">
        <v>214</v>
      </c>
      <c r="F23" s="24">
        <f>SUM(C23:E23)</f>
        <v/>
      </c>
      <c r="G23" s="30">
        <f>F23/B23</f>
        <v/>
      </c>
      <c r="H23" s="29" t="n">
        <v>960</v>
      </c>
    </row>
    <row r="24">
      <c r="A24" s="10" t="inlineStr">
        <is>
          <t>Kano</t>
        </is>
      </c>
      <c r="B24" s="29" t="n">
        <v>11222</v>
      </c>
      <c r="C24" s="29" t="n">
        <v>1058</v>
      </c>
      <c r="D24" s="29" t="n">
        <v>2102</v>
      </c>
      <c r="E24" s="29" t="n">
        <v>156</v>
      </c>
      <c r="F24" s="24">
        <f>SUM(C24:E24)</f>
        <v/>
      </c>
      <c r="G24" s="30">
        <f>F24/B24</f>
        <v/>
      </c>
      <c r="H24" s="29" t="n">
        <v>1337</v>
      </c>
    </row>
    <row r="25">
      <c r="A25" s="10" t="inlineStr">
        <is>
          <t>Katsina</t>
        </is>
      </c>
      <c r="B25" s="29" t="n">
        <v>6652</v>
      </c>
      <c r="C25" s="29" t="n">
        <v>54</v>
      </c>
      <c r="D25" s="29" t="n">
        <v>459</v>
      </c>
      <c r="E25" s="29" t="n">
        <v>106</v>
      </c>
      <c r="F25" s="24">
        <f>SUM(C25:E25)</f>
        <v/>
      </c>
      <c r="G25" s="30">
        <f>F25/B25</f>
        <v/>
      </c>
      <c r="H25" s="29" t="n">
        <v>1146</v>
      </c>
    </row>
    <row r="26">
      <c r="A26" s="10" t="inlineStr">
        <is>
          <t>Kebbi</t>
        </is>
      </c>
      <c r="B26" s="29" t="n">
        <v>3743</v>
      </c>
      <c r="C26" s="29" t="n">
        <v>225</v>
      </c>
      <c r="D26" s="29" t="n">
        <v>255</v>
      </c>
      <c r="E26" s="29" t="n">
        <v>60</v>
      </c>
      <c r="F26" s="24">
        <f>SUM(C26:E26)</f>
        <v/>
      </c>
      <c r="G26" s="30">
        <f>F26/B26</f>
        <v/>
      </c>
      <c r="H26" s="29" t="n">
        <v>767</v>
      </c>
    </row>
    <row r="27">
      <c r="A27" s="10" t="inlineStr">
        <is>
          <t>Kogi</t>
        </is>
      </c>
      <c r="B27" s="29" t="n">
        <v>3508</v>
      </c>
      <c r="C27" s="29" t="n">
        <v>96</v>
      </c>
      <c r="D27" s="29" t="n">
        <v>335</v>
      </c>
      <c r="E27" s="29" t="n">
        <v>45</v>
      </c>
      <c r="F27" s="24">
        <f>SUM(C27:E27)</f>
        <v/>
      </c>
      <c r="G27" s="30">
        <f>F27/B27</f>
        <v/>
      </c>
      <c r="H27" s="29" t="n">
        <v>601</v>
      </c>
    </row>
    <row r="28">
      <c r="A28" s="10" t="inlineStr">
        <is>
          <t>Kwara</t>
        </is>
      </c>
      <c r="B28" s="29" t="n">
        <v>2887</v>
      </c>
      <c r="C28" s="29" t="n">
        <v>19</v>
      </c>
      <c r="D28" s="29" t="n">
        <v>32</v>
      </c>
      <c r="E28" s="29" t="n">
        <v>35</v>
      </c>
      <c r="F28" s="24">
        <f>SUM(C28:E28)</f>
        <v/>
      </c>
      <c r="G28" s="30">
        <f>F28/B28</f>
        <v/>
      </c>
      <c r="H28" s="29" t="n">
        <v>458</v>
      </c>
    </row>
    <row r="29">
      <c r="A29" s="10" t="inlineStr">
        <is>
          <t>Lagos</t>
        </is>
      </c>
      <c r="B29" s="29" t="n">
        <v>13325</v>
      </c>
      <c r="C29" s="29" t="n">
        <v>104</v>
      </c>
      <c r="D29" s="29" t="n">
        <v>133</v>
      </c>
      <c r="E29" s="29" t="n">
        <v>128</v>
      </c>
      <c r="F29" s="24">
        <f>SUM(C29:E29)</f>
        <v/>
      </c>
      <c r="G29" s="30">
        <f>F29/B29</f>
        <v/>
      </c>
      <c r="H29" s="29" t="n">
        <v>1285</v>
      </c>
    </row>
    <row r="30">
      <c r="A30" s="10" t="inlineStr">
        <is>
          <t>Nasarawa</t>
        </is>
      </c>
      <c r="B30" s="29" t="n">
        <v>3256</v>
      </c>
      <c r="C30" s="29" t="n">
        <v>58</v>
      </c>
      <c r="D30" s="29" t="n">
        <v>160</v>
      </c>
      <c r="E30" s="29" t="n">
        <v>76</v>
      </c>
      <c r="F30" s="24">
        <f>SUM(C30:E30)</f>
        <v/>
      </c>
      <c r="G30" s="30">
        <f>F30/B30</f>
        <v/>
      </c>
      <c r="H30" s="29" t="n">
        <v>480</v>
      </c>
    </row>
    <row r="31">
      <c r="A31" s="10" t="inlineStr">
        <is>
          <t>Niger</t>
        </is>
      </c>
      <c r="B31" s="29" t="n">
        <v>4950</v>
      </c>
      <c r="C31" s="29" t="n">
        <v>82</v>
      </c>
      <c r="D31" s="29" t="n">
        <v>140</v>
      </c>
      <c r="E31" s="29" t="n">
        <v>40</v>
      </c>
      <c r="F31" s="24">
        <f>SUM(C31:E31)</f>
        <v/>
      </c>
      <c r="G31" s="30">
        <f>F31/B31</f>
        <v/>
      </c>
      <c r="H31" s="29" t="n">
        <v>728</v>
      </c>
    </row>
    <row r="32">
      <c r="A32" s="10" t="inlineStr">
        <is>
          <t>Ogun</t>
        </is>
      </c>
      <c r="B32" s="29" t="n">
        <v>5042</v>
      </c>
      <c r="C32" s="29" t="n">
        <v>14</v>
      </c>
      <c r="D32" s="29" t="n">
        <v>447</v>
      </c>
      <c r="E32" s="29" t="n">
        <v>128</v>
      </c>
      <c r="F32" s="24">
        <f>SUM(C32:E32)</f>
        <v/>
      </c>
      <c r="G32" s="30">
        <f>F32/B32</f>
        <v/>
      </c>
      <c r="H32" s="29" t="n">
        <v>777</v>
      </c>
    </row>
    <row r="33">
      <c r="A33" s="10" t="inlineStr">
        <is>
          <t>Ondo</t>
        </is>
      </c>
      <c r="B33" s="29" t="n">
        <v>3933</v>
      </c>
      <c r="C33" s="29" t="n">
        <v>3</v>
      </c>
      <c r="D33" s="29" t="n">
        <v>132</v>
      </c>
      <c r="E33" s="29" t="n">
        <v>93</v>
      </c>
      <c r="F33" s="24">
        <f>SUM(C33:E33)</f>
        <v/>
      </c>
      <c r="G33" s="30">
        <f>F33/B33</f>
        <v/>
      </c>
      <c r="H33" s="29" t="n">
        <v>473</v>
      </c>
    </row>
    <row r="34">
      <c r="A34" s="10" t="inlineStr">
        <is>
          <t>Osun</t>
        </is>
      </c>
      <c r="B34" s="29" t="n">
        <v>3763</v>
      </c>
      <c r="C34" s="29" t="n">
        <v>28</v>
      </c>
      <c r="D34" s="29" t="n">
        <v>167</v>
      </c>
      <c r="E34" s="29" t="n">
        <v>77</v>
      </c>
      <c r="F34" s="24">
        <f>SUM(C34:E34)</f>
        <v/>
      </c>
      <c r="G34" s="30">
        <f>F34/B34</f>
        <v/>
      </c>
      <c r="H34" s="29" t="n">
        <v>651</v>
      </c>
    </row>
    <row r="35">
      <c r="A35" s="10" t="inlineStr">
        <is>
          <t>Oyo</t>
        </is>
      </c>
      <c r="B35" s="29" t="n">
        <v>6390</v>
      </c>
      <c r="C35" s="29" t="n">
        <v>196</v>
      </c>
      <c r="D35" s="29" t="n">
        <v>584</v>
      </c>
      <c r="E35" s="29" t="n">
        <v>72</v>
      </c>
      <c r="F35" s="24">
        <f>SUM(C35:E35)</f>
        <v/>
      </c>
      <c r="G35" s="30">
        <f>F35/B35</f>
        <v/>
      </c>
      <c r="H35" s="29" t="n">
        <v>783</v>
      </c>
    </row>
    <row r="36">
      <c r="A36" s="10" t="inlineStr">
        <is>
          <t>Plateau</t>
        </is>
      </c>
      <c r="B36" s="29" t="n">
        <v>4989</v>
      </c>
      <c r="C36" s="29" t="n">
        <v>10</v>
      </c>
      <c r="D36" s="29" t="n">
        <v>279</v>
      </c>
      <c r="E36" s="29" t="n">
        <v>67</v>
      </c>
      <c r="F36" s="24">
        <f>SUM(C36:E36)</f>
        <v/>
      </c>
      <c r="G36" s="30">
        <f>F36/B36</f>
        <v/>
      </c>
      <c r="H36" s="29" t="n">
        <v>716</v>
      </c>
    </row>
    <row r="37">
      <c r="A37" s="10" t="inlineStr">
        <is>
          <t>Rivers</t>
        </is>
      </c>
      <c r="B37" s="29" t="n">
        <v>6866</v>
      </c>
      <c r="C37" s="29" t="n">
        <v>858</v>
      </c>
      <c r="D37" s="29" t="n">
        <v>337</v>
      </c>
      <c r="E37" s="29" t="n">
        <v>118</v>
      </c>
      <c r="F37" s="24">
        <f>SUM(C37:E37)</f>
        <v/>
      </c>
      <c r="G37" s="30">
        <f>F37/B37</f>
        <v/>
      </c>
      <c r="H37" s="29" t="n">
        <v>809</v>
      </c>
    </row>
    <row r="38">
      <c r="A38" s="10" t="inlineStr">
        <is>
          <t>Sokoto</t>
        </is>
      </c>
      <c r="B38" s="29" t="n">
        <v>3991</v>
      </c>
      <c r="C38" s="29" t="n">
        <v>566</v>
      </c>
      <c r="D38" s="29" t="n">
        <v>167</v>
      </c>
      <c r="E38" s="29" t="n">
        <v>114</v>
      </c>
      <c r="F38" s="24">
        <f>SUM(C38:E38)</f>
        <v/>
      </c>
      <c r="G38" s="30">
        <f>F38/B38</f>
        <v/>
      </c>
      <c r="H38" s="29" t="n">
        <v>898</v>
      </c>
    </row>
    <row r="39">
      <c r="A39" s="10" t="inlineStr">
        <is>
          <t>Taraba</t>
        </is>
      </c>
      <c r="B39" s="29" t="n">
        <v>3597</v>
      </c>
      <c r="C39" s="29" t="n">
        <v>442</v>
      </c>
      <c r="D39" s="29" t="n">
        <v>218</v>
      </c>
      <c r="E39" s="29" t="n">
        <v>47</v>
      </c>
      <c r="F39" s="24">
        <f>SUM(C39:E39)</f>
        <v/>
      </c>
      <c r="G39" s="30">
        <f>F39/B39</f>
        <v/>
      </c>
      <c r="H39" s="29" t="n">
        <v>366</v>
      </c>
    </row>
    <row r="40">
      <c r="A40" s="10" t="inlineStr">
        <is>
          <t>Yobe</t>
        </is>
      </c>
      <c r="B40" s="29" t="n">
        <v>2823</v>
      </c>
      <c r="C40" s="29" t="n">
        <v>107</v>
      </c>
      <c r="D40" s="29" t="n">
        <v>142</v>
      </c>
      <c r="E40" s="29" t="n">
        <v>57</v>
      </c>
      <c r="F40" s="24">
        <f>SUM(C40:E40)</f>
        <v/>
      </c>
      <c r="G40" s="30">
        <f>F40/B40</f>
        <v/>
      </c>
      <c r="H40" s="29" t="n">
        <v>447</v>
      </c>
    </row>
    <row r="41">
      <c r="A41" s="10" t="inlineStr">
        <is>
          <t>Zamfara</t>
        </is>
      </c>
      <c r="B41" s="29" t="n">
        <v>3529</v>
      </c>
      <c r="C41" s="29" t="n">
        <v>425</v>
      </c>
      <c r="D41" s="29" t="n">
        <v>962</v>
      </c>
      <c r="E41" s="29" t="n">
        <v>55</v>
      </c>
      <c r="F41" s="24">
        <f>SUM(C41:E41)</f>
        <v/>
      </c>
      <c r="G41" s="30">
        <f>F41/B41</f>
        <v/>
      </c>
      <c r="H41" s="29" t="n">
        <v>391</v>
      </c>
    </row>
    <row r="43">
      <c r="A43" s="10" t="inlineStr">
        <is>
          <t>Nigeria</t>
        </is>
      </c>
      <c r="B43" s="31">
        <f>SUM(B5:B41)</f>
        <v/>
      </c>
      <c r="C43" s="31">
        <f>SUM(C5:C41)</f>
        <v/>
      </c>
      <c r="D43" s="31">
        <f>SUM(D5:D41)</f>
        <v/>
      </c>
      <c r="E43" s="31">
        <f>SUM(E5:E41)</f>
        <v/>
      </c>
      <c r="F43" s="31">
        <f>SUM(F5:F41)</f>
        <v/>
      </c>
      <c r="G43" s="32">
        <f>F43/B43</f>
        <v/>
      </c>
      <c r="H43" s="31">
        <f>SUM(H5:H41)</f>
        <v/>
      </c>
    </row>
    <row r="45">
      <c r="A45" s="17" t="inlineStr">
        <is>
          <t>Blue cells are counts from the CCIJ dataset; black cells are formulas. "Problem" = never uploaded + unreadable + wrong document. Cancelled units are excluded from problems.</t>
        </is>
      </c>
    </row>
  </sheetData>
  <conditionalFormatting sqref="G5:G41">
    <cfRule type="dataBar" priority="1">
      <dataBar>
        <cfvo type="num" val="0"/>
        <cfvo type="max"/>
        <color rgb="00E9806F"/>
      </dataBar>
    </cfRule>
  </conditionalFormatting>
  <pageMargins left="0.75" right="0.75" top="1" bottom="1" header="0.5" footer="0.5"/>
</worksheet>
</file>

<file path=xl/worksheets/sheet6.xml><?xml version="1.0" encoding="utf-8"?>
<worksheet xmlns="http://schemas.openxmlformats.org/spreadsheetml/2006/main">
  <sheetPr>
    <tabColor rgb="002F6B4F"/>
    <outlinePr summaryBelow="1" summaryRight="1"/>
    <pageSetUpPr/>
  </sheetPr>
  <dimension ref="A1:H21"/>
  <sheetViews>
    <sheetView showGridLines="0" workbookViewId="0">
      <selection activeCell="A1" sqref="A1"/>
    </sheetView>
  </sheetViews>
  <sheetFormatPr baseColWidth="8" defaultRowHeight="15"/>
  <cols>
    <col width="6" customWidth="1" min="1" max="1"/>
    <col width="12" customWidth="1" min="2" max="2"/>
    <col width="24" customWidth="1" min="3" max="3"/>
    <col width="52" customWidth="1" min="4" max="4"/>
    <col width="20" customWidth="1" min="5" max="5"/>
    <col width="11" customWidth="1" min="6" max="6"/>
    <col width="11" customWidth="1" min="7" max="7"/>
    <col width="56" customWidth="1" min="8" max="8"/>
  </cols>
  <sheetData>
    <row r="1">
      <c r="A1" s="20" t="inlineStr">
        <is>
          <t>Most of the fixes need no new law and can land before 16 January</t>
        </is>
      </c>
    </row>
    <row r="2">
      <c r="A2" s="21" t="inlineStr">
        <is>
          <t>Each fix is tied to a fear theme and the step it changes. Filter the table with the header arrows.</t>
        </is>
      </c>
    </row>
    <row r="4" ht="30" customHeight="1">
      <c r="A4" s="8" t="inlineStr">
        <is>
          <t>Fix</t>
        </is>
      </c>
      <c r="B4" s="8" t="inlineStr">
        <is>
          <t>Theme</t>
        </is>
      </c>
      <c r="C4" s="8" t="inlineStr">
        <is>
          <t>INEC step</t>
        </is>
      </c>
      <c r="D4" s="8" t="inlineStr">
        <is>
          <t>What to do</t>
        </is>
      </c>
      <c r="E4" s="8" t="inlineStr">
        <is>
          <t>Owner</t>
        </is>
      </c>
      <c r="F4" s="8" t="inlineStr">
        <is>
          <t>Before January</t>
        </is>
      </c>
      <c r="G4" s="8" t="inlineStr">
        <is>
          <t>Needs new law</t>
        </is>
      </c>
      <c r="H4" s="8" t="inlineStr">
        <is>
          <t>Evidence</t>
        </is>
      </c>
    </row>
    <row r="5" ht="46" customHeight="1">
      <c r="A5" s="13" t="inlineStr">
        <is>
          <t>F1</t>
        </is>
      </c>
      <c r="B5" s="13" t="inlineStr">
        <is>
          <t>upload</t>
        </is>
      </c>
      <c r="C5" s="13" t="inlineStr">
        <is>
          <t>5 Result upload (IReV)</t>
        </is>
      </c>
      <c r="D5" s="33" t="inlineStr">
        <is>
          <t>Publish every polling unit result on IReV within 2 hours of counting, with a live public tracker by state</t>
        </is>
      </c>
      <c r="E5" s="13" t="inlineStr">
        <is>
          <t>INEC</t>
        </is>
      </c>
      <c r="F5" s="13" t="inlineStr">
        <is>
          <t>Yes</t>
        </is>
      </c>
      <c r="G5" s="13" t="inlineStr">
        <is>
          <t>No</t>
        </is>
      </c>
      <c r="H5" s="13" t="inlineStr">
        <is>
          <t>2023: 20% of presidential sheets online by noon next day; Anambra 2025 reached 99.39% in about 4 hours</t>
        </is>
      </c>
    </row>
    <row r="6" ht="46" customHeight="1">
      <c r="A6" s="13" t="inlineStr">
        <is>
          <t>F2</t>
        </is>
      </c>
      <c r="B6" s="13" t="inlineStr">
        <is>
          <t>upload</t>
        </is>
      </c>
      <c r="C6" s="13" t="inlineStr">
        <is>
          <t>5 Result upload (IReV)</t>
        </is>
      </c>
      <c r="D6" s="33" t="inlineStr">
        <is>
          <t>Publish the list of units that did not transmit, with the stated reason, before collation starts</t>
        </is>
      </c>
      <c r="E6" s="13" t="inlineStr">
        <is>
          <t>INEC</t>
        </is>
      </c>
      <c r="F6" s="13" t="inlineStr">
        <is>
          <t>Yes</t>
        </is>
      </c>
      <c r="G6" s="13" t="inlineStr">
        <is>
          <t>No</t>
        </is>
      </c>
      <c r="H6" s="13" t="inlineStr">
        <is>
          <t>Electoral Act 2026 s.60(3) lets the paper sheet prevail when transmission fails, with no public list</t>
        </is>
      </c>
    </row>
    <row r="7" ht="46" customHeight="1">
      <c r="A7" s="13" t="inlineStr">
        <is>
          <t>F3</t>
        </is>
      </c>
      <c r="B7" s="13" t="inlineStr">
        <is>
          <t>rigging</t>
        </is>
      </c>
      <c r="C7" s="13" t="inlineStr">
        <is>
          <t>6 Collation and declaration</t>
        </is>
      </c>
      <c r="D7" s="33" t="inlineStr">
        <is>
          <t>Check every collated total against the IReV images and publish mismatches at each collation level</t>
        </is>
      </c>
      <c r="E7" s="13" t="inlineStr">
        <is>
          <t>INEC</t>
        </is>
      </c>
      <c r="F7" s="13" t="inlineStr">
        <is>
          <t>Yes</t>
        </is>
      </c>
      <c r="G7" s="13" t="inlineStr">
        <is>
          <t>No</t>
        </is>
      </c>
      <c r="H7" s="13" t="inlineStr">
        <is>
          <t>Edo 2024: results altered at collation in three LGAs (Yiaga); Ekiti 2026: over 100 unit result sheets on IReV visibly altered (Dataphyte)</t>
        </is>
      </c>
    </row>
    <row r="8" ht="46" customHeight="1">
      <c r="A8" s="13" t="inlineStr">
        <is>
          <t>F4</t>
        </is>
      </c>
      <c r="B8" s="13" t="inlineStr">
        <is>
          <t>rigging</t>
        </is>
      </c>
      <c r="C8" s="13" t="inlineStr">
        <is>
          <t>6 Collation and declaration</t>
        </is>
      </c>
      <c r="D8" s="33" t="inlineStr">
        <is>
          <t>Reject unreadable or wrong uploads at the device: an image quality check on the BVAS voting machine before the official leaves the unit</t>
        </is>
      </c>
      <c r="E8" s="13" t="inlineStr">
        <is>
          <t>INEC</t>
        </is>
      </c>
      <c r="F8" s="13" t="inlineStr">
        <is>
          <t>Yes</t>
        </is>
      </c>
      <c r="G8" s="13" t="inlineStr">
        <is>
          <t>No</t>
        </is>
      </c>
      <c r="H8" s="13" t="inlineStr">
        <is>
          <t>2023: 14,252 unreadable and 3,217 wrong documents out of 176,846 units (CCIJ audit)</t>
        </is>
      </c>
    </row>
    <row r="9" ht="46" customHeight="1">
      <c r="A9" s="13" t="inlineStr">
        <is>
          <t>F5</t>
        </is>
      </c>
      <c r="B9" s="13" t="inlineStr">
        <is>
          <t>vote_buying</t>
        </is>
      </c>
      <c r="C9" s="13" t="inlineStr">
        <is>
          <t>3 Voting at the polling unit</t>
        </is>
      </c>
      <c r="D9" s="33" t="inlineStr">
        <is>
          <t>Name high-risk units in advance and post visible EFCC and ICPC teams there; enforce the ban on showing a marked ballot</t>
        </is>
      </c>
      <c r="E9" s="13" t="inlineStr">
        <is>
          <t>INEC with EFCC and ICPC</t>
        </is>
      </c>
      <c r="F9" s="13" t="inlineStr">
        <is>
          <t>Yes</t>
        </is>
      </c>
      <c r="G9" s="13" t="inlineStr">
        <is>
          <t>No</t>
        </is>
      </c>
      <c r="H9" s="13" t="inlineStr">
        <is>
          <t>19% received money to vote (Yiaga, Sep 2026); N1,000 to N50,000 per vote in off-cycle elections</t>
        </is>
      </c>
    </row>
    <row r="10" ht="46" customHeight="1">
      <c r="A10" s="13" t="inlineStr">
        <is>
          <t>F6</t>
        </is>
      </c>
      <c r="B10" s="13" t="inlineStr">
        <is>
          <t>violence</t>
        </is>
      </c>
      <c r="C10" s="13" t="inlineStr">
        <is>
          <t>4 Voting day security</t>
        </is>
      </c>
      <c r="D10" s="33" t="inlineStr">
        <is>
          <t>Publish a polling unit risk map and a relocation plan for high-risk units 30 days before the vote</t>
        </is>
      </c>
      <c r="E10" s="13" t="inlineStr">
        <is>
          <t>INEC with police and ICCES</t>
        </is>
      </c>
      <c r="F10" s="13" t="inlineStr">
        <is>
          <t>Yes</t>
        </is>
      </c>
      <c r="G10" s="13" t="inlineStr">
        <is>
          <t>No</t>
        </is>
      </c>
      <c r="H10" s="13" t="inlineStr">
        <is>
          <t>61% say violence could stop them voting; 78% in the North-East (Yiaga, Sep 2026)</t>
        </is>
      </c>
    </row>
    <row r="11" ht="46" customHeight="1">
      <c r="A11" s="13" t="inlineStr">
        <is>
          <t>F7</t>
        </is>
      </c>
      <c r="B11" s="13" t="inlineStr">
        <is>
          <t>thugs</t>
        </is>
      </c>
      <c r="C11" s="13" t="inlineStr">
        <is>
          <t>4 Voting day security</t>
        </is>
      </c>
      <c r="D11" s="33" t="inlineStr">
        <is>
          <t>A public hotline with a case number and a published response time for incidents at polling units</t>
        </is>
      </c>
      <c r="E11" s="13" t="inlineStr">
        <is>
          <t>Police and INEC</t>
        </is>
      </c>
      <c r="F11" s="13" t="inlineStr">
        <is>
          <t>Yes</t>
        </is>
      </c>
      <c r="G11" s="13" t="inlineStr">
        <is>
          <t>No</t>
        </is>
      </c>
      <c r="H11" s="13" t="inlineStr">
        <is>
          <t>Intimidation at 6% of units in 2023 (Yiaga)</t>
        </is>
      </c>
    </row>
    <row r="12" ht="46" customHeight="1">
      <c r="A12" s="13" t="inlineStr">
        <is>
          <t>F8</t>
        </is>
      </c>
      <c r="B12" s="13" t="inlineStr">
        <is>
          <t>registration</t>
        </is>
      </c>
      <c r="C12" s="13" t="inlineStr">
        <is>
          <t>1 Registration and PVC</t>
        </is>
      </c>
      <c r="D12" s="33" t="inlineStr">
        <is>
          <t>A voter card (PVC) status lookup by SMS and a published count of uncollected cards per polling unit, weekly</t>
        </is>
      </c>
      <c r="E12" s="13" t="inlineStr">
        <is>
          <t>INEC</t>
        </is>
      </c>
      <c r="F12" s="13" t="inlineStr">
        <is>
          <t>Yes</t>
        </is>
      </c>
      <c r="G12" s="13" t="inlineStr">
        <is>
          <t>No</t>
        </is>
      </c>
      <c r="H12" s="13" t="inlineStr">
        <is>
          <t>6.26m uncollected PVCs in 2023; Osun 2026: 18.5% uncollected (INEC)</t>
        </is>
      </c>
    </row>
    <row r="13" ht="46" customHeight="1">
      <c r="A13" s="13" t="inlineStr">
        <is>
          <t>F9</t>
        </is>
      </c>
      <c r="B13" s="13" t="inlineStr">
        <is>
          <t>registration</t>
        </is>
      </c>
      <c r="C13" s="13" t="inlineStr">
        <is>
          <t>1 Registration and PVC</t>
        </is>
      </c>
      <c r="D13" s="33" t="inlineStr">
        <is>
          <t>Publish the cleaned register: duplicates removed and the gap between phase totals explained</t>
        </is>
      </c>
      <c r="E13" s="13" t="inlineStr">
        <is>
          <t>INEC</t>
        </is>
      </c>
      <c r="F13" s="13" t="inlineStr">
        <is>
          <t>Yes</t>
        </is>
      </c>
      <c r="G13" s="13" t="inlineStr">
        <is>
          <t>No</t>
        </is>
      </c>
      <c r="H13" s="13" t="inlineStr">
        <is>
          <t>Phase totals 10,601,098 against 10,772,421 announced; removals unpublished</t>
        </is>
      </c>
    </row>
    <row r="14" ht="46" customHeight="1">
      <c r="A14" s="13" t="inlineStr">
        <is>
          <t>F10</t>
        </is>
      </c>
      <c r="B14" s="13" t="inlineStr">
        <is>
          <t>inec_trust</t>
        </is>
      </c>
      <c r="C14" s="13" t="inlineStr">
        <is>
          <t>0 INEC as an institution</t>
        </is>
      </c>
      <c r="D14" s="33" t="inlineStr">
        <is>
          <t>Quarterly public scorecard of INEC service targets: opening time, upload time, PVC collection</t>
        </is>
      </c>
      <c r="E14" s="13" t="inlineStr">
        <is>
          <t>INEC with civil society</t>
        </is>
      </c>
      <c r="F14" s="13" t="inlineStr">
        <is>
          <t>Yes</t>
        </is>
      </c>
      <c r="G14" s="13" t="inlineStr">
        <is>
          <t>No</t>
        </is>
      </c>
      <c r="H14" s="13" t="inlineStr">
        <is>
          <t>34% confident in INEC (Yiaga, Sep 2026); 16% trust (Afrobarometer 2024)</t>
        </is>
      </c>
    </row>
    <row r="15" ht="46" customHeight="1">
      <c r="A15" s="13" t="inlineStr">
        <is>
          <t>F11</t>
        </is>
      </c>
      <c r="B15" s="13" t="inlineStr">
        <is>
          <t>apathy</t>
        </is>
      </c>
      <c r="C15" s="13" t="inlineStr">
        <is>
          <t>Turnout</t>
        </is>
      </c>
      <c r="D15" s="33" t="inlineStr">
        <is>
          <t>Show first-time voters the evidence chain: their unit's result online the same night</t>
        </is>
      </c>
      <c r="E15" s="13" t="inlineStr">
        <is>
          <t>INEC and media</t>
        </is>
      </c>
      <c r="F15" s="13" t="inlineStr">
        <is>
          <t>Yes</t>
        </is>
      </c>
      <c r="G15" s="13" t="inlineStr">
        <is>
          <t>No</t>
        </is>
      </c>
      <c r="H15" s="13" t="inlineStr">
        <is>
          <t>Turnout 26.7% in 2023; 15% to 43% in recent state elections (Ekiti 36%, Osun 43%)</t>
        </is>
      </c>
    </row>
    <row r="16" ht="46" customHeight="1">
      <c r="A16" s="13" t="inlineStr">
        <is>
          <t>F12</t>
        </is>
      </c>
      <c r="B16" s="13" t="inlineStr">
        <is>
          <t>courts</t>
        </is>
      </c>
      <c r="C16" s="13" t="inlineStr">
        <is>
          <t>7 Petitions and tribunals</t>
        </is>
      </c>
      <c r="D16" s="33" t="inlineStr">
        <is>
          <t>Set in law how IReV images are tested as evidence, and cap tribunal timelines at 60 days</t>
        </is>
      </c>
      <c r="E16" s="13" t="inlineStr">
        <is>
          <t>National Assembly</t>
        </is>
      </c>
      <c r="F16" s="13" t="inlineStr">
        <is>
          <t>No</t>
        </is>
      </c>
      <c r="G16" s="13" t="inlineStr">
        <is>
          <t>Yes</t>
        </is>
      </c>
      <c r="H16" s="13" t="inlineStr">
        <is>
          <t>Supreme Court 2023: IReV is a viewing portal, not a collation centre; 60 day bill still pending (Daily Trust, Sep 2026)</t>
        </is>
      </c>
    </row>
    <row r="17" ht="46" customHeight="1">
      <c r="A17" s="13" t="inlineStr">
        <is>
          <t>F13</t>
        </is>
      </c>
      <c r="B17" s="13" t="inlineStr">
        <is>
          <t>upload</t>
        </is>
      </c>
      <c r="C17" s="13" t="inlineStr">
        <is>
          <t>5 Result upload (IReV)</t>
        </is>
      </c>
      <c r="D17" s="33" t="inlineStr">
        <is>
          <t>Make electronic transmission mandatory with a penalty that matters for officials who skip it</t>
        </is>
      </c>
      <c r="E17" s="13" t="inlineStr">
        <is>
          <t>National Assembly</t>
        </is>
      </c>
      <c r="F17" s="13" t="inlineStr">
        <is>
          <t>No</t>
        </is>
      </c>
      <c r="G17" s="13" t="inlineStr">
        <is>
          <t>Yes</t>
        </is>
      </c>
      <c r="H17" s="13" t="inlineStr">
        <is>
          <t>Wilful breach of s.60 carries a fine of at least N500,000 or six months, but a communication failure lets the paper sheet prevail (Electoral Act 2026 s.60(3) and 60(6))</t>
        </is>
      </c>
    </row>
    <row r="18" ht="46" customHeight="1">
      <c r="A18" s="13" t="inlineStr">
        <is>
          <t>F14</t>
        </is>
      </c>
      <c r="B18" s="13" t="inlineStr">
        <is>
          <t>misinfo</t>
        </is>
      </c>
      <c r="C18" s="13" t="inlineStr">
        <is>
          <t>Information</t>
        </is>
      </c>
      <c r="D18" s="33" t="inlineStr">
        <is>
          <t>An official results-rumour desk that answers viral claims with the IReV image within one hour</t>
        </is>
      </c>
      <c r="E18" s="13" t="inlineStr">
        <is>
          <t>INEC with fact-checkers</t>
        </is>
      </c>
      <c r="F18" s="13" t="inlineStr">
        <is>
          <t>Yes</t>
        </is>
      </c>
      <c r="G18" s="13" t="inlineStr">
        <is>
          <t>No</t>
        </is>
      </c>
      <c r="H18" s="13" t="inlineStr">
        <is>
          <t>66.5% very worried about AI misinformation (SBM 2026)</t>
        </is>
      </c>
    </row>
    <row r="19" ht="46" customHeight="1">
      <c r="A19" s="13" t="inlineStr">
        <is>
          <t>F15</t>
        </is>
      </c>
      <c r="B19" s="13" t="inlineStr">
        <is>
          <t>diaspora</t>
        </is>
      </c>
      <c r="C19" s="13" t="inlineStr">
        <is>
          <t>1 Registration and PVC</t>
        </is>
      </c>
      <c r="D19" s="33" t="inlineStr">
        <is>
          <t>Pilot diaspora voting at embassies for a later cycle</t>
        </is>
      </c>
      <c r="E19" s="13" t="inlineStr">
        <is>
          <t>National Assembly</t>
        </is>
      </c>
      <c r="F19" s="13" t="inlineStr">
        <is>
          <t>No</t>
        </is>
      </c>
      <c r="G19" s="13" t="inlineStr">
        <is>
          <t>Yes</t>
        </is>
      </c>
      <c r="H19" s="13" t="inlineStr">
        <is>
          <t>No diaspora voting in the 2026 Act; an estimated 17m Nigerians abroad (NiDCOM)</t>
        </is>
      </c>
    </row>
    <row r="21">
      <c r="A21" s="34" t="inlineStr">
        <is>
          <t>Quick wins (before January, no new law)</t>
        </is>
      </c>
      <c r="D21" s="35">
        <f>COUNTIFS(F5:F19,"Yes",G5:G19,"No")</f>
        <v/>
      </c>
    </row>
  </sheetData>
  <autoFilter ref="A4:H19"/>
  <conditionalFormatting sqref="F5:G19">
    <cfRule type="expression" priority="1" dxfId="1">
      <formula>AND($F5="Yes",$G5="No")</formula>
    </cfRule>
  </conditionalFormatting>
  <pageMargins left="0.75" right="0.75" top="1" bottom="1" header="0.5" footer="0.5"/>
</worksheet>
</file>

<file path=xl/worksheets/sheet7.xml><?xml version="1.0" encoding="utf-8"?>
<worksheet xmlns="http://schemas.openxmlformats.org/spreadsheetml/2006/main">
  <sheetPr>
    <tabColor rgb="001E2A47"/>
    <outlinePr summaryBelow="1" summaryRight="1"/>
    <pageSetUpPr/>
  </sheetPr>
  <dimension ref="A1:F109"/>
  <sheetViews>
    <sheetView showGridLines="0" workbookViewId="0">
      <selection activeCell="A1" sqref="A1"/>
    </sheetView>
  </sheetViews>
  <sheetFormatPr baseColWidth="8" defaultRowHeight="15"/>
  <cols>
    <col width="16" customWidth="1" min="1" max="1"/>
    <col width="30" customWidth="1" min="2" max="2"/>
    <col width="60" customWidth="1" min="3" max="3"/>
    <col width="12" customWidth="1" min="4" max="4"/>
    <col width="14" customWidth="1" min="5" max="5"/>
    <col width="14" customWidth="1" min="6" max="6"/>
  </cols>
  <sheetData>
    <row r="1">
      <c r="A1" s="20" t="inlineStr">
        <is>
          <t>Videos sampled</t>
        </is>
      </c>
    </row>
    <row r="2">
      <c r="A2" s="21" t="inlineStr">
        <is>
          <t>Every video whose comments were read. Comment index rows come from vidIQ, which hides channel names.</t>
        </is>
      </c>
    </row>
    <row r="4" ht="30" customHeight="1">
      <c r="A4" s="8" t="inlineStr">
        <is>
          <t>Video ID</t>
        </is>
      </c>
      <c r="B4" s="8" t="inlineStr">
        <is>
          <t>Channel</t>
        </is>
      </c>
      <c r="C4" s="8" t="inlineStr">
        <is>
          <t>Title</t>
        </is>
      </c>
      <c r="D4" s="8" t="inlineStr">
        <is>
          <t>Published</t>
        </is>
      </c>
      <c r="E4" s="8" t="inlineStr">
        <is>
          <t>Comments read</t>
        </is>
      </c>
      <c r="F4" s="8" t="inlineStr">
        <is>
          <t>Fear comments</t>
        </is>
      </c>
    </row>
    <row r="5">
      <c r="A5" s="36" t="inlineStr">
        <is>
          <t>-_AdFq9Q1Yk</t>
        </is>
      </c>
      <c r="B5" s="36" t="inlineStr">
        <is>
          <t>Channels Television</t>
        </is>
      </c>
      <c r="C5" s="36" t="inlineStr">
        <is>
          <t>2027: Okonkwo Backs Northerner, Says Tinubu Will Win If Coalition Presents Obi</t>
        </is>
      </c>
      <c r="D5" s="36" t="inlineStr">
        <is>
          <t>2025-07-08</t>
        </is>
      </c>
      <c r="E5" s="24" t="n">
        <v>249</v>
      </c>
      <c r="F5" s="24">
        <f>COUNTIF('Fears data'!$D$5:$D$1347,A5)</f>
        <v/>
      </c>
    </row>
    <row r="6">
      <c r="A6" s="36" t="inlineStr">
        <is>
          <t>0rcLH2b9ITg</t>
        </is>
      </c>
      <c r="B6" s="36" t="inlineStr">
        <is>
          <t>Other channels (comment index)</t>
        </is>
      </c>
      <c r="C6" s="36" t="inlineStr"/>
      <c r="D6" s="36" t="inlineStr"/>
      <c r="E6" s="24" t="n">
        <v>1</v>
      </c>
      <c r="F6" s="24">
        <f>COUNTIF('Fears data'!$D$5:$D$1347,A6)</f>
        <v/>
      </c>
    </row>
    <row r="7">
      <c r="A7" s="36" t="inlineStr">
        <is>
          <t>1K0T4Nn2qsU</t>
        </is>
      </c>
      <c r="B7" s="36" t="inlineStr">
        <is>
          <t>Other channels (comment index)</t>
        </is>
      </c>
      <c r="C7" s="36" t="inlineStr"/>
      <c r="D7" s="36" t="inlineStr"/>
      <c r="E7" s="24" t="n">
        <v>2</v>
      </c>
      <c r="F7" s="24">
        <f>COUNTIF('Fears data'!$D$5:$D$1347,A7)</f>
        <v/>
      </c>
    </row>
    <row r="8">
      <c r="A8" s="36" t="inlineStr">
        <is>
          <t>312wEIK4KHI</t>
        </is>
      </c>
      <c r="B8" s="36" t="inlineStr">
        <is>
          <t>SaharaTV</t>
        </is>
      </c>
      <c r="C8" s="36" t="inlineStr">
        <is>
          <t>Nigerian Navy Arrests Osun Assembly APC Candidate Komolafe, Others With Rifle Ahead Of Election</t>
        </is>
      </c>
      <c r="D8" s="36" t="inlineStr">
        <is>
          <t>2026-08-13</t>
        </is>
      </c>
      <c r="E8" s="24" t="n">
        <v>118</v>
      </c>
      <c r="F8" s="24">
        <f>COUNTIF('Fears data'!$D$5:$D$1347,A8)</f>
        <v/>
      </c>
    </row>
    <row r="9">
      <c r="A9" s="36" t="inlineStr">
        <is>
          <t>32K6xdF0lnA</t>
        </is>
      </c>
      <c r="B9" s="36" t="inlineStr">
        <is>
          <t>Arise News</t>
        </is>
      </c>
      <c r="C9" s="36" t="inlineStr">
        <is>
          <t>INEC Warns Public On Declaring Results+ Wike Faults Atiku+ Adebayo Slams Tinubu+ Obi At NAF|OjyOkpe</t>
        </is>
      </c>
      <c r="D9" s="36" t="inlineStr">
        <is>
          <t>2026-10-07</t>
        </is>
      </c>
      <c r="E9" s="24" t="n">
        <v>166</v>
      </c>
      <c r="F9" s="24">
        <f>COUNTIF('Fears data'!$D$5:$D$1347,A9)</f>
        <v/>
      </c>
    </row>
    <row r="10">
      <c r="A10" s="36" t="inlineStr">
        <is>
          <t>4ORqpE7dbds</t>
        </is>
      </c>
      <c r="B10" s="36" t="inlineStr">
        <is>
          <t>TVC News Nigeria</t>
        </is>
      </c>
      <c r="C10" s="36" t="inlineStr">
        <is>
          <t>INEC Declares Gov. Ademola Adeleke Of Accord Party Winner Of Osun Gov'ship Election</t>
        </is>
      </c>
      <c r="D10" s="36" t="inlineStr">
        <is>
          <t>2026-08-16</t>
        </is>
      </c>
      <c r="E10" s="24" t="n">
        <v>137</v>
      </c>
      <c r="F10" s="24">
        <f>COUNTIF('Fears data'!$D$5:$D$1347,A10)</f>
        <v/>
      </c>
    </row>
    <row r="11">
      <c r="A11" s="36" t="inlineStr">
        <is>
          <t>71Ylie7s4Rs</t>
        </is>
      </c>
      <c r="B11" s="36" t="inlineStr">
        <is>
          <t>Other channels (comment index)</t>
        </is>
      </c>
      <c r="C11" s="36" t="inlineStr"/>
      <c r="D11" s="36" t="inlineStr"/>
      <c r="E11" s="24" t="n">
        <v>4</v>
      </c>
      <c r="F11" s="24">
        <f>COUNTIF('Fears data'!$D$5:$D$1347,A11)</f>
        <v/>
      </c>
    </row>
    <row r="12">
      <c r="A12" s="36" t="inlineStr">
        <is>
          <t>7CW8W8um2JM</t>
        </is>
      </c>
      <c r="B12" s="36" t="inlineStr">
        <is>
          <t>Other channels (comment index)</t>
        </is>
      </c>
      <c r="C12" s="36" t="inlineStr"/>
      <c r="D12" s="36" t="inlineStr"/>
      <c r="E12" s="24" t="n">
        <v>1</v>
      </c>
      <c r="F12" s="24">
        <f>COUNTIF('Fears data'!$D$5:$D$1347,A12)</f>
        <v/>
      </c>
    </row>
    <row r="13">
      <c r="A13" s="36" t="inlineStr">
        <is>
          <t>7eZWhQfOozg</t>
        </is>
      </c>
      <c r="B13" s="36" t="inlineStr">
        <is>
          <t>Channels Television</t>
        </is>
      </c>
      <c r="C13" s="36" t="inlineStr">
        <is>
          <t>Election-Rigger Should Not Succeed Yakubu As INEC Chair — Datti Baba-Ahmed</t>
        </is>
      </c>
      <c r="D13" s="36" t="inlineStr">
        <is>
          <t>2025-08-22</t>
        </is>
      </c>
      <c r="E13" s="24" t="n">
        <v>101</v>
      </c>
      <c r="F13" s="24">
        <f>COUNTIF('Fears data'!$D$5:$D$1347,A13)</f>
        <v/>
      </c>
    </row>
    <row r="14">
      <c r="A14" s="36" t="inlineStr">
        <is>
          <t>8pEvoYtARnY</t>
        </is>
      </c>
      <c r="B14" s="36" t="inlineStr">
        <is>
          <t>Other channels (comment index)</t>
        </is>
      </c>
      <c r="C14" s="36" t="inlineStr"/>
      <c r="D14" s="36" t="inlineStr"/>
      <c r="E14" s="24" t="n">
        <v>1</v>
      </c>
      <c r="F14" s="24">
        <f>COUNTIF('Fears data'!$D$5:$D$1347,A14)</f>
        <v/>
      </c>
    </row>
    <row r="15">
      <c r="A15" s="36" t="inlineStr">
        <is>
          <t>95HiAsHA5Qs</t>
        </is>
      </c>
      <c r="B15" s="36" t="inlineStr">
        <is>
          <t>Channels Television</t>
        </is>
      </c>
      <c r="C15" s="36" t="inlineStr">
        <is>
          <t>Reps In Rowdy Session Over Motion To Rescind ‘Real-Time’ Clause In Electoral Act</t>
        </is>
      </c>
      <c r="D15" s="36" t="inlineStr">
        <is>
          <t>2026-02-17</t>
        </is>
      </c>
      <c r="E15" s="24" t="n">
        <v>133</v>
      </c>
      <c r="F15" s="24">
        <f>COUNTIF('Fears data'!$D$5:$D$1347,A15)</f>
        <v/>
      </c>
    </row>
    <row r="16">
      <c r="A16" s="36" t="inlineStr">
        <is>
          <t>9Grvf3Sko0k</t>
        </is>
      </c>
      <c r="B16" s="36" t="inlineStr">
        <is>
          <t>Other channels (comment index)</t>
        </is>
      </c>
      <c r="C16" s="36" t="inlineStr"/>
      <c r="D16" s="36" t="inlineStr"/>
      <c r="E16" s="24" t="n">
        <v>1</v>
      </c>
      <c r="F16" s="24">
        <f>COUNTIF('Fears data'!$D$5:$D$1347,A16)</f>
        <v/>
      </c>
    </row>
    <row r="17">
      <c r="A17" s="36" t="inlineStr">
        <is>
          <t>AEi0jgyCymI</t>
        </is>
      </c>
      <c r="B17" s="36" t="inlineStr">
        <is>
          <t>Other channels (comment index)</t>
        </is>
      </c>
      <c r="C17" s="36" t="inlineStr"/>
      <c r="D17" s="36" t="inlineStr"/>
      <c r="E17" s="24" t="n">
        <v>1</v>
      </c>
      <c r="F17" s="24">
        <f>COUNTIF('Fears data'!$D$5:$D$1347,A17)</f>
        <v/>
      </c>
    </row>
    <row r="18">
      <c r="A18" s="36" t="inlineStr">
        <is>
          <t>Ad0HPSh6Ua8</t>
        </is>
      </c>
      <c r="B18" s="36" t="inlineStr">
        <is>
          <t>Other channels (comment index)</t>
        </is>
      </c>
      <c r="C18" s="36" t="inlineStr"/>
      <c r="D18" s="36" t="inlineStr"/>
      <c r="E18" s="24" t="n">
        <v>2</v>
      </c>
      <c r="F18" s="24">
        <f>COUNTIF('Fears data'!$D$5:$D$1347,A18)</f>
        <v/>
      </c>
    </row>
    <row r="19">
      <c r="A19" s="36" t="inlineStr">
        <is>
          <t>BhwIXNKvt3A</t>
        </is>
      </c>
      <c r="B19" s="36" t="inlineStr">
        <is>
          <t>Other channels (comment index)</t>
        </is>
      </c>
      <c r="C19" s="36" t="inlineStr"/>
      <c r="D19" s="36" t="inlineStr"/>
      <c r="E19" s="24" t="n">
        <v>2</v>
      </c>
      <c r="F19" s="24">
        <f>COUNTIF('Fears data'!$D$5:$D$1347,A19)</f>
        <v/>
      </c>
    </row>
    <row r="20">
      <c r="A20" s="36" t="inlineStr">
        <is>
          <t>CNZzx2veECs</t>
        </is>
      </c>
      <c r="B20" s="36" t="inlineStr">
        <is>
          <t>Arise News</t>
        </is>
      </c>
      <c r="C20" s="36" t="inlineStr">
        <is>
          <t>Igini: Tinubu Shouldn't Sign the New Electoral Act</t>
        </is>
      </c>
      <c r="D20" s="36" t="inlineStr">
        <is>
          <t>2026-02-18</t>
        </is>
      </c>
      <c r="E20" s="24" t="n">
        <v>188</v>
      </c>
      <c r="F20" s="24">
        <f>COUNTIF('Fears data'!$D$5:$D$1347,A20)</f>
        <v/>
      </c>
    </row>
    <row r="21">
      <c r="A21" s="36" t="inlineStr">
        <is>
          <t>CXeVulc6g8k</t>
        </is>
      </c>
      <c r="B21" s="36" t="inlineStr">
        <is>
          <t>Other channels (comment index)</t>
        </is>
      </c>
      <c r="C21" s="36" t="inlineStr"/>
      <c r="D21" s="36" t="inlineStr"/>
      <c r="E21" s="24" t="n">
        <v>1</v>
      </c>
      <c r="F21" s="24">
        <f>COUNTIF('Fears data'!$D$5:$D$1347,A21)</f>
        <v/>
      </c>
    </row>
    <row r="22">
      <c r="A22" s="36" t="inlineStr">
        <is>
          <t>Dc33DCklqss</t>
        </is>
      </c>
      <c r="B22" s="36" t="inlineStr">
        <is>
          <t>Other channels (comment index)</t>
        </is>
      </c>
      <c r="C22" s="36" t="inlineStr"/>
      <c r="D22" s="36" t="inlineStr"/>
      <c r="E22" s="24" t="n">
        <v>1</v>
      </c>
      <c r="F22" s="24">
        <f>COUNTIF('Fears data'!$D$5:$D$1347,A22)</f>
        <v/>
      </c>
    </row>
    <row r="23">
      <c r="A23" s="36" t="inlineStr">
        <is>
          <t>Ei2QIFwoyqU</t>
        </is>
      </c>
      <c r="B23" s="36" t="inlineStr">
        <is>
          <t>Other channels (comment index)</t>
        </is>
      </c>
      <c r="C23" s="36" t="inlineStr"/>
      <c r="D23" s="36" t="inlineStr"/>
      <c r="E23" s="24" t="n">
        <v>1</v>
      </c>
      <c r="F23" s="24">
        <f>COUNTIF('Fears data'!$D$5:$D$1347,A23)</f>
        <v/>
      </c>
    </row>
    <row r="24">
      <c r="A24" s="36" t="inlineStr">
        <is>
          <t>GGw9XqiDCHo</t>
        </is>
      </c>
      <c r="B24" s="36" t="inlineStr">
        <is>
          <t>Other channels (comment index)</t>
        </is>
      </c>
      <c r="C24" s="36" t="inlineStr"/>
      <c r="D24" s="36" t="inlineStr"/>
      <c r="E24" s="24" t="n">
        <v>3</v>
      </c>
      <c r="F24" s="24">
        <f>COUNTIF('Fears data'!$D$5:$D$1347,A24)</f>
        <v/>
      </c>
    </row>
    <row r="25">
      <c r="A25" s="36" t="inlineStr">
        <is>
          <t>HVJZqA_wVlc</t>
        </is>
      </c>
      <c r="B25" s="36" t="inlineStr">
        <is>
          <t>Other channels (comment index)</t>
        </is>
      </c>
      <c r="C25" s="36" t="inlineStr"/>
      <c r="D25" s="36" t="inlineStr"/>
      <c r="E25" s="24" t="n">
        <v>2</v>
      </c>
      <c r="F25" s="24">
        <f>COUNTIF('Fears data'!$D$5:$D$1347,A25)</f>
        <v/>
      </c>
    </row>
    <row r="26">
      <c r="A26" s="36" t="inlineStr">
        <is>
          <t>KS9nNe_wrRQ</t>
        </is>
      </c>
      <c r="B26" s="36" t="inlineStr">
        <is>
          <t>Other channels (comment index)</t>
        </is>
      </c>
      <c r="C26" s="36" t="inlineStr"/>
      <c r="D26" s="36" t="inlineStr"/>
      <c r="E26" s="24" t="n">
        <v>2</v>
      </c>
      <c r="F26" s="24">
        <f>COUNTIF('Fears data'!$D$5:$D$1347,A26)</f>
        <v/>
      </c>
    </row>
    <row r="27">
      <c r="A27" s="36" t="inlineStr">
        <is>
          <t>MGFQHw1KOqQ</t>
        </is>
      </c>
      <c r="B27" s="36" t="inlineStr">
        <is>
          <t>Other channels (comment index)</t>
        </is>
      </c>
      <c r="C27" s="36" t="inlineStr"/>
      <c r="D27" s="36" t="inlineStr"/>
      <c r="E27" s="24" t="n">
        <v>1</v>
      </c>
      <c r="F27" s="24">
        <f>COUNTIF('Fears data'!$D$5:$D$1347,A27)</f>
        <v/>
      </c>
    </row>
    <row r="28">
      <c r="A28" s="36" t="inlineStr">
        <is>
          <t>OfNvlJvJUjQ</t>
        </is>
      </c>
      <c r="B28" s="36" t="inlineStr">
        <is>
          <t>Other channels (comment index)</t>
        </is>
      </c>
      <c r="C28" s="36" t="inlineStr"/>
      <c r="D28" s="36" t="inlineStr"/>
      <c r="E28" s="24" t="n">
        <v>1</v>
      </c>
      <c r="F28" s="24">
        <f>COUNTIF('Fears data'!$D$5:$D$1347,A28)</f>
        <v/>
      </c>
    </row>
    <row r="29">
      <c r="A29" s="36" t="inlineStr">
        <is>
          <t>PFay5n6U4mI</t>
        </is>
      </c>
      <c r="B29" s="36" t="inlineStr">
        <is>
          <t>Other channels (comment index)</t>
        </is>
      </c>
      <c r="C29" s="36" t="inlineStr"/>
      <c r="D29" s="36" t="inlineStr"/>
      <c r="E29" s="24" t="n">
        <v>1</v>
      </c>
      <c r="F29" s="24">
        <f>COUNTIF('Fears data'!$D$5:$D$1347,A29)</f>
        <v/>
      </c>
    </row>
    <row r="30">
      <c r="A30" s="36" t="inlineStr">
        <is>
          <t>PbtMGe-Fc9c</t>
        </is>
      </c>
      <c r="B30" s="36" t="inlineStr">
        <is>
          <t>Other channels (comment index)</t>
        </is>
      </c>
      <c r="C30" s="36" t="inlineStr"/>
      <c r="D30" s="36" t="inlineStr"/>
      <c r="E30" s="24" t="n">
        <v>1</v>
      </c>
      <c r="F30" s="24">
        <f>COUNTIF('Fears data'!$D$5:$D$1347,A30)</f>
        <v/>
      </c>
    </row>
    <row r="31">
      <c r="A31" s="36" t="inlineStr">
        <is>
          <t>QP1vBT5HmNs</t>
        </is>
      </c>
      <c r="B31" s="36" t="inlineStr">
        <is>
          <t>Other channels (comment index)</t>
        </is>
      </c>
      <c r="C31" s="36" t="inlineStr"/>
      <c r="D31" s="36" t="inlineStr"/>
      <c r="E31" s="24" t="n">
        <v>1</v>
      </c>
      <c r="F31" s="24">
        <f>COUNTIF('Fears data'!$D$5:$D$1347,A31)</f>
        <v/>
      </c>
    </row>
    <row r="32">
      <c r="A32" s="36" t="inlineStr">
        <is>
          <t>QR3zUutNa3Y</t>
        </is>
      </c>
      <c r="B32" s="36" t="inlineStr">
        <is>
          <t>Channels Television</t>
        </is>
      </c>
      <c r="C32" s="36" t="inlineStr">
        <is>
          <t>2023: 48% Of Results On IREV Portal Did Not Come From BVAS Machine - Expert | The Morning Brief</t>
        </is>
      </c>
      <c r="D32" s="36" t="inlineStr">
        <is>
          <t>2026-09-15</t>
        </is>
      </c>
      <c r="E32" s="24" t="n">
        <v>128</v>
      </c>
      <c r="F32" s="24">
        <f>COUNTIF('Fears data'!$D$5:$D$1347,A32)</f>
        <v/>
      </c>
    </row>
    <row r="33">
      <c r="A33" s="36" t="inlineStr">
        <is>
          <t>QiXataJujpY</t>
        </is>
      </c>
      <c r="B33" s="36" t="inlineStr">
        <is>
          <t>Other channels (comment index)</t>
        </is>
      </c>
      <c r="C33" s="36" t="inlineStr"/>
      <c r="D33" s="36" t="inlineStr"/>
      <c r="E33" s="24" t="n">
        <v>1</v>
      </c>
      <c r="F33" s="24">
        <f>COUNTIF('Fears data'!$D$5:$D$1347,A33)</f>
        <v/>
      </c>
    </row>
    <row r="34">
      <c r="A34" s="36" t="inlineStr">
        <is>
          <t>Rw3H4704JBk</t>
        </is>
      </c>
      <c r="B34" s="36" t="inlineStr">
        <is>
          <t>Other channels (comment index)</t>
        </is>
      </c>
      <c r="C34" s="36" t="inlineStr"/>
      <c r="D34" s="36" t="inlineStr"/>
      <c r="E34" s="24" t="n">
        <v>1</v>
      </c>
      <c r="F34" s="24">
        <f>COUNTIF('Fears data'!$D$5:$D$1347,A34)</f>
        <v/>
      </c>
    </row>
    <row r="35">
      <c r="A35" s="36" t="inlineStr">
        <is>
          <t>Siagvz8Rh3s</t>
        </is>
      </c>
      <c r="B35" s="36" t="inlineStr">
        <is>
          <t>Arise News</t>
        </is>
      </c>
      <c r="C35" s="36" t="inlineStr">
        <is>
          <t>Sections 63, 138 of Electoral Act Dangerous, Sabotage Voting at Polling Level - Igini</t>
        </is>
      </c>
      <c r="D35" s="36" t="inlineStr">
        <is>
          <t>2026-04-22</t>
        </is>
      </c>
      <c r="E35" s="24" t="n">
        <v>159</v>
      </c>
      <c r="F35" s="24">
        <f>COUNTIF('Fears data'!$D$5:$D$1347,A35)</f>
        <v/>
      </c>
    </row>
    <row r="36">
      <c r="A36" s="36" t="inlineStr">
        <is>
          <t>SkRR82GBxWc</t>
        </is>
      </c>
      <c r="B36" s="36" t="inlineStr">
        <is>
          <t>Other channels (comment index)</t>
        </is>
      </c>
      <c r="C36" s="36" t="inlineStr"/>
      <c r="D36" s="36" t="inlineStr"/>
      <c r="E36" s="24" t="n">
        <v>2</v>
      </c>
      <c r="F36" s="24">
        <f>COUNTIF('Fears data'!$D$5:$D$1347,A36)</f>
        <v/>
      </c>
    </row>
    <row r="37">
      <c r="A37" s="36" t="inlineStr">
        <is>
          <t>T5Bw4cASDzk</t>
        </is>
      </c>
      <c r="B37" s="36" t="inlineStr">
        <is>
          <t>Other channels (comment index)</t>
        </is>
      </c>
      <c r="C37" s="36" t="inlineStr"/>
      <c r="D37" s="36" t="inlineStr"/>
      <c r="E37" s="24" t="n">
        <v>3</v>
      </c>
      <c r="F37" s="24">
        <f>COUNTIF('Fears data'!$D$5:$D$1347,A37)</f>
        <v/>
      </c>
    </row>
    <row r="38">
      <c r="A38" s="36" t="inlineStr">
        <is>
          <t>VQ_Km_CnMOk</t>
        </is>
      </c>
      <c r="B38" s="36" t="inlineStr">
        <is>
          <t>Other channels (comment index)</t>
        </is>
      </c>
      <c r="C38" s="36" t="inlineStr"/>
      <c r="D38" s="36" t="inlineStr"/>
      <c r="E38" s="24" t="n">
        <v>1</v>
      </c>
      <c r="F38" s="24">
        <f>COUNTIF('Fears data'!$D$5:$D$1347,A38)</f>
        <v/>
      </c>
    </row>
    <row r="39">
      <c r="A39" s="36" t="inlineStr">
        <is>
          <t>WIsZmOVRMHg</t>
        </is>
      </c>
      <c r="B39" s="36" t="inlineStr">
        <is>
          <t>Channels Television</t>
        </is>
      </c>
      <c r="C39" s="36" t="inlineStr">
        <is>
          <t>2027: Why INEC Cannot Transmit Results Electronically</t>
        </is>
      </c>
      <c r="D39" s="36" t="inlineStr">
        <is>
          <t>2026-02-09</t>
        </is>
      </c>
      <c r="E39" s="24" t="n">
        <v>107</v>
      </c>
      <c r="F39" s="24">
        <f>COUNTIF('Fears data'!$D$5:$D$1347,A39)</f>
        <v/>
      </c>
    </row>
    <row r="40">
      <c r="A40" s="36" t="inlineStr">
        <is>
          <t>YwHx_tFdKZ0</t>
        </is>
      </c>
      <c r="B40" s="36" t="inlineStr">
        <is>
          <t>Other channels (comment index)</t>
        </is>
      </c>
      <c r="C40" s="36" t="inlineStr"/>
      <c r="D40" s="36" t="inlineStr"/>
      <c r="E40" s="24" t="n">
        <v>1</v>
      </c>
      <c r="F40" s="24">
        <f>COUNTIF('Fears data'!$D$5:$D$1347,A40)</f>
        <v/>
      </c>
    </row>
    <row r="41">
      <c r="A41" s="36" t="inlineStr">
        <is>
          <t>Zfo8UjHjys4</t>
        </is>
      </c>
      <c r="B41" s="36" t="inlineStr">
        <is>
          <t>Other channels (comment index)</t>
        </is>
      </c>
      <c r="C41" s="36" t="inlineStr"/>
      <c r="D41" s="36" t="inlineStr"/>
      <c r="E41" s="24" t="n">
        <v>2</v>
      </c>
      <c r="F41" s="24">
        <f>COUNTIF('Fears data'!$D$5:$D$1347,A41)</f>
        <v/>
      </c>
    </row>
    <row r="42">
      <c r="A42" s="36" t="inlineStr">
        <is>
          <t>_FSRLydW3Gs</t>
        </is>
      </c>
      <c r="B42" s="36" t="inlineStr">
        <is>
          <t>Other channels (comment index)</t>
        </is>
      </c>
      <c r="C42" s="36" t="inlineStr"/>
      <c r="D42" s="36" t="inlineStr"/>
      <c r="E42" s="24" t="n">
        <v>3</v>
      </c>
      <c r="F42" s="24">
        <f>COUNTIF('Fears data'!$D$5:$D$1347,A42)</f>
        <v/>
      </c>
    </row>
    <row r="43">
      <c r="A43" s="36" t="inlineStr">
        <is>
          <t>aaXDxtTHXEw</t>
        </is>
      </c>
      <c r="B43" s="36" t="inlineStr">
        <is>
          <t>Other channels (comment index)</t>
        </is>
      </c>
      <c r="C43" s="36" t="inlineStr"/>
      <c r="D43" s="36" t="inlineStr"/>
      <c r="E43" s="24" t="n">
        <v>3</v>
      </c>
      <c r="F43" s="24">
        <f>COUNTIF('Fears data'!$D$5:$D$1347,A43)</f>
        <v/>
      </c>
    </row>
    <row r="44">
      <c r="A44" s="36" t="inlineStr">
        <is>
          <t>aokYbF4nXBU</t>
        </is>
      </c>
      <c r="B44" s="36" t="inlineStr">
        <is>
          <t>Other channels (comment index)</t>
        </is>
      </c>
      <c r="C44" s="36" t="inlineStr"/>
      <c r="D44" s="36" t="inlineStr"/>
      <c r="E44" s="24" t="n">
        <v>1</v>
      </c>
      <c r="F44" s="24">
        <f>COUNTIF('Fears data'!$D$5:$D$1347,A44)</f>
        <v/>
      </c>
    </row>
    <row r="45">
      <c r="A45" s="36" t="inlineStr">
        <is>
          <t>c-kC2iIwdAg</t>
        </is>
      </c>
      <c r="B45" s="36" t="inlineStr">
        <is>
          <t>Other channels (comment index)</t>
        </is>
      </c>
      <c r="C45" s="36" t="inlineStr"/>
      <c r="D45" s="36" t="inlineStr"/>
      <c r="E45" s="24" t="n">
        <v>1</v>
      </c>
      <c r="F45" s="24">
        <f>COUNTIF('Fears data'!$D$5:$D$1347,A45)</f>
        <v/>
      </c>
    </row>
    <row r="46">
      <c r="A46" s="36" t="inlineStr">
        <is>
          <t>cFwq8V7STl0</t>
        </is>
      </c>
      <c r="B46" s="36" t="inlineStr">
        <is>
          <t>Other channels (comment index)</t>
        </is>
      </c>
      <c r="C46" s="36" t="inlineStr"/>
      <c r="D46" s="36" t="inlineStr"/>
      <c r="E46" s="24" t="n">
        <v>1</v>
      </c>
      <c r="F46" s="24">
        <f>COUNTIF('Fears data'!$D$5:$D$1347,A46)</f>
        <v/>
      </c>
    </row>
    <row r="47">
      <c r="A47" s="36" t="inlineStr">
        <is>
          <t>clWGFSxABKQ</t>
        </is>
      </c>
      <c r="B47" s="36" t="inlineStr">
        <is>
          <t>Other channels (comment index)</t>
        </is>
      </c>
      <c r="C47" s="36" t="inlineStr"/>
      <c r="D47" s="36" t="inlineStr"/>
      <c r="E47" s="24" t="n">
        <v>1</v>
      </c>
      <c r="F47" s="24">
        <f>COUNTIF('Fears data'!$D$5:$D$1347,A47)</f>
        <v/>
      </c>
    </row>
    <row r="48">
      <c r="A48" s="36" t="inlineStr">
        <is>
          <t>fJVYBkBlbDM</t>
        </is>
      </c>
      <c r="B48" s="36" t="inlineStr">
        <is>
          <t>Other channels (comment index)</t>
        </is>
      </c>
      <c r="C48" s="36" t="inlineStr"/>
      <c r="D48" s="36" t="inlineStr"/>
      <c r="E48" s="24" t="n">
        <v>1</v>
      </c>
      <c r="F48" s="24">
        <f>COUNTIF('Fears data'!$D$5:$D$1347,A48)</f>
        <v/>
      </c>
    </row>
    <row r="49">
      <c r="A49" s="36" t="inlineStr">
        <is>
          <t>fQ8FDQn4go0</t>
        </is>
      </c>
      <c r="B49" s="36" t="inlineStr">
        <is>
          <t>Channels Television</t>
        </is>
      </c>
      <c r="C49" s="36" t="inlineStr">
        <is>
          <t>INEC Should Have Thrown Out Petition For My Recall Long Ago — Natasha | Politics Today</t>
        </is>
      </c>
      <c r="D49" s="36" t="inlineStr">
        <is>
          <t>2025-04-03</t>
        </is>
      </c>
      <c r="E49" s="24" t="n">
        <v>199</v>
      </c>
      <c r="F49" s="24">
        <f>COUNTIF('Fears data'!$D$5:$D$1347,A49)</f>
        <v/>
      </c>
    </row>
    <row r="50">
      <c r="A50" s="36" t="inlineStr">
        <is>
          <t>facebook:Facebook search: INEC 2027</t>
        </is>
      </c>
      <c r="B50" s="36" t="inlineStr">
        <is>
          <t>Other channels (comment index)</t>
        </is>
      </c>
      <c r="C50" s="36" t="inlineStr"/>
      <c r="D50" s="36" t="inlineStr"/>
      <c r="E50" s="24" t="n">
        <v>29</v>
      </c>
      <c r="F50" s="24">
        <f>COUNTIF('Fears data'!$D$5:$D$1347,A50)</f>
        <v/>
      </c>
    </row>
    <row r="51">
      <c r="A51" s="36" t="inlineStr">
        <is>
          <t>facebook:Facebook search: INEC BVAS 2027</t>
        </is>
      </c>
      <c r="B51" s="36" t="inlineStr">
        <is>
          <t>Other channels (comment index)</t>
        </is>
      </c>
      <c r="C51" s="36" t="inlineStr"/>
      <c r="D51" s="36" t="inlineStr"/>
      <c r="E51" s="24" t="n">
        <v>78</v>
      </c>
      <c r="F51" s="24">
        <f>COUNTIF('Fears data'!$D$5:$D$1347,A51)</f>
        <v/>
      </c>
    </row>
    <row r="52">
      <c r="A52" s="36" t="inlineStr">
        <is>
          <t>facebook:INEC Nigeria</t>
        </is>
      </c>
      <c r="B52" s="36" t="inlineStr">
        <is>
          <t>Other channels (comment index)</t>
        </is>
      </c>
      <c r="C52" s="36" t="inlineStr"/>
      <c r="D52" s="36" t="inlineStr"/>
      <c r="E52" s="24" t="n">
        <v>135</v>
      </c>
      <c r="F52" s="24">
        <f>COUNTIF('Fears data'!$D$5:$D$1347,A52)</f>
        <v/>
      </c>
    </row>
    <row r="53">
      <c r="A53" s="36" t="inlineStr">
        <is>
          <t>gRfJwu2R4bA</t>
        </is>
      </c>
      <c r="B53" s="36" t="inlineStr">
        <is>
          <t>Other channels (comment index)</t>
        </is>
      </c>
      <c r="C53" s="36" t="inlineStr"/>
      <c r="D53" s="36" t="inlineStr"/>
      <c r="E53" s="24" t="n">
        <v>1</v>
      </c>
      <c r="F53" s="24">
        <f>COUNTIF('Fears data'!$D$5:$D$1347,A53)</f>
        <v/>
      </c>
    </row>
    <row r="54">
      <c r="A54" s="36" t="inlineStr">
        <is>
          <t>hc2D0qbno-U</t>
        </is>
      </c>
      <c r="B54" s="36" t="inlineStr">
        <is>
          <t>Other channels (comment index)</t>
        </is>
      </c>
      <c r="C54" s="36" t="inlineStr"/>
      <c r="D54" s="36" t="inlineStr"/>
      <c r="E54" s="24" t="n">
        <v>1</v>
      </c>
      <c r="F54" s="24">
        <f>COUNTIF('Fears data'!$D$5:$D$1347,A54)</f>
        <v/>
      </c>
    </row>
    <row r="55">
      <c r="A55" s="36" t="inlineStr">
        <is>
          <t>hm7tBj0RCPE</t>
        </is>
      </c>
      <c r="B55" s="36" t="inlineStr">
        <is>
          <t>Other channels (comment index)</t>
        </is>
      </c>
      <c r="C55" s="36" t="inlineStr"/>
      <c r="D55" s="36" t="inlineStr"/>
      <c r="E55" s="24" t="n">
        <v>1</v>
      </c>
      <c r="F55" s="24">
        <f>COUNTIF('Fears data'!$D$5:$D$1347,A55)</f>
        <v/>
      </c>
    </row>
    <row r="56">
      <c r="A56" s="36" t="inlineStr">
        <is>
          <t>instagram:Instagram search: INEC 2027</t>
        </is>
      </c>
      <c r="B56" s="36" t="inlineStr">
        <is>
          <t>Other channels (comment index)</t>
        </is>
      </c>
      <c r="C56" s="36" t="inlineStr"/>
      <c r="D56" s="36" t="inlineStr"/>
      <c r="E56" s="24" t="n">
        <v>73</v>
      </c>
      <c r="F56" s="24">
        <f>COUNTIF('Fears data'!$D$5:$D$1347,A56)</f>
        <v/>
      </c>
    </row>
    <row r="57">
      <c r="A57" s="36" t="inlineStr">
        <is>
          <t>instagram:Instagram search: IReV</t>
        </is>
      </c>
      <c r="B57" s="36" t="inlineStr">
        <is>
          <t>Other channels (comment index)</t>
        </is>
      </c>
      <c r="C57" s="36" t="inlineStr"/>
      <c r="D57" s="36" t="inlineStr"/>
      <c r="E57" s="24" t="n">
        <v>53</v>
      </c>
      <c r="F57" s="24">
        <f>COUNTIF('Fears data'!$D$5:$D$1347,A57)</f>
        <v/>
      </c>
    </row>
    <row r="58">
      <c r="A58" s="36" t="inlineStr">
        <is>
          <t>instagram:Instagram search: Osun election</t>
        </is>
      </c>
      <c r="B58" s="36" t="inlineStr">
        <is>
          <t>Other channels (comment index)</t>
        </is>
      </c>
      <c r="C58" s="36" t="inlineStr"/>
      <c r="D58" s="36" t="inlineStr"/>
      <c r="E58" s="24" t="n">
        <v>7</v>
      </c>
      <c r="F58" s="24">
        <f>COUNTIF('Fears data'!$D$5:$D$1347,A58)</f>
        <v/>
      </c>
    </row>
    <row r="59">
      <c r="A59" s="36" t="inlineStr">
        <is>
          <t>instagram:Instagram: barristerstreet</t>
        </is>
      </c>
      <c r="B59" s="36" t="inlineStr">
        <is>
          <t>Other channels (comment index)</t>
        </is>
      </c>
      <c r="C59" s="36" t="inlineStr"/>
      <c r="D59" s="36" t="inlineStr"/>
      <c r="E59" s="24" t="n">
        <v>47</v>
      </c>
      <c r="F59" s="24">
        <f>COUNTIF('Fears data'!$D$5:$D$1347,A59)</f>
        <v/>
      </c>
    </row>
    <row r="60">
      <c r="A60" s="36" t="inlineStr">
        <is>
          <t>instagram:Instagram: dataphyteng</t>
        </is>
      </c>
      <c r="B60" s="36" t="inlineStr">
        <is>
          <t>Other channels (comment index)</t>
        </is>
      </c>
      <c r="C60" s="36" t="inlineStr"/>
      <c r="D60" s="36" t="inlineStr"/>
      <c r="E60" s="24" t="n">
        <v>48</v>
      </c>
      <c r="F60" s="24">
        <f>COUNTIF('Fears data'!$D$5:$D$1347,A60)</f>
        <v/>
      </c>
    </row>
    <row r="61">
      <c r="A61" s="36" t="inlineStr">
        <is>
          <t>instagram:Instagram: gossipmilltv</t>
        </is>
      </c>
      <c r="B61" s="36" t="inlineStr">
        <is>
          <t>Other channels (comment index)</t>
        </is>
      </c>
      <c r="C61" s="36" t="inlineStr"/>
      <c r="D61" s="36" t="inlineStr"/>
      <c r="E61" s="24" t="n">
        <v>15</v>
      </c>
      <c r="F61" s="24">
        <f>COUNTIF('Fears data'!$D$5:$D$1347,A61)</f>
        <v/>
      </c>
    </row>
    <row r="62">
      <c r="A62" s="36" t="inlineStr">
        <is>
          <t>instagram:Instagram: inecnigeria</t>
        </is>
      </c>
      <c r="B62" s="36" t="inlineStr">
        <is>
          <t>Other channels (comment index)</t>
        </is>
      </c>
      <c r="C62" s="36" t="inlineStr"/>
      <c r="D62" s="36" t="inlineStr"/>
      <c r="E62" s="24" t="n">
        <v>5</v>
      </c>
      <c r="F62" s="24">
        <f>COUNTIF('Fears data'!$D$5:$D$1347,A62)</f>
        <v/>
      </c>
    </row>
    <row r="63">
      <c r="A63" s="36" t="inlineStr">
        <is>
          <t>instagram:Instagram: lagos_events</t>
        </is>
      </c>
      <c r="B63" s="36" t="inlineStr">
        <is>
          <t>Other channels (comment index)</t>
        </is>
      </c>
      <c r="C63" s="36" t="inlineStr"/>
      <c r="D63" s="36" t="inlineStr"/>
      <c r="E63" s="24" t="n">
        <v>16</v>
      </c>
      <c r="F63" s="24">
        <f>COUNTIF('Fears data'!$D$5:$D$1347,A63)</f>
        <v/>
      </c>
    </row>
    <row r="64">
      <c r="A64" s="36" t="inlineStr">
        <is>
          <t>instagram:Instagram: mazitundeednut</t>
        </is>
      </c>
      <c r="B64" s="36" t="inlineStr">
        <is>
          <t>Other channels (comment index)</t>
        </is>
      </c>
      <c r="C64" s="36" t="inlineStr"/>
      <c r="D64" s="36" t="inlineStr"/>
      <c r="E64" s="24" t="n">
        <v>457</v>
      </c>
      <c r="F64" s="24">
        <f>COUNTIF('Fears data'!$D$5:$D$1347,A64)</f>
        <v/>
      </c>
    </row>
    <row r="65">
      <c r="A65" s="36" t="inlineStr">
        <is>
          <t>instagram:Instagram: mojidelanotv</t>
        </is>
      </c>
      <c r="B65" s="36" t="inlineStr">
        <is>
          <t>Other channels (comment index)</t>
        </is>
      </c>
      <c r="C65" s="36" t="inlineStr"/>
      <c r="D65" s="36" t="inlineStr"/>
      <c r="E65" s="24" t="n">
        <v>76</v>
      </c>
      <c r="F65" s="24">
        <f>COUNTIF('Fears data'!$D$5:$D$1347,A65)</f>
        <v/>
      </c>
    </row>
    <row r="66">
      <c r="A66" s="36" t="inlineStr">
        <is>
          <t>instagram:Instagram: pulsenigeria247</t>
        </is>
      </c>
      <c r="B66" s="36" t="inlineStr">
        <is>
          <t>Other channels (comment index)</t>
        </is>
      </c>
      <c r="C66" s="36" t="inlineStr"/>
      <c r="D66" s="36" t="inlineStr"/>
      <c r="E66" s="24" t="n">
        <v>30</v>
      </c>
      <c r="F66" s="24">
        <f>COUNTIF('Fears data'!$D$5:$D$1347,A66)</f>
        <v/>
      </c>
    </row>
    <row r="67">
      <c r="A67" s="36" t="inlineStr">
        <is>
          <t>instagram:Instagram: remedyblog</t>
        </is>
      </c>
      <c r="B67" s="36" t="inlineStr">
        <is>
          <t>Other channels (comment index)</t>
        </is>
      </c>
      <c r="C67" s="36" t="inlineStr"/>
      <c r="D67" s="36" t="inlineStr"/>
      <c r="E67" s="24" t="n">
        <v>40</v>
      </c>
      <c r="F67" s="24">
        <f>COUNTIF('Fears data'!$D$5:$D$1347,A67)</f>
        <v/>
      </c>
    </row>
    <row r="68">
      <c r="A68" s="36" t="inlineStr">
        <is>
          <t>instagram:Instagram: voteredung</t>
        </is>
      </c>
      <c r="B68" s="36" t="inlineStr">
        <is>
          <t>Other channels (comment index)</t>
        </is>
      </c>
      <c r="C68" s="36" t="inlineStr"/>
      <c r="D68" s="36" t="inlineStr"/>
      <c r="E68" s="24" t="n">
        <v>40</v>
      </c>
      <c r="F68" s="24">
        <f>COUNTIF('Fears data'!$D$5:$D$1347,A68)</f>
        <v/>
      </c>
    </row>
    <row r="69">
      <c r="A69" s="36" t="inlineStr">
        <is>
          <t>jUM-Rb9zcdk</t>
        </is>
      </c>
      <c r="B69" s="36" t="inlineStr">
        <is>
          <t>Other channels (comment index)</t>
        </is>
      </c>
      <c r="C69" s="36" t="inlineStr"/>
      <c r="D69" s="36" t="inlineStr"/>
      <c r="E69" s="24" t="n">
        <v>1</v>
      </c>
      <c r="F69" s="24">
        <f>COUNTIF('Fears data'!$D$5:$D$1347,A69)</f>
        <v/>
      </c>
    </row>
    <row r="70">
      <c r="A70" s="36" t="inlineStr">
        <is>
          <t>jnEll1PAF7Y</t>
        </is>
      </c>
      <c r="B70" s="36" t="inlineStr">
        <is>
          <t>Other channels (comment index)</t>
        </is>
      </c>
      <c r="C70" s="36" t="inlineStr"/>
      <c r="D70" s="36" t="inlineStr"/>
      <c r="E70" s="24" t="n">
        <v>1</v>
      </c>
      <c r="F70" s="24">
        <f>COUNTIF('Fears data'!$D$5:$D$1347,A70)</f>
        <v/>
      </c>
    </row>
    <row r="71">
      <c r="A71" s="36" t="inlineStr">
        <is>
          <t>jqWTxRQF4us</t>
        </is>
      </c>
      <c r="B71" s="36" t="inlineStr">
        <is>
          <t>Other channels (comment index)</t>
        </is>
      </c>
      <c r="C71" s="36" t="inlineStr"/>
      <c r="D71" s="36" t="inlineStr"/>
      <c r="E71" s="24" t="n">
        <v>1</v>
      </c>
      <c r="F71" s="24">
        <f>COUNTIF('Fears data'!$D$5:$D$1347,A71)</f>
        <v/>
      </c>
    </row>
    <row r="72">
      <c r="A72" s="36" t="inlineStr">
        <is>
          <t>l3lIjD8mmW8</t>
        </is>
      </c>
      <c r="B72" s="36" t="inlineStr">
        <is>
          <t>Other channels (comment index)</t>
        </is>
      </c>
      <c r="C72" s="36" t="inlineStr"/>
      <c r="D72" s="36" t="inlineStr"/>
      <c r="E72" s="24" t="n">
        <v>3</v>
      </c>
      <c r="F72" s="24">
        <f>COUNTIF('Fears data'!$D$5:$D$1347,A72)</f>
        <v/>
      </c>
    </row>
    <row r="73">
      <c r="A73" s="36" t="inlineStr">
        <is>
          <t>mHBlRZJSYE8</t>
        </is>
      </c>
      <c r="B73" s="36" t="inlineStr">
        <is>
          <t>Other channels (comment index)</t>
        </is>
      </c>
      <c r="C73" s="36" t="inlineStr"/>
      <c r="D73" s="36" t="inlineStr"/>
      <c r="E73" s="24" t="n">
        <v>2</v>
      </c>
      <c r="F73" s="24">
        <f>COUNTIF('Fears data'!$D$5:$D$1347,A73)</f>
        <v/>
      </c>
    </row>
    <row r="74">
      <c r="A74" s="36" t="inlineStr">
        <is>
          <t>mPUVSnjYB5g</t>
        </is>
      </c>
      <c r="B74" s="36" t="inlineStr">
        <is>
          <t>Other channels (comment index)</t>
        </is>
      </c>
      <c r="C74" s="36" t="inlineStr"/>
      <c r="D74" s="36" t="inlineStr"/>
      <c r="E74" s="24" t="n">
        <v>1</v>
      </c>
      <c r="F74" s="24">
        <f>COUNTIF('Fears data'!$D$5:$D$1347,A74)</f>
        <v/>
      </c>
    </row>
    <row r="75">
      <c r="A75" s="36" t="inlineStr">
        <is>
          <t>nOg-CRdHq4E</t>
        </is>
      </c>
      <c r="B75" s="36" t="inlineStr">
        <is>
          <t>Other channels (comment index)</t>
        </is>
      </c>
      <c r="C75" s="36" t="inlineStr"/>
      <c r="D75" s="36" t="inlineStr"/>
      <c r="E75" s="24" t="n">
        <v>1</v>
      </c>
      <c r="F75" s="24">
        <f>COUNTIF('Fears data'!$D$5:$D$1347,A75)</f>
        <v/>
      </c>
    </row>
    <row r="76">
      <c r="A76" s="36" t="inlineStr">
        <is>
          <t>nXvXA7zGNR4</t>
        </is>
      </c>
      <c r="B76" s="36" t="inlineStr">
        <is>
          <t>Other channels (comment index)</t>
        </is>
      </c>
      <c r="C76" s="36" t="inlineStr"/>
      <c r="D76" s="36" t="inlineStr"/>
      <c r="E76" s="24" t="n">
        <v>1</v>
      </c>
      <c r="F76" s="24">
        <f>COUNTIF('Fears data'!$D$5:$D$1347,A76)</f>
        <v/>
      </c>
    </row>
    <row r="77">
      <c r="A77" s="36" t="inlineStr">
        <is>
          <t>nairaland:Nairaland</t>
        </is>
      </c>
      <c r="B77" s="36" t="inlineStr">
        <is>
          <t>Other channels (comment index)</t>
        </is>
      </c>
      <c r="C77" s="36" t="inlineStr"/>
      <c r="D77" s="36" t="inlineStr"/>
      <c r="E77" s="24" t="n">
        <v>807</v>
      </c>
      <c r="F77" s="24">
        <f>COUNTIF('Fears data'!$D$5:$D$1347,A77)</f>
        <v/>
      </c>
    </row>
    <row r="78">
      <c r="A78" s="36" t="inlineStr">
        <is>
          <t>ntL2y3cDCqA</t>
        </is>
      </c>
      <c r="B78" s="36" t="inlineStr">
        <is>
          <t>Other channels (comment index)</t>
        </is>
      </c>
      <c r="C78" s="36" t="inlineStr"/>
      <c r="D78" s="36" t="inlineStr"/>
      <c r="E78" s="24" t="n">
        <v>1</v>
      </c>
      <c r="F78" s="24">
        <f>COUNTIF('Fears data'!$D$5:$D$1347,A78)</f>
        <v/>
      </c>
    </row>
    <row r="79">
      <c r="A79" s="36" t="inlineStr">
        <is>
          <t>rBjasEsAXAw</t>
        </is>
      </c>
      <c r="B79" s="36" t="inlineStr">
        <is>
          <t xml:space="preserve">DonAza </t>
        </is>
      </c>
      <c r="C79" s="36" t="inlineStr">
        <is>
          <t>SHOCKER: INEC DEFEATED! Court Stops 2027 Election Deadline Rules — Political Parties Win Big</t>
        </is>
      </c>
      <c r="D79" s="36" t="inlineStr">
        <is>
          <t>2026-05-21</t>
        </is>
      </c>
      <c r="E79" s="24" t="n">
        <v>165</v>
      </c>
      <c r="F79" s="24">
        <f>COUNTIF('Fears data'!$D$5:$D$1347,A79)</f>
        <v/>
      </c>
    </row>
    <row r="80">
      <c r="A80" s="36" t="inlineStr">
        <is>
          <t>rFMEC0nGzXA</t>
        </is>
      </c>
      <c r="B80" s="36" t="inlineStr">
        <is>
          <t>VERYDARKBLACKMAN</t>
        </is>
      </c>
      <c r="C80" s="36" t="inlineStr">
        <is>
          <t xml:space="preserve">The inec chairman is already rigging the election in favor of tinubu even before the election date </t>
        </is>
      </c>
      <c r="D80" s="36" t="inlineStr">
        <is>
          <t>2026-06-03</t>
        </is>
      </c>
      <c r="E80" s="24" t="n">
        <v>161</v>
      </c>
      <c r="F80" s="24">
        <f>COUNTIF('Fears data'!$D$5:$D$1347,A80)</f>
        <v/>
      </c>
    </row>
    <row r="81">
      <c r="A81" s="36" t="inlineStr">
        <is>
          <t>shRfupgHvcY</t>
        </is>
      </c>
      <c r="B81" s="36" t="inlineStr">
        <is>
          <t>Other channels (comment index)</t>
        </is>
      </c>
      <c r="C81" s="36" t="inlineStr"/>
      <c r="D81" s="36" t="inlineStr"/>
      <c r="E81" s="24" t="n">
        <v>2</v>
      </c>
      <c r="F81" s="24">
        <f>COUNTIF('Fears data'!$D$5:$D$1347,A81)</f>
        <v/>
      </c>
    </row>
    <row r="82">
      <c r="A82" s="36" t="inlineStr">
        <is>
          <t>tpDxmF7E38w</t>
        </is>
      </c>
      <c r="B82" s="36" t="inlineStr">
        <is>
          <t>Other channels (comment index)</t>
        </is>
      </c>
      <c r="C82" s="36" t="inlineStr"/>
      <c r="D82" s="36" t="inlineStr"/>
      <c r="E82" s="24" t="n">
        <v>1</v>
      </c>
      <c r="F82" s="24">
        <f>COUNTIF('Fears data'!$D$5:$D$1347,A82)</f>
        <v/>
      </c>
    </row>
    <row r="83">
      <c r="A83" s="36" t="inlineStr">
        <is>
          <t>tu9EKYnpJTY</t>
        </is>
      </c>
      <c r="B83" s="36" t="inlineStr">
        <is>
          <t>Other channels (comment index)</t>
        </is>
      </c>
      <c r="C83" s="36" t="inlineStr"/>
      <c r="D83" s="36" t="inlineStr"/>
      <c r="E83" s="24" t="n">
        <v>2</v>
      </c>
      <c r="F83" s="24">
        <f>COUNTIF('Fears data'!$D$5:$D$1347,A83)</f>
        <v/>
      </c>
    </row>
    <row r="84">
      <c r="A84" s="36" t="inlineStr">
        <is>
          <t>uYifD4eZPmU</t>
        </is>
      </c>
      <c r="B84" s="36" t="inlineStr">
        <is>
          <t>Other channels (comment index)</t>
        </is>
      </c>
      <c r="C84" s="36" t="inlineStr"/>
      <c r="D84" s="36" t="inlineStr"/>
      <c r="E84" s="24" t="n">
        <v>1</v>
      </c>
      <c r="F84" s="24">
        <f>COUNTIF('Fears data'!$D$5:$D$1347,A84)</f>
        <v/>
      </c>
    </row>
    <row r="85">
      <c r="A85" s="36" t="inlineStr">
        <is>
          <t>w3n6aaIKiLQ</t>
        </is>
      </c>
      <c r="B85" s="36" t="inlineStr">
        <is>
          <t>Other channels (comment index)</t>
        </is>
      </c>
      <c r="C85" s="36" t="inlineStr"/>
      <c r="D85" s="36" t="inlineStr"/>
      <c r="E85" s="24" t="n">
        <v>1</v>
      </c>
      <c r="F85" s="24">
        <f>COUNTIF('Fears data'!$D$5:$D$1347,A85)</f>
        <v/>
      </c>
    </row>
    <row r="86">
      <c r="A86" s="36" t="inlineStr">
        <is>
          <t>waCUHI_XnCc</t>
        </is>
      </c>
      <c r="B86" s="36" t="inlineStr">
        <is>
          <t>Other channels (comment index)</t>
        </is>
      </c>
      <c r="C86" s="36" t="inlineStr"/>
      <c r="D86" s="36" t="inlineStr"/>
      <c r="E86" s="24" t="n">
        <v>1</v>
      </c>
      <c r="F86" s="24">
        <f>COUNTIF('Fears data'!$D$5:$D$1347,A86)</f>
        <v/>
      </c>
    </row>
    <row r="87">
      <c r="A87" s="36" t="inlineStr">
        <is>
          <t>x:@inecnigeria (replies)</t>
        </is>
      </c>
      <c r="B87" s="36" t="inlineStr">
        <is>
          <t>Other channels (comment index)</t>
        </is>
      </c>
      <c r="C87" s="36" t="inlineStr"/>
      <c r="D87" s="36" t="inlineStr"/>
      <c r="E87" s="24" t="n">
        <v>136</v>
      </c>
      <c r="F87" s="24">
        <f>COUNTIF('Fears data'!$D$5:$D$1347,A87)</f>
        <v/>
      </c>
    </row>
    <row r="88">
      <c r="A88" s="36" t="inlineStr">
        <is>
          <t>x:X search (Top): BVAS INEC</t>
        </is>
      </c>
      <c r="B88" s="36" t="inlineStr">
        <is>
          <t>Other channels (comment index)</t>
        </is>
      </c>
      <c r="C88" s="36" t="inlineStr"/>
      <c r="D88" s="36" t="inlineStr"/>
      <c r="E88" s="24" t="n">
        <v>26</v>
      </c>
      <c r="F88" s="24">
        <f>COUNTIF('Fears data'!$D$5:$D$1347,A88)</f>
        <v/>
      </c>
    </row>
    <row r="89">
      <c r="A89" s="36" t="inlineStr">
        <is>
          <t>x:X search (Top): Edo election INEC rigged</t>
        </is>
      </c>
      <c r="B89" s="36" t="inlineStr">
        <is>
          <t>Other channels (comment index)</t>
        </is>
      </c>
      <c r="C89" s="36" t="inlineStr"/>
      <c r="D89" s="36" t="inlineStr"/>
      <c r="E89" s="24" t="n">
        <v>13</v>
      </c>
      <c r="F89" s="24">
        <f>COUNTIF('Fears data'!$D$5:$D$1347,A89)</f>
        <v/>
      </c>
    </row>
    <row r="90">
      <c r="A90" s="36" t="inlineStr">
        <is>
          <t>x:X search (Top): Ekiti governorship election INEC 2026</t>
        </is>
      </c>
      <c r="B90" s="36" t="inlineStr">
        <is>
          <t>Other channels (comment index)</t>
        </is>
      </c>
      <c r="C90" s="36" t="inlineStr"/>
      <c r="D90" s="36" t="inlineStr"/>
      <c r="E90" s="24" t="n">
        <v>16</v>
      </c>
      <c r="F90" s="24">
        <f>COUNTIF('Fears data'!$D$5:$D$1347,A90)</f>
        <v/>
      </c>
    </row>
    <row r="91">
      <c r="A91" s="36" t="inlineStr">
        <is>
          <t>x:X search (Top): Electoral Act 2026</t>
        </is>
      </c>
      <c r="B91" s="36" t="inlineStr">
        <is>
          <t>Other channels (comment index)</t>
        </is>
      </c>
      <c r="C91" s="36" t="inlineStr"/>
      <c r="D91" s="36" t="inlineStr"/>
      <c r="E91" s="24" t="n">
        <v>31</v>
      </c>
      <c r="F91" s="24">
        <f>COUNTIF('Fears data'!$D$5:$D$1347,A91)</f>
        <v/>
      </c>
    </row>
    <row r="92">
      <c r="A92" s="36" t="inlineStr">
        <is>
          <t>x:X search (Top): INEC 2027</t>
        </is>
      </c>
      <c r="B92" s="36" t="inlineStr">
        <is>
          <t>Other channels (comment index)</t>
        </is>
      </c>
      <c r="C92" s="36" t="inlineStr"/>
      <c r="D92" s="36" t="inlineStr"/>
      <c r="E92" s="24" t="n">
        <v>47</v>
      </c>
      <c r="F92" s="24">
        <f>COUNTIF('Fears data'!$D$5:$D$1347,A92)</f>
        <v/>
      </c>
    </row>
    <row r="93">
      <c r="A93" s="36" t="inlineStr">
        <is>
          <t>x:X search (Top): INEC AI results 2027</t>
        </is>
      </c>
      <c r="B93" s="36" t="inlineStr">
        <is>
          <t>Other channels (comment index)</t>
        </is>
      </c>
      <c r="C93" s="36" t="inlineStr"/>
      <c r="D93" s="36" t="inlineStr"/>
      <c r="E93" s="24" t="n">
        <v>16</v>
      </c>
      <c r="F93" s="24">
        <f>COUNTIF('Fears data'!$D$5:$D$1347,A93)</f>
        <v/>
      </c>
    </row>
    <row r="94">
      <c r="A94" s="36" t="inlineStr">
        <is>
          <t>x:X search (Top): Osun governorship election INEC rigging</t>
        </is>
      </c>
      <c r="B94" s="36" t="inlineStr">
        <is>
          <t>Other channels (comment index)</t>
        </is>
      </c>
      <c r="C94" s="36" t="inlineStr"/>
      <c r="D94" s="36" t="inlineStr"/>
      <c r="E94" s="24" t="n">
        <v>18</v>
      </c>
      <c r="F94" s="24">
        <f>COUNTIF('Fears data'!$D$5:$D$1347,A94)</f>
        <v/>
      </c>
    </row>
    <row r="95">
      <c r="A95" s="36" t="inlineStr">
        <is>
          <t>x:X search (Top): rig 2027 election</t>
        </is>
      </c>
      <c r="B95" s="36" t="inlineStr">
        <is>
          <t>Other channels (comment index)</t>
        </is>
      </c>
      <c r="C95" s="36" t="inlineStr"/>
      <c r="D95" s="36" t="inlineStr"/>
      <c r="E95" s="24" t="n">
        <v>33</v>
      </c>
      <c r="F95" s="24">
        <f>COUNTIF('Fears data'!$D$5:$D$1347,A95)</f>
        <v/>
      </c>
    </row>
    <row r="96">
      <c r="A96" s="36" t="inlineStr">
        <is>
          <t>x:X search (Top): tribunal election Nigeria</t>
        </is>
      </c>
      <c r="B96" s="36" t="inlineStr">
        <is>
          <t>Other channels (comment index)</t>
        </is>
      </c>
      <c r="C96" s="36" t="inlineStr"/>
      <c r="D96" s="36" t="inlineStr"/>
      <c r="E96" s="24" t="n">
        <v>14</v>
      </c>
      <c r="F96" s="24">
        <f>COUNTIF('Fears data'!$D$5:$D$1347,A96)</f>
        <v/>
      </c>
    </row>
    <row r="97">
      <c r="A97" s="36" t="inlineStr">
        <is>
          <t>x:X search (Top): vote buying 2027</t>
        </is>
      </c>
      <c r="B97" s="36" t="inlineStr">
        <is>
          <t>Other channels (comment index)</t>
        </is>
      </c>
      <c r="C97" s="36" t="inlineStr"/>
      <c r="D97" s="36" t="inlineStr"/>
      <c r="E97" s="24" t="n">
        <v>37</v>
      </c>
      <c r="F97" s="24">
        <f>COUNTIF('Fears data'!$D$5:$D$1347,A97)</f>
        <v/>
      </c>
    </row>
    <row r="98">
      <c r="A98" s="36" t="inlineStr">
        <is>
          <t>x:X search: Amupitan</t>
        </is>
      </c>
      <c r="B98" s="36" t="inlineStr">
        <is>
          <t>Other channels (comment index)</t>
        </is>
      </c>
      <c r="C98" s="36" t="inlineStr"/>
      <c r="D98" s="36" t="inlineStr"/>
      <c r="E98" s="24" t="n">
        <v>60</v>
      </c>
      <c r="F98" s="24">
        <f>COUNTIF('Fears data'!$D$5:$D$1347,A98)</f>
        <v/>
      </c>
    </row>
    <row r="99">
      <c r="A99" s="36" t="inlineStr">
        <is>
          <t>x:X search: INEC 2027</t>
        </is>
      </c>
      <c r="B99" s="36" t="inlineStr">
        <is>
          <t>Other channels (comment index)</t>
        </is>
      </c>
      <c r="C99" s="36" t="inlineStr"/>
      <c r="D99" s="36" t="inlineStr"/>
      <c r="E99" s="24" t="n">
        <v>44</v>
      </c>
      <c r="F99" s="24">
        <f>COUNTIF('Fears data'!$D$5:$D$1347,A99)</f>
        <v/>
      </c>
    </row>
    <row r="100">
      <c r="A100" s="36" t="inlineStr">
        <is>
          <t>x:X search: IReV</t>
        </is>
      </c>
      <c r="B100" s="36" t="inlineStr">
        <is>
          <t>Other channels (comment index)</t>
        </is>
      </c>
      <c r="C100" s="36" t="inlineStr"/>
      <c r="D100" s="36" t="inlineStr"/>
      <c r="E100" s="24" t="n">
        <v>71</v>
      </c>
      <c r="F100" s="24">
        <f>COUNTIF('Fears data'!$D$5:$D$1347,A100)</f>
        <v/>
      </c>
    </row>
    <row r="101">
      <c r="A101" s="36" t="inlineStr">
        <is>
          <t>x:X search: Nigeria election 2027 rigging</t>
        </is>
      </c>
      <c r="B101" s="36" t="inlineStr">
        <is>
          <t>Other channels (comment index)</t>
        </is>
      </c>
      <c r="C101" s="36" t="inlineStr"/>
      <c r="D101" s="36" t="inlineStr"/>
      <c r="E101" s="24" t="n">
        <v>40</v>
      </c>
      <c r="F101" s="24">
        <f>COUNTIF('Fears data'!$D$5:$D$1347,A101)</f>
        <v/>
      </c>
    </row>
    <row r="102">
      <c r="A102" s="36" t="inlineStr">
        <is>
          <t>x:X search: PVC collection INEC</t>
        </is>
      </c>
      <c r="B102" s="36" t="inlineStr">
        <is>
          <t>Other channels (comment index)</t>
        </is>
      </c>
      <c r="C102" s="36" t="inlineStr"/>
      <c r="D102" s="36" t="inlineStr"/>
      <c r="E102" s="24" t="n">
        <v>13</v>
      </c>
      <c r="F102" s="24">
        <f>COUNTIF('Fears data'!$D$5:$D$1347,A102)</f>
        <v/>
      </c>
    </row>
    <row r="103">
      <c r="A103" s="36" t="inlineStr">
        <is>
          <t>x:X search: collation INEC</t>
        </is>
      </c>
      <c r="B103" s="36" t="inlineStr">
        <is>
          <t>Other channels (comment index)</t>
        </is>
      </c>
      <c r="C103" s="36" t="inlineStr"/>
      <c r="D103" s="36" t="inlineStr"/>
      <c r="E103" s="24" t="n">
        <v>41</v>
      </c>
      <c r="F103" s="24">
        <f>COUNTIF('Fears data'!$D$5:$D$1347,A103)</f>
        <v/>
      </c>
    </row>
    <row r="104">
      <c r="A104" s="36" t="inlineStr">
        <is>
          <t>x:X search: electronic transmission results</t>
        </is>
      </c>
      <c r="B104" s="36" t="inlineStr">
        <is>
          <t>Other channels (comment index)</t>
        </is>
      </c>
      <c r="C104" s="36" t="inlineStr"/>
      <c r="D104" s="36" t="inlineStr"/>
      <c r="E104" s="24" t="n">
        <v>22</v>
      </c>
      <c r="F104" s="24">
        <f>COUNTIF('Fears data'!$D$5:$D$1347,A104)</f>
        <v/>
      </c>
    </row>
    <row r="105">
      <c r="A105" s="36" t="inlineStr">
        <is>
          <t>xwWC_0aUcDY</t>
        </is>
      </c>
      <c r="B105" s="36" t="inlineStr">
        <is>
          <t>Other channels (comment index)</t>
        </is>
      </c>
      <c r="C105" s="36" t="inlineStr"/>
      <c r="D105" s="36" t="inlineStr"/>
      <c r="E105" s="24" t="n">
        <v>1</v>
      </c>
      <c r="F105" s="24">
        <f>COUNTIF('Fears data'!$D$5:$D$1347,A105)</f>
        <v/>
      </c>
    </row>
    <row r="106">
      <c r="A106" s="36" t="inlineStr">
        <is>
          <t>yJ08vTHJ4gE</t>
        </is>
      </c>
      <c r="B106" s="36" t="inlineStr">
        <is>
          <t>NedMedia</t>
        </is>
      </c>
      <c r="C106" s="36" t="inlineStr">
        <is>
          <t>Abuja Election Results: ADC In Early Lead Against Institutional Rigging By INEC &amp; APC</t>
        </is>
      </c>
      <c r="D106" s="36" t="inlineStr">
        <is>
          <t>2026-02-21</t>
        </is>
      </c>
      <c r="E106" s="24" t="n">
        <v>139</v>
      </c>
      <c r="F106" s="24">
        <f>COUNTIF('Fears data'!$D$5:$D$1347,A106)</f>
        <v/>
      </c>
    </row>
    <row r="107">
      <c r="A107" s="36" t="inlineStr">
        <is>
          <t>ycwIPmb_1iY</t>
        </is>
      </c>
      <c r="B107" s="36" t="inlineStr">
        <is>
          <t>Other channels (comment index)</t>
        </is>
      </c>
      <c r="C107" s="36" t="inlineStr"/>
      <c r="D107" s="36" t="inlineStr"/>
      <c r="E107" s="24" t="n">
        <v>1</v>
      </c>
      <c r="F107" s="24">
        <f>COUNTIF('Fears data'!$D$5:$D$1347,A107)</f>
        <v/>
      </c>
    </row>
    <row r="108">
      <c r="A108" s="36" t="inlineStr">
        <is>
          <t>z8zTxFlh18I</t>
        </is>
      </c>
      <c r="B108" s="36" t="inlineStr">
        <is>
          <t>Other channels (comment index)</t>
        </is>
      </c>
      <c r="C108" s="36" t="inlineStr"/>
      <c r="D108" s="36" t="inlineStr"/>
      <c r="E108" s="24" t="n">
        <v>1</v>
      </c>
      <c r="F108" s="24">
        <f>COUNTIF('Fears data'!$D$5:$D$1347,A108)</f>
        <v/>
      </c>
    </row>
    <row r="109">
      <c r="A109" s="36" t="inlineStr">
        <is>
          <t>zKEwt5fzFC8</t>
        </is>
      </c>
      <c r="B109" s="36" t="inlineStr">
        <is>
          <t>Other channels (comment index)</t>
        </is>
      </c>
      <c r="C109" s="36" t="inlineStr"/>
      <c r="D109" s="36" t="inlineStr"/>
      <c r="E109" s="24" t="n">
        <v>2</v>
      </c>
      <c r="F109" s="24">
        <f>COUNTIF('Fears data'!$D$5:$D$1347,A109)</f>
        <v/>
      </c>
    </row>
  </sheetData>
  <pageMargins left="0.75" right="0.75" top="1" bottom="1" header="0.5" footer="0.5"/>
</worksheet>
</file>

<file path=xl/worksheets/sheet8.xml><?xml version="1.0" encoding="utf-8"?>
<worksheet xmlns="http://schemas.openxmlformats.org/spreadsheetml/2006/main">
  <sheetPr>
    <tabColor rgb="001E2A47"/>
    <outlinePr summaryBelow="1" summaryRight="1"/>
    <pageSetUpPr/>
  </sheetPr>
  <dimension ref="A1:B18"/>
  <sheetViews>
    <sheetView showGridLines="0" workbookViewId="0">
      <selection activeCell="A1" sqref="A1"/>
    </sheetView>
  </sheetViews>
  <sheetFormatPr baseColWidth="8" defaultRowHeight="15"/>
  <cols>
    <col width="40" customWidth="1" min="1" max="1"/>
    <col width="110" customWidth="1" min="2" max="2"/>
  </cols>
  <sheetData>
    <row r="1">
      <c r="A1" s="20" t="inlineStr">
        <is>
          <t>Sources and method</t>
        </is>
      </c>
    </row>
    <row r="2">
      <c r="A2" s="21" t="inlineStr">
        <is>
          <t>Every figure in this workbook traces to one of these.</t>
        </is>
      </c>
    </row>
    <row r="4">
      <c r="A4" s="37" t="inlineStr">
        <is>
          <t>Survey figures</t>
        </is>
      </c>
      <c r="B4" s="19" t="inlineStr"/>
    </row>
    <row r="5">
      <c r="A5" s="37" t="inlineStr">
        <is>
          <t>Confident INEC will run credible elections</t>
        </is>
      </c>
      <c r="B5" s="19" t="inlineStr">
        <is>
          <t>0.34 (Yiaga Africa voting intentions survey, 2026-09)</t>
        </is>
      </c>
    </row>
    <row r="6">
      <c r="A6" s="37" t="inlineStr">
        <is>
          <t>Trust the electoral commission</t>
        </is>
      </c>
      <c r="B6" s="19" t="inlineStr">
        <is>
          <t>0.16 (Afrobarometer Round 10, 2024)</t>
        </is>
      </c>
    </row>
    <row r="7">
      <c r="A7" s="37" t="inlineStr">
        <is>
          <t>Say violence could stop them voting</t>
        </is>
      </c>
      <c r="B7" s="19" t="inlineStr">
        <is>
          <t>0.61 (Yiaga Africa voting intentions survey, 2026-09)</t>
        </is>
      </c>
    </row>
    <row r="8">
      <c r="A8" s="37" t="inlineStr">
        <is>
          <t>Received money to vote a certain way</t>
        </is>
      </c>
      <c r="B8" s="19" t="inlineStr">
        <is>
          <t>0.19 (Yiaga Africa voting intentions survey, 2026-09)</t>
        </is>
      </c>
    </row>
    <row r="9">
      <c r="A9" s="37" t="inlineStr">
        <is>
          <t>Presidential turnout 2023</t>
        </is>
      </c>
      <c r="B9" s="19" t="inlineStr">
        <is>
          <t>0.2672 (INEC via EU Election Observation Mission, 2023-02)</t>
        </is>
      </c>
    </row>
    <row r="10">
      <c r="A10" s="37" t="inlineStr">
        <is>
          <t>Registered voters for 2027</t>
        </is>
      </c>
      <c r="B10" s="19" t="inlineStr">
        <is>
          <t>103428715.0 (INEC, 2026-10)</t>
        </is>
      </c>
    </row>
    <row r="11">
      <c r="A11" s="37" t="inlineStr">
        <is>
          <t>Polling units in 2027</t>
        </is>
      </c>
      <c r="B11" s="19" t="inlineStr">
        <is>
          <t>176846.0 (INEC, 2026-10)</t>
        </is>
      </c>
    </row>
    <row r="12">
      <c r="A12" s="37" t="inlineStr"/>
      <c r="B12" s="19" t="inlineStr"/>
    </row>
    <row r="13">
      <c r="A13" s="37" t="inlineStr">
        <is>
          <t>YouTube comments</t>
        </is>
      </c>
      <c r="B13" s="19" t="inlineStr">
        <is>
          <t>2,230 public comments under 70 videos (Channels Television, Arise News, TVC News, SaharaTV, four commentary channels, plus a comment index), collected through the vidIQ connector, April 2025 to October 2026. Author names were never stored.</t>
        </is>
      </c>
    </row>
    <row r="14">
      <c r="A14" s="37" t="inlineStr">
        <is>
          <t>Theme tagging</t>
        </is>
      </c>
      <c r="B14" s="19" t="inlineStr">
        <is>
          <t>Keyword rules in English and Pidgin (scripts/themes.py). Hand-checked sample: about 85 to 90 percent of tags correct. INEC distrust also counts comments naming INEC with a tone score of -0.3 or lower (VADER with a Nigerian lexicon).</t>
        </is>
      </c>
    </row>
    <row r="15">
      <c r="A15" s="37" t="inlineStr">
        <is>
          <t>2023 baseline</t>
        </is>
      </c>
      <c r="B15" s="19" t="inlineStr">
        <is>
          <t>10,000 posts on X, 26 February to 14 March 2023 (Kaggle: twitter-data-nigerian-2023-presidential-election), anonymised.</t>
        </is>
      </c>
    </row>
    <row r="16">
      <c r="A16" s="37" t="inlineStr">
        <is>
          <t>2023 result sheets</t>
        </is>
      </c>
      <c r="B16" s="19" t="inlineStr">
        <is>
          <t>Center for Collaborative Investigative Journalism, nigeria-2023-election dataset (GitHub), all 176,846 polling units.</t>
        </is>
      </c>
    </row>
    <row r="17">
      <c r="A17" s="37" t="inlineStr">
        <is>
          <t>Process evidence</t>
        </is>
      </c>
      <c r="B17" s="19" t="inlineStr">
        <is>
          <t>INEC, Yiaga Africa, EU Election Observation Mission 2023, Situation Room, Dataphyte, ThisDay, Daily Trust, Channels Television; see research notes on GitHub.</t>
        </is>
      </c>
    </row>
    <row r="18">
      <c r="A18" s="37" t="inlineStr">
        <is>
          <t>Limits</t>
        </is>
      </c>
      <c r="B18" s="19" t="inlineStr">
        <is>
          <t>YouTube commenters are not representative of voters. English and Pidgin only. This measures fear, not voting intention. No party or candidate is scored.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2026-10-14T03:26:34Z</dcterms:created>
  <dcterms:modified xmlns:dcterms="http://purl.org/dc/terms/" xmlns:xsi="http://www.w3.org/2001/XMLSchema-instance" xsi:type="dcterms:W3CDTF">2026-10-14T03:26:39Z</dcterms:modified>
</cp:coreProperties>
</file>